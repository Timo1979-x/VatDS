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defaultThemeVersion="153222"/>
  <mc:AlternateContent xmlns:mc="http://schemas.openxmlformats.org/markup-compatibility/2006">
    <mc:Choice Requires="x15">
      <x15ac:absPath xmlns:x15ac="http://schemas.microsoft.com/office/spreadsheetml/2010/11/ac" url="D:\work\idea\btoReport\docs\"/>
    </mc:Choice>
  </mc:AlternateContent>
  <bookViews>
    <workbookView xWindow="0" yWindow="0" windowWidth="20520" windowHeight="10356" activeTab="2"/>
  </bookViews>
  <sheets>
    <sheet name="Контрагенты" sheetId="1" r:id="rId1"/>
    <sheet name="Договор" sheetId="2" r:id="rId2"/>
    <sheet name="Реестр договоров" sheetId="3" r:id="rId3"/>
    <sheet name="Акт" sheetId="4" r:id="rId4"/>
    <sheet name="Выбор" sheetId="5" r:id="rId5"/>
    <sheet name="СчФ" sheetId="6" r:id="rId6"/>
    <sheet name="СчФ ЕВРО" sheetId="7" r:id="rId7"/>
    <sheet name="Реестр СчФ" sheetId="8" r:id="rId8"/>
    <sheet name="Тарифы" sheetId="9" r:id="rId9"/>
  </sheets>
  <definedNames>
    <definedName name="_xlnm._FilterDatabase" localSheetId="0" hidden="1">Контрагенты!$B$3:$J$1164</definedName>
    <definedName name="_xlnm._FilterDatabase" localSheetId="2" hidden="1">'Реестр договоров'!$A$1:$O$180</definedName>
    <definedName name="_xlnm._FilterDatabase" localSheetId="7" hidden="1">'Реестр СчФ'!$B$1:$G$1190</definedName>
    <definedName name="Z_0CA631D0_5896_44F7_955F_CA50A7F49E23_.wvu.FilterData" localSheetId="0" hidden="1">Контрагенты!$B$3:$J$1164</definedName>
    <definedName name="Z_0CA631D0_5896_44F7_955F_CA50A7F49E23_.wvu.FilterData" localSheetId="2" hidden="1">'Реестр договоров'!$B$1:$G$479</definedName>
    <definedName name="Z_0CA631D0_5896_44F7_955F_CA50A7F49E23_.wvu.FilterData" localSheetId="7" hidden="1">'Реестр СчФ'!$B$1:$G$1190</definedName>
    <definedName name="Z_0D4BEDA2_A0F4_425D_A610_F5989F104530_.wvu.FilterData" localSheetId="0" hidden="1">Контрагенты!$B$3:$J$1164</definedName>
    <definedName name="Z_17CF6293_B179_4C29_9312_7FBDD485BBFD_.wvu.Cols" localSheetId="1" hidden="1">Договор!$U:$IV</definedName>
    <definedName name="Z_17CF6293_B179_4C29_9312_7FBDD485BBFD_.wvu.FilterData" localSheetId="0" hidden="1">Контрагенты!$B$3:$J$1164</definedName>
    <definedName name="Z_17CF6293_B179_4C29_9312_7FBDD485BBFD_.wvu.FilterData" localSheetId="2" hidden="1">'Реестр договоров'!$B$1:$G$479</definedName>
    <definedName name="Z_17CF6293_B179_4C29_9312_7FBDD485BBFD_.wvu.FilterData" localSheetId="7" hidden="1">'Реестр СчФ'!$B$1:$G$1190</definedName>
    <definedName name="Z_17CF6293_B179_4C29_9312_7FBDD485BBFD_.wvu.PrintArea" localSheetId="3" hidden="1">Акт!$B$1:$P$48</definedName>
    <definedName name="Z_17CF6293_B179_4C29_9312_7FBDD485BBFD_.wvu.PrintArea" localSheetId="1" hidden="1">Договор!$A$2:$N$48</definedName>
    <definedName name="Z_17CF6293_B179_4C29_9312_7FBDD485BBFD_.wvu.PrintArea" localSheetId="5" hidden="1">СчФ!$B$2:$O$55</definedName>
    <definedName name="Z_17CF6293_B179_4C29_9312_7FBDD485BBFD_.wvu.PrintArea" localSheetId="6" hidden="1">'СчФ ЕВРО'!$B$2:$P$51</definedName>
    <definedName name="Z_17CF6293_B179_4C29_9312_7FBDD485BBFD_.wvu.PrintArea" localSheetId="8" hidden="1">Тарифы!$B$2:$E$32</definedName>
    <definedName name="Z_17CF6293_B179_4C29_9312_7FBDD485BBFD_.wvu.Rows" localSheetId="4" hidden="1">Выбор!$24:$27</definedName>
    <definedName name="Z_17CF6293_B179_4C29_9312_7FBDD485BBFD_.wvu.Rows" localSheetId="1" hidden="1">Договор!$60:$65536,Договор!$8:$11,Договор!$30:$32,Договор!$50:$56</definedName>
    <definedName name="Z_17CF6293_B179_4C29_9312_7FBDD485BBFD_.wvu.Rows" localSheetId="2" hidden="1">'Реестр договоров'!$71:$71,'Реестр договоров'!$135:$135</definedName>
    <definedName name="Z_17CF6293_B179_4C29_9312_7FBDD485BBFD_.wvu.Rows" localSheetId="5" hidden="1">СчФ!$41:$46</definedName>
    <definedName name="Z_17CF6293_B179_4C29_9312_7FBDD485BBFD_.wvu.Rows" localSheetId="6" hidden="1">'СчФ ЕВРО'!$38:$42</definedName>
    <definedName name="Z_21C840CC_AE35_4950_B5BD_32A7DE9BAC52_.wvu.Cols" localSheetId="1" hidden="1">Договор!$U:$IV</definedName>
    <definedName name="Z_21C840CC_AE35_4950_B5BD_32A7DE9BAC52_.wvu.FilterData" localSheetId="0" hidden="1">Контрагенты!$B$3:$J$1164</definedName>
    <definedName name="Z_21C840CC_AE35_4950_B5BD_32A7DE9BAC52_.wvu.FilterData" localSheetId="2" hidden="1">'Реестр договоров'!$B$1:$G$479</definedName>
    <definedName name="Z_21C840CC_AE35_4950_B5BD_32A7DE9BAC52_.wvu.FilterData" localSheetId="7" hidden="1">'Реестр СчФ'!$B$1:$G$1190</definedName>
    <definedName name="Z_21C840CC_AE35_4950_B5BD_32A7DE9BAC52_.wvu.PrintArea" localSheetId="3" hidden="1">Акт!$B$1:$P$48</definedName>
    <definedName name="Z_21C840CC_AE35_4950_B5BD_32A7DE9BAC52_.wvu.PrintArea" localSheetId="1" hidden="1">Договор!$A$2:$N$48</definedName>
    <definedName name="Z_21C840CC_AE35_4950_B5BD_32A7DE9BAC52_.wvu.PrintArea" localSheetId="5" hidden="1">СчФ!$B$2:$O$55</definedName>
    <definedName name="Z_21C840CC_AE35_4950_B5BD_32A7DE9BAC52_.wvu.PrintArea" localSheetId="6" hidden="1">'СчФ ЕВРО'!$B$2:$P$51</definedName>
    <definedName name="Z_21C840CC_AE35_4950_B5BD_32A7DE9BAC52_.wvu.PrintArea" localSheetId="8" hidden="1">Тарифы!$B$2:$E$32</definedName>
    <definedName name="Z_21C840CC_AE35_4950_B5BD_32A7DE9BAC52_.wvu.Rows" localSheetId="4" hidden="1">Выбор!$8:$8,Выбор!$24:$27</definedName>
    <definedName name="Z_21C840CC_AE35_4950_B5BD_32A7DE9BAC52_.wvu.Rows" localSheetId="1" hidden="1">Договор!$60:$65536,Договор!$8:$11,Договор!$30:$32,Договор!$50:$56</definedName>
    <definedName name="Z_21C840CC_AE35_4950_B5BD_32A7DE9BAC52_.wvu.Rows" localSheetId="5" hidden="1">СчФ!$27:$27,СчФ!$41:$46</definedName>
    <definedName name="Z_21C840CC_AE35_4950_B5BD_32A7DE9BAC52_.wvu.Rows" localSheetId="6" hidden="1">'СчФ ЕВРО'!$23:$23,'СчФ ЕВРО'!$38:$42</definedName>
    <definedName name="Z_4DBEB5F9_D929_4E4D_A600_6FCEBBD704BA_.wvu.FilterData" localSheetId="0" hidden="1">Контрагенты!$B$3:$J$1164</definedName>
    <definedName name="Z_4DBEB5F9_D929_4E4D_A600_6FCEBBD704BA_.wvu.FilterData" localSheetId="2" hidden="1">'Реестр договоров'!$B$1:$G$479</definedName>
    <definedName name="Z_4DBEB5F9_D929_4E4D_A600_6FCEBBD704BA_.wvu.FilterData" localSheetId="7" hidden="1">'Реестр СчФ'!$B$1:$G$1190</definedName>
    <definedName name="Z_6F966CD8_707E_4C39_BF19_FBF54F1918BD_.wvu.Cols" localSheetId="1" hidden="1">Договор!$U:$IV</definedName>
    <definedName name="Z_6F966CD8_707E_4C39_BF19_FBF54F1918BD_.wvu.FilterData" localSheetId="0" hidden="1">Контрагенты!$B$3:$J$1164</definedName>
    <definedName name="Z_6F966CD8_707E_4C39_BF19_FBF54F1918BD_.wvu.FilterData" localSheetId="2" hidden="1">'Реестр договоров'!$B$1:$G$479</definedName>
    <definedName name="Z_6F966CD8_707E_4C39_BF19_FBF54F1918BD_.wvu.FilterData" localSheetId="7" hidden="1">'Реестр СчФ'!$B$1:$G$1190</definedName>
    <definedName name="Z_6F966CD8_707E_4C39_BF19_FBF54F1918BD_.wvu.PrintArea" localSheetId="3" hidden="1">Акт!$B$1:$P$48</definedName>
    <definedName name="Z_6F966CD8_707E_4C39_BF19_FBF54F1918BD_.wvu.PrintArea" localSheetId="1" hidden="1">Договор!$A$2:$N$48</definedName>
    <definedName name="Z_6F966CD8_707E_4C39_BF19_FBF54F1918BD_.wvu.PrintArea" localSheetId="5" hidden="1">СчФ!$B$2:$O$55</definedName>
    <definedName name="Z_6F966CD8_707E_4C39_BF19_FBF54F1918BD_.wvu.PrintArea" localSheetId="6" hidden="1">'СчФ ЕВРО'!$B$2:$P$51</definedName>
    <definedName name="Z_6F966CD8_707E_4C39_BF19_FBF54F1918BD_.wvu.PrintArea" localSheetId="8" hidden="1">Тарифы!$B$2:$E$32</definedName>
    <definedName name="Z_6F966CD8_707E_4C39_BF19_FBF54F1918BD_.wvu.Rows" localSheetId="4" hidden="1">Выбор!$24:$27</definedName>
    <definedName name="Z_6F966CD8_707E_4C39_BF19_FBF54F1918BD_.wvu.Rows" localSheetId="1" hidden="1">Договор!$60:$65536,Договор!$8:$11,Договор!$30:$32,Договор!$50:$56</definedName>
    <definedName name="Z_6F966CD8_707E_4C39_BF19_FBF54F1918BD_.wvu.Rows" localSheetId="5" hidden="1">СчФ!$41:$46</definedName>
    <definedName name="Z_6F966CD8_707E_4C39_BF19_FBF54F1918BD_.wvu.Rows" localSheetId="6" hidden="1">'СчФ ЕВРО'!$38:$42</definedName>
    <definedName name="Z_AC0E8E6C_AF53_4279_9177_079B566A0062_.wvu.FilterData" localSheetId="2" hidden="1">'Реестр договоров'!$B$1:$G$145</definedName>
    <definedName name="Z_E0E17C6E_C811_4170_82D5_EDD54F6164FB_.wvu.Cols" localSheetId="1" hidden="1">Договор!$U:$IV</definedName>
    <definedName name="Z_E0E17C6E_C811_4170_82D5_EDD54F6164FB_.wvu.FilterData" localSheetId="0" hidden="1">Контрагенты!$B$3:$J$1164</definedName>
    <definedName name="Z_E0E17C6E_C811_4170_82D5_EDD54F6164FB_.wvu.FilterData" localSheetId="2" hidden="1">'Реестр договоров'!$B$1:$G$145</definedName>
    <definedName name="Z_E0E17C6E_C811_4170_82D5_EDD54F6164FB_.wvu.FilterData" localSheetId="7" hidden="1">'Реестр СчФ'!$B$1:$G$1190</definedName>
    <definedName name="Z_E0E17C6E_C811_4170_82D5_EDD54F6164FB_.wvu.PrintArea" localSheetId="3" hidden="1">Акт!$B$1:$P$48</definedName>
    <definedName name="Z_E0E17C6E_C811_4170_82D5_EDD54F6164FB_.wvu.PrintArea" localSheetId="1" hidden="1">Договор!$A$2:$N$48</definedName>
    <definedName name="Z_E0E17C6E_C811_4170_82D5_EDD54F6164FB_.wvu.PrintArea" localSheetId="5" hidden="1">СчФ!$B$2:$O$55</definedName>
    <definedName name="Z_E0E17C6E_C811_4170_82D5_EDD54F6164FB_.wvu.PrintArea" localSheetId="6" hidden="1">'СчФ ЕВРО'!$B$2:$P$51</definedName>
    <definedName name="Z_E0E17C6E_C811_4170_82D5_EDD54F6164FB_.wvu.PrintArea" localSheetId="8" hidden="1">Тарифы!$B$2:$E$32</definedName>
    <definedName name="Z_E0E17C6E_C811_4170_82D5_EDD54F6164FB_.wvu.Rows" localSheetId="4" hidden="1">Выбор!$8:$8,Выбор!$24:$27</definedName>
    <definedName name="Z_E0E17C6E_C811_4170_82D5_EDD54F6164FB_.wvu.Rows" localSheetId="1" hidden="1">Договор!$60:$65536,Договор!$8:$11,Договор!$30:$32,Договор!$50:$56</definedName>
    <definedName name="Z_E0E17C6E_C811_4170_82D5_EDD54F6164FB_.wvu.Rows" localSheetId="2" hidden="1">'Реестр договоров'!$71:$71,'Реестр договоров'!$135:$135</definedName>
    <definedName name="Z_E0E17C6E_C811_4170_82D5_EDD54F6164FB_.wvu.Rows" localSheetId="5" hidden="1">СчФ!$27:$27,СчФ!$41:$46</definedName>
    <definedName name="Z_E0E17C6E_C811_4170_82D5_EDD54F6164FB_.wvu.Rows" localSheetId="6" hidden="1">'СчФ ЕВРО'!$23:$23,'СчФ ЕВРО'!$38:$42</definedName>
    <definedName name="Z_FC6DB419_07D7_43BA_B523_3F04FDF61791_.wvu.FilterData" localSheetId="7" hidden="1">'Реестр СчФ'!$B$1:$G$10</definedName>
    <definedName name="_xlnm.Print_Area" localSheetId="3">Акт!$B$1:$P$48</definedName>
    <definedName name="_xlnm.Print_Area" localSheetId="1">Договор!$A$2:$N$48</definedName>
    <definedName name="_xlnm.Print_Area" localSheetId="5">СчФ!$B$2:$O$55</definedName>
    <definedName name="_xlnm.Print_Area" localSheetId="6">'СчФ ЕВРО'!$B$2:$P$51</definedName>
    <definedName name="_xlnm.Print_Area" localSheetId="8">Тарифы!$B$2:$E$32</definedName>
    <definedName name="ПослСтрКАг">Контрагенты!$A$1073:$M$1073</definedName>
  </definedNames>
  <calcPr calcId="152511" calcMode="autoNoTable"/>
  <customWorkbookViews>
    <customWorkbookView name="user - Личное представление" guid="{6F966CD8-707E-4C39-BF19-FBF54F1918BD}" mergeInterval="0" personalView="1" maximized="1" windowWidth="1436" windowHeight="754" activeSheetId="2"/>
    <customWorkbookView name="Васько Дмитрий - Личное представление" guid="{E0E17C6E-C811-4170-82D5-EDD54F6164FB}" mergeInterval="0" personalView="1" maximized="1" windowWidth="1276" windowHeight="848" activeSheetId="8"/>
    <customWorkbookView name="Выдача карт - Личное представление" guid="{21C840CC-AE35-4950-B5BD-32A7DE9BAC52}" mergeInterval="0" personalView="1" maximized="1" windowWidth="1436" windowHeight="735" activeSheetId="6"/>
    <customWorkbookView name="SERVER - Личное представление" guid="{17CF6293-B179-4C29-9312-7FBDD485BBFD}" mergeInterval="0" personalView="1" maximized="1" windowWidth="1276" windowHeight="622" activeSheetId="6"/>
    <customWorkbookView name=" Касса - Личное представление" guid="{B6FD7490-794E-482C-8B29-FB2AB6EB258C}" mergeInterval="0" personalView="1" maximized="1" windowWidth="1436" windowHeight="735" activeSheetId="1"/>
  </customWorkbookViews>
</workbook>
</file>

<file path=xl/calcChain.xml><?xml version="1.0" encoding="utf-8"?>
<calcChain xmlns="http://schemas.openxmlformats.org/spreadsheetml/2006/main">
  <c r="A7" i="2" l="1"/>
  <c r="G10" i="5"/>
  <c r="J30" i="4" s="1"/>
  <c r="G11" i="5"/>
  <c r="J31" i="4" s="1"/>
  <c r="H10" i="5"/>
  <c r="K25" i="7" s="1"/>
  <c r="H11" i="5"/>
  <c r="K31" i="4" s="1"/>
  <c r="J10" i="5"/>
  <c r="N29" i="6" s="1"/>
  <c r="J11" i="5"/>
  <c r="N30" i="6" s="1"/>
  <c r="K11" i="5"/>
  <c r="K12" i="5"/>
  <c r="O32" i="4"/>
  <c r="A39" i="2"/>
  <c r="M292" i="1"/>
  <c r="M100" i="1"/>
  <c r="K48" i="2"/>
  <c r="H47" i="2"/>
  <c r="H45" i="2"/>
  <c r="M44" i="2"/>
  <c r="I44" i="2"/>
  <c r="H42" i="2"/>
  <c r="H41" i="2"/>
  <c r="H38" i="2"/>
  <c r="H37" i="2"/>
  <c r="D5" i="7"/>
  <c r="D6" i="7"/>
  <c r="K6" i="7"/>
  <c r="E7" i="7"/>
  <c r="E8" i="7"/>
  <c r="D9" i="7"/>
  <c r="D17" i="7"/>
  <c r="C23" i="7"/>
  <c r="H23" i="7"/>
  <c r="G8" i="5"/>
  <c r="I27" i="6"/>
  <c r="C24" i="7"/>
  <c r="H24" i="7"/>
  <c r="C25" i="7"/>
  <c r="H25" i="7"/>
  <c r="C26" i="7"/>
  <c r="H26" i="7"/>
  <c r="C27" i="7"/>
  <c r="H27" i="7"/>
  <c r="C28" i="7"/>
  <c r="H28" i="7"/>
  <c r="C29" i="7"/>
  <c r="H29" i="7"/>
  <c r="C30" i="7"/>
  <c r="H30" i="7"/>
  <c r="C45" i="7"/>
  <c r="C46" i="7"/>
  <c r="D47" i="7"/>
  <c r="D48" i="7"/>
  <c r="I2" i="6"/>
  <c r="G3" i="6"/>
  <c r="I3" i="6"/>
  <c r="C5" i="6"/>
  <c r="D9" i="6"/>
  <c r="D10" i="6"/>
  <c r="E11" i="6"/>
  <c r="E12" i="6"/>
  <c r="D13" i="6"/>
  <c r="D17" i="6"/>
  <c r="D18" i="6"/>
  <c r="E19" i="6"/>
  <c r="E20" i="6"/>
  <c r="E21" i="6"/>
  <c r="D22" i="6"/>
  <c r="C27" i="6"/>
  <c r="H27" i="6"/>
  <c r="C28" i="6"/>
  <c r="H28" i="6"/>
  <c r="G9" i="5"/>
  <c r="I28" i="6" s="1"/>
  <c r="C29" i="6"/>
  <c r="H29" i="6"/>
  <c r="C30" i="6"/>
  <c r="H30" i="6"/>
  <c r="C31" i="6"/>
  <c r="H31" i="6"/>
  <c r="C32" i="6"/>
  <c r="H32" i="6"/>
  <c r="C33" i="6"/>
  <c r="H33" i="6"/>
  <c r="C34" i="6"/>
  <c r="H34" i="6"/>
  <c r="B2" i="5"/>
  <c r="I4" i="5"/>
  <c r="H8" i="5"/>
  <c r="K23" i="7" s="1"/>
  <c r="H9" i="5"/>
  <c r="K28" i="6"/>
  <c r="J8" i="5"/>
  <c r="N28" i="4" s="1"/>
  <c r="J9" i="5"/>
  <c r="N24" i="7"/>
  <c r="K8" i="5"/>
  <c r="I8" i="5" s="1"/>
  <c r="K9" i="5"/>
  <c r="O29" i="4" s="1"/>
  <c r="I29" i="6"/>
  <c r="K10" i="5"/>
  <c r="O29" i="6"/>
  <c r="I26" i="7"/>
  <c r="N26" i="7"/>
  <c r="G12" i="5"/>
  <c r="J32" i="4" s="1"/>
  <c r="H12" i="5"/>
  <c r="K27" i="7"/>
  <c r="J12" i="5"/>
  <c r="N32" i="4" s="1"/>
  <c r="G13" i="5"/>
  <c r="J33" i="4"/>
  <c r="H13" i="5"/>
  <c r="K33" i="4" s="1"/>
  <c r="J13" i="5"/>
  <c r="N28" i="7" s="1"/>
  <c r="N31" i="7" s="1"/>
  <c r="K13" i="5"/>
  <c r="I13" i="5" s="1"/>
  <c r="G14" i="5"/>
  <c r="J34" i="4"/>
  <c r="H14" i="5"/>
  <c r="K33" i="6" s="1"/>
  <c r="J14" i="5"/>
  <c r="N33" i="6"/>
  <c r="K14" i="5"/>
  <c r="O34" i="4" s="1"/>
  <c r="G15" i="5"/>
  <c r="I30" i="7"/>
  <c r="H15" i="5"/>
  <c r="K30" i="7" s="1"/>
  <c r="J15" i="5"/>
  <c r="K15" i="5"/>
  <c r="I15" i="5" s="1"/>
  <c r="G18" i="5"/>
  <c r="H18" i="5"/>
  <c r="J18" i="5"/>
  <c r="J22" i="5" s="1"/>
  <c r="J28" i="5" s="1"/>
  <c r="K18" i="5"/>
  <c r="G19" i="5"/>
  <c r="H19" i="5"/>
  <c r="H22" i="5" s="1"/>
  <c r="J19" i="5"/>
  <c r="K19" i="5"/>
  <c r="I19" i="5"/>
  <c r="G20" i="5"/>
  <c r="H20" i="5"/>
  <c r="J20" i="5"/>
  <c r="K20" i="5"/>
  <c r="I20" i="5" s="1"/>
  <c r="G21" i="5"/>
  <c r="H21" i="5"/>
  <c r="J21" i="5"/>
  <c r="K21" i="5"/>
  <c r="I21" i="5" s="1"/>
  <c r="D3" i="4"/>
  <c r="D4" i="4"/>
  <c r="E5" i="4"/>
  <c r="E6" i="4"/>
  <c r="D7" i="4"/>
  <c r="D10" i="4"/>
  <c r="D11" i="4"/>
  <c r="E12" i="4"/>
  <c r="E13" i="4"/>
  <c r="K14" i="4"/>
  <c r="D19" i="4"/>
  <c r="F21" i="4"/>
  <c r="E22" i="4"/>
  <c r="D28" i="4"/>
  <c r="I28" i="4"/>
  <c r="D29" i="4"/>
  <c r="I29" i="4"/>
  <c r="D30" i="4"/>
  <c r="I30" i="4"/>
  <c r="D31" i="4"/>
  <c r="I31" i="4"/>
  <c r="D32" i="4"/>
  <c r="I32" i="4"/>
  <c r="D33" i="4"/>
  <c r="I33" i="4"/>
  <c r="D34" i="4"/>
  <c r="I34" i="4"/>
  <c r="D35" i="4"/>
  <c r="I35" i="4"/>
  <c r="G47" i="4"/>
  <c r="L47" i="4"/>
  <c r="A37" i="2"/>
  <c r="A38" i="2"/>
  <c r="A40" i="2"/>
  <c r="A42" i="2"/>
  <c r="A43" i="2"/>
  <c r="O3" i="1"/>
  <c r="P3" i="1"/>
  <c r="M27" i="1"/>
  <c r="M28" i="1"/>
  <c r="M29" i="1"/>
  <c r="M31" i="1"/>
  <c r="M33" i="1"/>
  <c r="M34" i="1"/>
  <c r="M38" i="1"/>
  <c r="M39" i="1"/>
  <c r="M40" i="1"/>
  <c r="M41" i="1"/>
  <c r="M42" i="1"/>
  <c r="M43" i="1"/>
  <c r="M44" i="1"/>
  <c r="M45" i="1"/>
  <c r="M46" i="1"/>
  <c r="M47" i="1"/>
  <c r="M48" i="1"/>
  <c r="M49" i="1"/>
  <c r="M50" i="1"/>
  <c r="M51" i="1"/>
  <c r="M52" i="1"/>
  <c r="M53" i="1"/>
  <c r="M54" i="1"/>
  <c r="M55" i="1"/>
  <c r="M56" i="1"/>
  <c r="M57" i="1"/>
  <c r="M58" i="1"/>
  <c r="M59" i="1"/>
  <c r="M60" i="1"/>
  <c r="M61" i="1"/>
  <c r="M64" i="1"/>
  <c r="M65"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1069" i="1"/>
  <c r="M1070" i="1"/>
  <c r="M1071" i="1"/>
  <c r="M1072" i="1"/>
  <c r="M1073" i="1"/>
  <c r="A1139" i="1"/>
  <c r="D14" i="7"/>
  <c r="E15" i="7"/>
  <c r="J46" i="4"/>
  <c r="E16" i="7"/>
  <c r="D13" i="7"/>
  <c r="K35" i="4"/>
  <c r="N29" i="7"/>
  <c r="N32" i="6"/>
  <c r="K29" i="7"/>
  <c r="O29" i="7"/>
  <c r="O30" i="6"/>
  <c r="O28" i="7"/>
  <c r="K34" i="6"/>
  <c r="N31" i="6"/>
  <c r="N30" i="7"/>
  <c r="N35" i="4"/>
  <c r="N34" i="6"/>
  <c r="J35" i="4"/>
  <c r="I29" i="7"/>
  <c r="N33" i="4"/>
  <c r="I32" i="6"/>
  <c r="N25" i="7"/>
  <c r="I18" i="5"/>
  <c r="I14" i="5"/>
  <c r="M33" i="6"/>
  <c r="O33" i="6"/>
  <c r="O33" i="4"/>
  <c r="O32" i="6"/>
  <c r="K32" i="4"/>
  <c r="O26" i="7"/>
  <c r="I11" i="5"/>
  <c r="M30" i="6"/>
  <c r="O31" i="4"/>
  <c r="O31" i="6"/>
  <c r="O34" i="6"/>
  <c r="I34" i="6"/>
  <c r="M26" i="7"/>
  <c r="O30" i="4"/>
  <c r="I10" i="5"/>
  <c r="M25" i="7" s="1"/>
  <c r="M30" i="4"/>
  <c r="I30" i="6"/>
  <c r="N31" i="4"/>
  <c r="I12" i="5"/>
  <c r="M32" i="4"/>
  <c r="N30" i="4"/>
  <c r="O25" i="7"/>
  <c r="I25" i="7"/>
  <c r="M31" i="6"/>
  <c r="K30" i="4"/>
  <c r="M29" i="6"/>
  <c r="K29" i="6"/>
  <c r="N28" i="6"/>
  <c r="N23" i="7"/>
  <c r="N29" i="4"/>
  <c r="O23" i="7"/>
  <c r="N27" i="6"/>
  <c r="K22" i="5"/>
  <c r="O27" i="7"/>
  <c r="M31" i="4"/>
  <c r="M29" i="7"/>
  <c r="K34" i="4"/>
  <c r="N34" i="4"/>
  <c r="J28" i="4"/>
  <c r="K24" i="7"/>
  <c r="O27" i="6"/>
  <c r="O28" i="4"/>
  <c r="J16" i="5"/>
  <c r="K29" i="4"/>
  <c r="K27" i="6"/>
  <c r="J29" i="4"/>
  <c r="I24" i="7"/>
  <c r="K28" i="4"/>
  <c r="F38" i="4"/>
  <c r="O35" i="4"/>
  <c r="K31" i="6"/>
  <c r="I9" i="5"/>
  <c r="M24" i="7" s="1"/>
  <c r="I23" i="7"/>
  <c r="M27" i="7"/>
  <c r="M34" i="4"/>
  <c r="O30" i="7"/>
  <c r="I28" i="7"/>
  <c r="I33" i="6"/>
  <c r="N27" i="7"/>
  <c r="G37" i="4"/>
  <c r="E33" i="7"/>
  <c r="G39" i="4"/>
  <c r="I40" i="4"/>
  <c r="B30" i="5"/>
  <c r="E37" i="6"/>
  <c r="E32" i="7"/>
  <c r="G38" i="4"/>
  <c r="E36" i="6"/>
  <c r="G36" i="4"/>
  <c r="M23" i="7" l="1"/>
  <c r="M27" i="6"/>
  <c r="M28" i="4"/>
  <c r="M28" i="7"/>
  <c r="M33" i="4"/>
  <c r="M32" i="6"/>
  <c r="M30" i="7"/>
  <c r="M34" i="6"/>
  <c r="M35" i="4"/>
  <c r="N35" i="6"/>
  <c r="O31" i="7"/>
  <c r="O24" i="7"/>
  <c r="O28" i="6"/>
  <c r="O35" i="6" s="1"/>
  <c r="K32" i="6"/>
  <c r="K26" i="7"/>
  <c r="K31" i="7" s="1"/>
  <c r="M29" i="4"/>
  <c r="I31" i="6"/>
  <c r="H16" i="5"/>
  <c r="K30" i="6"/>
  <c r="K35" i="6" s="1"/>
  <c r="M28" i="6"/>
  <c r="K28" i="7"/>
  <c r="K16" i="5"/>
  <c r="I27" i="7"/>
  <c r="K28" i="5" l="1"/>
  <c r="F36" i="4"/>
  <c r="F37" i="4"/>
  <c r="H28" i="5"/>
  <c r="G40" i="4" l="1"/>
  <c r="F39" i="4"/>
</calcChain>
</file>

<file path=xl/comments1.xml><?xml version="1.0" encoding="utf-8"?>
<comments xmlns="http://schemas.openxmlformats.org/spreadsheetml/2006/main">
  <authors>
    <author>Nikolay Domarenok</author>
    <author>Domarenok</author>
  </authors>
  <commentList>
    <comment ref="A1" authorId="0" shapeId="0">
      <text>
        <r>
          <rPr>
            <b/>
            <i/>
            <sz val="8"/>
            <color indexed="81"/>
            <rFont val="Tahoma"/>
            <family val="2"/>
            <charset val="204"/>
          </rPr>
          <t>Введите сюда порядковый номер необходимого контрагента</t>
        </r>
      </text>
    </comment>
    <comment ref="B1" authorId="1" shapeId="0">
      <text>
        <r>
          <rPr>
            <sz val="8"/>
            <color indexed="81"/>
            <rFont val="Tahoma"/>
            <family val="2"/>
            <charset val="204"/>
          </rPr>
          <t xml:space="preserve">В данной строке укажите реквизиты своего предприятия
</t>
        </r>
      </text>
    </comment>
    <comment ref="A2"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A3"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O3" authorId="1" shapeId="0">
      <text>
        <r>
          <rPr>
            <b/>
            <i/>
            <sz val="8"/>
            <color indexed="81"/>
            <rFont val="Tahoma"/>
            <family val="2"/>
            <charset val="204"/>
          </rPr>
          <t xml:space="preserve">Ячейку с формулой не удалять! Касса:
</t>
        </r>
      </text>
    </comment>
    <comment ref="P3" authorId="1" shapeId="0">
      <text>
        <r>
          <rPr>
            <b/>
            <i/>
            <sz val="8"/>
            <color indexed="81"/>
            <rFont val="Tahoma"/>
            <family val="2"/>
            <charset val="204"/>
          </rPr>
          <t>Ячейку с формулой не удалять!</t>
        </r>
      </text>
    </comment>
  </commentList>
</comments>
</file>

<file path=xl/comments2.xml><?xml version="1.0" encoding="utf-8"?>
<comments xmlns="http://schemas.openxmlformats.org/spreadsheetml/2006/main">
  <authors>
    <author>User</author>
  </authors>
  <commentList>
    <comment ref="K6" authorId="0" shapeId="0">
      <text>
        <r>
          <rPr>
            <b/>
            <sz val="8"/>
            <color indexed="81"/>
            <rFont val="Tahoma"/>
            <family val="2"/>
            <charset val="204"/>
          </rPr>
          <t>Если надо вставить текущую дату, то пишем в графу формулу: =СЕГОДНЯ()</t>
        </r>
      </text>
    </comment>
  </commentList>
</comments>
</file>

<file path=xl/comments3.xml><?xml version="1.0" encoding="utf-8"?>
<comments xmlns="http://schemas.openxmlformats.org/spreadsheetml/2006/main">
  <authors>
    <author>Nikolay Domarenok</author>
  </authors>
  <commentList>
    <comment ref="O28"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5"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4.xml><?xml version="1.0" encoding="utf-8"?>
<comments xmlns="http://schemas.openxmlformats.org/spreadsheetml/2006/main">
  <authors>
    <author>domarenok</author>
  </authors>
  <commentList>
    <comment ref="I4" authorId="0" shapeId="0">
      <text>
        <r>
          <rPr>
            <sz val="8"/>
            <color indexed="81"/>
            <rFont val="Tahoma"/>
            <family val="2"/>
            <charset val="204"/>
          </rPr>
          <t xml:space="preserve">В данную ячейку ведите нужную дату в формате </t>
        </r>
        <r>
          <rPr>
            <b/>
            <sz val="8"/>
            <color indexed="81"/>
            <rFont val="Tahoma"/>
            <family val="2"/>
            <charset val="204"/>
          </rPr>
          <t>ДД.ММ</t>
        </r>
        <r>
          <rPr>
            <sz val="8"/>
            <color indexed="81"/>
            <rFont val="Tahoma"/>
            <family val="2"/>
            <charset val="204"/>
          </rPr>
          <t xml:space="preserve"> </t>
        </r>
        <r>
          <rPr>
            <sz val="8"/>
            <color indexed="81"/>
            <rFont val="Tahoma"/>
            <family val="2"/>
            <charset val="204"/>
          </rPr>
          <t xml:space="preserve">или формулу вида </t>
        </r>
        <r>
          <rPr>
            <b/>
            <sz val="8"/>
            <color indexed="81"/>
            <rFont val="Tahoma"/>
            <family val="2"/>
            <charset val="204"/>
          </rPr>
          <t xml:space="preserve">=СЕГОДНЯ() </t>
        </r>
      </text>
    </comment>
  </commentList>
</comments>
</file>

<file path=xl/comments5.xml><?xml version="1.0" encoding="utf-8"?>
<comments xmlns="http://schemas.openxmlformats.org/spreadsheetml/2006/main">
  <authors>
    <author>domarenok</author>
    <author>Nikolay Domarenok</author>
  </authors>
  <commentList>
    <comment ref="K7"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6.xml><?xml version="1.0" encoding="utf-8"?>
<comments xmlns="http://schemas.openxmlformats.org/spreadsheetml/2006/main">
  <authors>
    <author>domarenok</author>
    <author>Nikolay Domarenok</author>
  </authors>
  <commentList>
    <comment ref="K3"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5"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6"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7.xml><?xml version="1.0" encoding="utf-8"?>
<comments xmlns="http://schemas.openxmlformats.org/spreadsheetml/2006/main">
  <authors>
    <author>Булатолвский</author>
  </authors>
  <commentList>
    <comment ref="A1" authorId="0" shapeId="0">
      <text>
        <r>
          <rPr>
            <b/>
            <sz val="8"/>
            <color indexed="81"/>
            <rFont val="Tahoma"/>
            <family val="2"/>
            <charset val="204"/>
          </rPr>
          <t>В ЭТОМ ПОЛЕ ВСЕГДА ДОЛЖНА СТОЯТЬ ЦИФРА 1</t>
        </r>
      </text>
    </comment>
  </commentList>
</comments>
</file>

<file path=xl/sharedStrings.xml><?xml version="1.0" encoding="utf-8"?>
<sst xmlns="http://schemas.openxmlformats.org/spreadsheetml/2006/main" count="13752" uniqueCount="4243">
  <si>
    <t>ОДО "СпецЭкоГрупп"</t>
  </si>
  <si>
    <t>210/126</t>
  </si>
  <si>
    <t>210/925</t>
  </si>
  <si>
    <t>210/566</t>
  </si>
  <si>
    <t>Унитарное предприятие "Автокас-М"</t>
  </si>
  <si>
    <t>ДДиМ "Золак" г.Минска</t>
  </si>
  <si>
    <t>210/682</t>
  </si>
  <si>
    <t>210/745</t>
  </si>
  <si>
    <t>210/185</t>
  </si>
  <si>
    <t>210/557</t>
  </si>
  <si>
    <t>210/182</t>
  </si>
  <si>
    <t>210/378</t>
  </si>
  <si>
    <t>ООО "МиГест-строй"</t>
  </si>
  <si>
    <t>ОАО "БЕЛРЕМСТРОЙСВЯЗЬ"</t>
  </si>
  <si>
    <t>210/560</t>
  </si>
  <si>
    <t>210/834</t>
  </si>
  <si>
    <t>210/897</t>
  </si>
  <si>
    <t>ЧП "Техспец аренда"</t>
  </si>
  <si>
    <t>РПКУП "Гордорматериалы"</t>
  </si>
  <si>
    <t>ООО "Алгари Камион"</t>
  </si>
  <si>
    <t>Адрес</t>
  </si>
  <si>
    <t>СООО "ЭЛЕЗЕР"</t>
  </si>
  <si>
    <t>210/687</t>
  </si>
  <si>
    <t>210/738</t>
  </si>
  <si>
    <t>Частное предприятие "Ждан"</t>
  </si>
  <si>
    <t>ПТЧУП "АГАВА"</t>
  </si>
  <si>
    <t>210/997</t>
  </si>
  <si>
    <t>ООО "Мофо"</t>
  </si>
  <si>
    <t>ООО "АфикоСервис"</t>
  </si>
  <si>
    <t>210/1068</t>
  </si>
  <si>
    <t>210/1067</t>
  </si>
  <si>
    <t>ООО Строительная компания "Эталонокна"</t>
  </si>
  <si>
    <t>210/1069</t>
  </si>
  <si>
    <t>УП "ДИКТУМ"</t>
  </si>
  <si>
    <t>210/1070</t>
  </si>
  <si>
    <t>ООО "Транспакагро"</t>
  </si>
  <si>
    <t>210/1075</t>
  </si>
  <si>
    <t>210/1076</t>
  </si>
  <si>
    <t>ЧУП "Спецэлектроконструнция"</t>
  </si>
  <si>
    <t>ООО "КаргоПол"</t>
  </si>
  <si>
    <t>210/1106</t>
  </si>
  <si>
    <t>ООО "Тайтранс"</t>
  </si>
  <si>
    <t>210/1107</t>
  </si>
  <si>
    <t>ООО "ДАЛ-гешефт"</t>
  </si>
  <si>
    <t>210/1108</t>
  </si>
  <si>
    <t>Частное предприятие "Галара"</t>
  </si>
  <si>
    <t>210/1109</t>
  </si>
  <si>
    <t>210/898</t>
  </si>
  <si>
    <t>ЗАО "Связка Технологий"</t>
  </si>
  <si>
    <t>СЛУЖБА БЕЗОПАСНОСТИ ПРЕЗИДЕНТА РБ(ВОЙСКОВАЯ ЧАСТЬ 01549)</t>
  </si>
  <si>
    <t>ООО "ИЗМЕТ"</t>
  </si>
  <si>
    <t>210/67</t>
  </si>
  <si>
    <t>210/639</t>
  </si>
  <si>
    <t>210/251</t>
  </si>
  <si>
    <t>210/2</t>
  </si>
  <si>
    <t>Автобус 3-х осный</t>
  </si>
  <si>
    <t>210/901</t>
  </si>
  <si>
    <t>210/276</t>
  </si>
  <si>
    <t>ЧТУП "Эксклюзив тайм"</t>
  </si>
  <si>
    <t>210/618</t>
  </si>
  <si>
    <t>Действующий на основании</t>
  </si>
  <si>
    <t>210/290</t>
  </si>
  <si>
    <t>ОДО "ДАНЖЕОН"</t>
  </si>
  <si>
    <t xml:space="preserve">от «Исполнителя»                                                                  </t>
  </si>
  <si>
    <t>УП "Белтехосмотр"</t>
  </si>
  <si>
    <t>37623374</t>
  </si>
  <si>
    <t>УНН</t>
  </si>
  <si>
    <t>210/17</t>
  </si>
  <si>
    <t>210/481</t>
  </si>
  <si>
    <t>210/969</t>
  </si>
  <si>
    <t>РУП "НАЦИОНАЛЬНЫЙ АЭРОПОРТ МИНСК"</t>
  </si>
  <si>
    <t>210/265</t>
  </si>
  <si>
    <t>210/478</t>
  </si>
  <si>
    <t>210/344</t>
  </si>
  <si>
    <t>210/946</t>
  </si>
  <si>
    <t>28663950</t>
  </si>
  <si>
    <t>в ЗАО "АБСОЛЮТБАНК",г.Минск</t>
  </si>
  <si>
    <t>220073,г.Минск,ул.Скрыганова,6-1001</t>
  </si>
  <si>
    <t>Селицкий О.Э.</t>
  </si>
  <si>
    <t>т.500-20-79,т/ф 500-20-78</t>
  </si>
  <si>
    <t>ООО" Тирекслайн"</t>
  </si>
  <si>
    <t>220125,Минский р-н,д.Копище,ул.Подгорная 67,пом.110,оф.4</t>
  </si>
  <si>
    <t>Лузгина А.С.</t>
  </si>
  <si>
    <t>8029-305-12-93</t>
  </si>
  <si>
    <t>210/267</t>
  </si>
  <si>
    <t>ООО "ВАМИКхолд"</t>
  </si>
  <si>
    <t>ЗАО "МТБанк" РКЦ "ВЕЖА" г.Минск, пр-т Машерова 54</t>
  </si>
  <si>
    <t>220104, г.Минск, пер.Корженевского 14, корп.4, офис 1</t>
  </si>
  <si>
    <t>Кичаев В.М.</t>
  </si>
  <si>
    <t>т.ф. 336-06-13</t>
  </si>
  <si>
    <t>37408598</t>
  </si>
  <si>
    <t>в ф-ле №511 ОАО "Беларусбанк",г.Минск,пр-т Партизанский,26</t>
  </si>
  <si>
    <t>220046,г.Минск,ул.Ваупшасова,15</t>
  </si>
  <si>
    <t>Коваленок А.И.</t>
  </si>
  <si>
    <t>т/ф приемной 273-9733, т/ф бух. 246-59-11</t>
  </si>
  <si>
    <t>ЧТУП "ТРАНС-ВЕЛЕС"</t>
  </si>
  <si>
    <t>Ф-л ОАО "Белагропромбанк"Минское областное управление, г.Минск</t>
  </si>
  <si>
    <t>Леончик С.И.</t>
  </si>
  <si>
    <t>т.ф. 8-0171955-4-65</t>
  </si>
  <si>
    <t>223917, Минская обл. Копыльский р-н, а.г.Мажа, ул.Аэродромная, д.1/2</t>
  </si>
  <si>
    <t>ЧТУП "Валсис-транс"</t>
  </si>
  <si>
    <t>Леончик И.Е.</t>
  </si>
  <si>
    <t>223917, Минская обл. Копыльский р-н, а.г.Мажа, ул.Аэродромная, д.1/3</t>
  </si>
  <si>
    <t>29161793</t>
  </si>
  <si>
    <t>в МО 2 ОАО "Банк БелВЭБ", 220020, г. Минск, пр-т Победителей, д.100</t>
  </si>
  <si>
    <t>220102, г. Минск, пр-=т Партизанский, 146а, п/о 102, а/я 104</t>
  </si>
  <si>
    <t>Курьянович Р.П.</t>
  </si>
  <si>
    <t>т. (017)273-72-31, ф.(017)273-72-30.</t>
  </si>
  <si>
    <t>ООО "МКТ-АВТО"</t>
  </si>
  <si>
    <t>14746312</t>
  </si>
  <si>
    <t xml:space="preserve">в ЗАО "АБСОЛЮТБАНК", 220023, г.Минск, пр-т Независимости, 95 </t>
  </si>
  <si>
    <t>220125, г.Минск, ул Городецкая, 15-144Б</t>
  </si>
  <si>
    <t>Сытин В.В.</t>
  </si>
  <si>
    <t>т/ф (017)266-35-73(77), 267-89-74, 267-92-24</t>
  </si>
  <si>
    <t>Шалимо А.М</t>
  </si>
  <si>
    <t>ОАО "МАПИД" СУ-246</t>
  </si>
  <si>
    <t>доверенности №02/79 от 20.03.17</t>
  </si>
  <si>
    <t>Шалимо А.М.</t>
  </si>
  <si>
    <t>18.04.2017</t>
  </si>
  <si>
    <t>378583675000</t>
  </si>
  <si>
    <t>в ЗАО "БСБ Банк".г.Минск,пр-т Победителей ,23,кор.3</t>
  </si>
  <si>
    <t>220037,г.Минск.ул.Столетова,д.62,пом.7</t>
  </si>
  <si>
    <t>Шишаков М.Л.</t>
  </si>
  <si>
    <t>т/ф 245-17-01,8029-189-04-43</t>
  </si>
  <si>
    <t>ООО ЗОДИАКАВТО"</t>
  </si>
  <si>
    <t>ОАО "БНБ-Банк"</t>
  </si>
  <si>
    <t>223062, Минский р-н, пос.Привольный. Ул.Мира, 15А</t>
  </si>
  <si>
    <t>т.8017-345-52-67</t>
  </si>
  <si>
    <t>210/142</t>
  </si>
  <si>
    <t>210/233</t>
  </si>
  <si>
    <t>Частное предприятие "ВИАЛ-КАС"</t>
  </si>
  <si>
    <t>210/437</t>
  </si>
  <si>
    <t>Червенская РОС ДОСААФ</t>
  </si>
  <si>
    <r>
      <t xml:space="preserve">Для этого выделите любую ячейку в удаляемой строке и нажмите кнопку </t>
    </r>
    <r>
      <rPr>
        <b/>
        <i/>
        <sz val="8"/>
        <color indexed="44"/>
        <rFont val="Arial Cyr"/>
        <charset val="204"/>
      </rPr>
      <t xml:space="preserve">Удалить активную строку БД </t>
    </r>
    <r>
      <rPr>
        <b/>
        <i/>
        <sz val="8"/>
        <color indexed="13"/>
        <rFont val="Arial Cyr"/>
        <charset val="204"/>
      </rPr>
      <t>на специальной панели</t>
    </r>
  </si>
  <si>
    <t>210/220</t>
  </si>
  <si>
    <t>210/231</t>
  </si>
  <si>
    <t>210/839</t>
  </si>
  <si>
    <t>210/396</t>
  </si>
  <si>
    <t>7. Реквизиты и подписи сторон</t>
  </si>
  <si>
    <t>ЧТУП "КОРБИНА-СЕРВИС-ТОРГ"</t>
  </si>
  <si>
    <t>ЧПТУП "Топлидер"</t>
  </si>
  <si>
    <t>МИНСКОЕ ГПЛХО</t>
  </si>
  <si>
    <t>на оказание услуг на проведение государственного технического осмотра</t>
  </si>
  <si>
    <t>от «Заказчика»</t>
  </si>
  <si>
    <t>Автобус 2-х осный</t>
  </si>
  <si>
    <t>210/209</t>
  </si>
  <si>
    <t>ЗАО "Беролина"</t>
  </si>
  <si>
    <t>ЗАО "МАЛЬВА-ПРОСПЕКТ"</t>
  </si>
  <si>
    <t>ЧП "Жаврид"</t>
  </si>
  <si>
    <t>210/37</t>
  </si>
  <si>
    <t>210/562</t>
  </si>
  <si>
    <t>210/163</t>
  </si>
  <si>
    <t>ИП "ОЛЕШКЕВИЧ СЕРГЕЙ КУЗЬМИЧ"</t>
  </si>
  <si>
    <t xml:space="preserve">ИП Калтович Виктор Петрович </t>
  </si>
  <si>
    <t>210/899</t>
  </si>
  <si>
    <t>210/412</t>
  </si>
  <si>
    <t>ООО "УЮТкомплексстрой"</t>
  </si>
  <si>
    <t>ЧТУП "Онитэйп сервис"</t>
  </si>
  <si>
    <t>ЧП МАПАН</t>
  </si>
  <si>
    <t>210/1</t>
  </si>
  <si>
    <t>210/539</t>
  </si>
  <si>
    <t xml:space="preserve">
составили настоящий акт о том, что работа выполнена в полном объеме и оформлена в надлежащем порядке. </t>
  </si>
  <si>
    <t>ООО "ТЕКТОНИТ"</t>
  </si>
  <si>
    <t>ЗАО "Объединенные Технологии"</t>
  </si>
  <si>
    <t>ОАО МЗКТ</t>
  </si>
  <si>
    <t>210/491</t>
  </si>
  <si>
    <t>Государственное специализированное лесохозяйственное уч-ние "Боровлянский спецлесхоз"</t>
  </si>
  <si>
    <t>210/956</t>
  </si>
  <si>
    <t>ООО "ВегаЛэнд"</t>
  </si>
  <si>
    <t>Торговое унитарное предприятие "Нагрохимэкспорт"</t>
  </si>
  <si>
    <t>210/1001</t>
  </si>
  <si>
    <t>ЧТУП "СОЛОДЕЛИВ"</t>
  </si>
  <si>
    <t>ЗАО "ГИДРОДИНАМИКА"</t>
  </si>
  <si>
    <t>210/153</t>
  </si>
  <si>
    <t>ООО "НИКИТИН"</t>
  </si>
  <si>
    <t>210/92</t>
  </si>
  <si>
    <t>ООО "Миран-парфюм"</t>
  </si>
  <si>
    <t>СООО "Волат-Санцзян"</t>
  </si>
  <si>
    <t>210/667</t>
  </si>
  <si>
    <t>210/577</t>
  </si>
  <si>
    <t>СООО "ТАМТАС"</t>
  </si>
  <si>
    <t>210/408</t>
  </si>
  <si>
    <t>ООО "Белавтотранссервис"</t>
  </si>
  <si>
    <t>ЧТУП "ПарТрансКом"</t>
  </si>
  <si>
    <t>СООО"Евротранспродукт"</t>
  </si>
  <si>
    <t>210/34</t>
  </si>
  <si>
    <t>ЧТУП "ФэстДельвери"</t>
  </si>
  <si>
    <t>ООО "ЮСВ-ЭЛЕКТРО"</t>
  </si>
  <si>
    <t>ООО "ТЕПЛОСЕТИСТРОЙ"</t>
  </si>
  <si>
    <t>210/362</t>
  </si>
  <si>
    <t>210/147</t>
  </si>
  <si>
    <t xml:space="preserve">                                                                                     </t>
  </si>
  <si>
    <t>Кол-во</t>
  </si>
  <si>
    <t>210/850</t>
  </si>
  <si>
    <t>Управление образования,спорта и туризма администрации Заводского района г.Минска</t>
  </si>
  <si>
    <t>210/965</t>
  </si>
  <si>
    <t>210/248</t>
  </si>
  <si>
    <t xml:space="preserve">НДС (ставка 20%) </t>
  </si>
  <si>
    <t xml:space="preserve">итого с НДС </t>
  </si>
  <si>
    <t>210/542</t>
  </si>
  <si>
    <t>210/939</t>
  </si>
  <si>
    <t>ООО "МегаЛоудТранс"</t>
  </si>
  <si>
    <t>210/289</t>
  </si>
  <si>
    <t>ООО "Спартис"</t>
  </si>
  <si>
    <t>210/919</t>
  </si>
  <si>
    <t>210/741</t>
  </si>
  <si>
    <t>210/650</t>
  </si>
  <si>
    <t>210/517</t>
  </si>
  <si>
    <t>ЧТУП "Грузовой экспресс"</t>
  </si>
  <si>
    <t>ИООО " Газпромнефть-Белнефтепродукт"</t>
  </si>
  <si>
    <t>210/970</t>
  </si>
  <si>
    <t>210/145</t>
  </si>
  <si>
    <t>210/373</t>
  </si>
  <si>
    <t>ЧТУП "Логунова"</t>
  </si>
  <si>
    <t>ООО "ИнтерГлассФасадПлюс"</t>
  </si>
  <si>
    <t>210/963</t>
  </si>
  <si>
    <t>210/455</t>
  </si>
  <si>
    <t>Для сортировки списка контрагентов по алфавиту нажмите третью кнопку на этой панели инструментов.</t>
  </si>
  <si>
    <t>ЧТУП " БелАвтоТрансГарант"</t>
  </si>
  <si>
    <t>КУП "ЗЕЛЕНСТРОЙ Заводского района г.Минска"</t>
  </si>
  <si>
    <t>ГОСУДАРСТВЕННОЕ ПРЕДПРИЯТИЕ " БЕЛГИПРОДОР"</t>
  </si>
  <si>
    <t>210/361</t>
  </si>
  <si>
    <t>ООО "ОДФ"</t>
  </si>
  <si>
    <t>210/428</t>
  </si>
  <si>
    <t>ОДО "ЦЕНТР ИННОВАЦИЙ"</t>
  </si>
  <si>
    <t>РУП "БЕЛНИПИЭНЕРГОПРОМ"</t>
  </si>
  <si>
    <t>ООО"Автолайтэкспресс"</t>
  </si>
  <si>
    <t>ЧАСТНОЕ ТРАНСПОРТНОЕ УНИТАРНОЕ ПРЕДПРИЯТИЕ  "ТРИМОСТА"</t>
  </si>
  <si>
    <t>Белорусское республиканское унитарное страховое предприятие "Белгосстрах" Представительства Белгосстраха по Червенскому району</t>
  </si>
  <si>
    <t>ОАО "Минскремстрой" Филиал "Санаторий "Спутник"</t>
  </si>
  <si>
    <t>210/41</t>
  </si>
  <si>
    <t>210/814</t>
  </si>
  <si>
    <t>210/340</t>
  </si>
  <si>
    <t>ОДО "КВИНТАСТАДОР"</t>
  </si>
  <si>
    <t>ЗАО "БЕЛВНЕШИНВЕСТ"</t>
  </si>
  <si>
    <t>ООО "ИНТЕРТРАНСАВТО"</t>
  </si>
  <si>
    <t>ООО "Ансабэл"</t>
  </si>
  <si>
    <t>КФХ "Все для народа"</t>
  </si>
  <si>
    <t>ЧТЭУП "ТРИШИН-ПЛЮС"</t>
  </si>
  <si>
    <t>ООО "Оствесттранскар"</t>
  </si>
  <si>
    <t>ООО "АСК-АвтоПром"</t>
  </si>
  <si>
    <t>210/174</t>
  </si>
  <si>
    <t>ОДО "ДТП"</t>
  </si>
  <si>
    <t>210/523</t>
  </si>
  <si>
    <t>РУП"Минскэнерго"ф-л "Минскэнергоспецремонт"</t>
  </si>
  <si>
    <t>СООО "Армянские коньяки"</t>
  </si>
  <si>
    <t>210/1038</t>
  </si>
  <si>
    <t>ООО СПЛИТТОРГ</t>
  </si>
  <si>
    <t>210/1039</t>
  </si>
  <si>
    <t>ООО "АЗЕРБЕЛТРЕЙД"</t>
  </si>
  <si>
    <t>210/1040</t>
  </si>
  <si>
    <t>210/1041</t>
  </si>
  <si>
    <t>210/128</t>
  </si>
  <si>
    <t>ООО "Тензавто"</t>
  </si>
  <si>
    <t>ООО "РДК-ГРУПП"</t>
  </si>
  <si>
    <t>Легковой автомобиль с двигателем работающем на дизельном или газовом топливе, с колесной формулой 4x4</t>
  </si>
  <si>
    <t>210/533</t>
  </si>
  <si>
    <t>210/882</t>
  </si>
  <si>
    <t>ЧТПУП "ТОПИНВЕСТ"</t>
  </si>
  <si>
    <t>210/883</t>
  </si>
  <si>
    <t>210/864</t>
  </si>
  <si>
    <t>ООО "АльянсЮнион"</t>
  </si>
  <si>
    <t>210/152</t>
  </si>
  <si>
    <t>ООО "ТОКО-МАЛ"</t>
  </si>
  <si>
    <t>210/861</t>
  </si>
  <si>
    <t>210/364</t>
  </si>
  <si>
    <t>210/44</t>
  </si>
  <si>
    <t xml:space="preserve"> ЧТУП "МГ ТРАНС"</t>
  </si>
  <si>
    <t>ООО "НТЦ АПИ"</t>
  </si>
  <si>
    <t>210/32</t>
  </si>
  <si>
    <t>ИООО "Рико-Техцентр"</t>
  </si>
  <si>
    <t>37680142</t>
  </si>
  <si>
    <t>ОАО "Белвнешэкономбанк" г.Минск,ул.Мясникова,32</t>
  </si>
  <si>
    <t>220123 г.Минск, ул.В.Хоружей, 22 оф.19, ком 3</t>
  </si>
  <si>
    <t>Самец А.Н.</t>
  </si>
  <si>
    <t>т.ф. 3344690, тел.286-04-16</t>
  </si>
  <si>
    <t>29184525</t>
  </si>
  <si>
    <t>ОАО "АСБ Беларусбанк", г. Минск, ул. Сурганова, 47А</t>
  </si>
  <si>
    <t>223053, Минский р-н, д. Боровляны, ул. Школьная, 16</t>
  </si>
  <si>
    <t>Готовко И.К</t>
  </si>
  <si>
    <t>683-76-01</t>
  </si>
  <si>
    <t>300885416000</t>
  </si>
  <si>
    <t>в ОАО "Приорбанк"ЦБУ 114,г.Минск</t>
  </si>
  <si>
    <t xml:space="preserve">Управляющий </t>
  </si>
  <si>
    <t>т.273-65-21,т/ф 299-87-19</t>
  </si>
  <si>
    <t>Курамшин С.В.</t>
  </si>
  <si>
    <t>223060,Минская обл.,Минский р-н,д.Большой Тростенец,ул.Мирная,58А,ком.9</t>
  </si>
  <si>
    <t>Государственное предприятие "Ремавтодор Первомайского района г.Минска"</t>
  </si>
  <si>
    <t>03277630</t>
  </si>
  <si>
    <t>в Филиале 529 Белсвязь АСБ "Беларусбанк",г.Минск</t>
  </si>
  <si>
    <t>г.Минск,ул.Калиновского,115</t>
  </si>
  <si>
    <t>Германчук В.Н.</t>
  </si>
  <si>
    <t>т/ф 267-47-45,267-95-02,267-54-27(бух.)</t>
  </si>
  <si>
    <t>ЧТУП"Трафик-Хром"</t>
  </si>
  <si>
    <t>в ЦБУ 700 ОАО "БПС-СБЕРБАНК",г.Минск</t>
  </si>
  <si>
    <t>Минский р-н,д.Плебанцы,46-1</t>
  </si>
  <si>
    <t>Хроменко С.Н.</t>
  </si>
  <si>
    <t>8029-619-19-41</t>
  </si>
  <si>
    <t>УМ УП "МИНСКМЕТРОСТРОЙ"</t>
  </si>
  <si>
    <t>04704502</t>
  </si>
  <si>
    <t>в Региональной Дирекции №700 по г.Минску и Минской области ОАО "БПС-Сбербанк", 220035, г.Минск, пр-т Машерова, 80</t>
  </si>
  <si>
    <t>директора</t>
  </si>
  <si>
    <t>Фордуева А.А.</t>
  </si>
  <si>
    <t>доверенности №18 от 04.01.2017г.</t>
  </si>
  <si>
    <t>(017)344-59-41</t>
  </si>
  <si>
    <t>220075, г.Минск, ул. Селицкого, 15Б</t>
  </si>
  <si>
    <t>ЧТУП "Главтелеком"</t>
  </si>
  <si>
    <t>210/369</t>
  </si>
  <si>
    <t>УНП:</t>
  </si>
  <si>
    <t>ООО "Баумарт АВТО"</t>
  </si>
  <si>
    <t>Ф-Л "Строительное управление №200" ОАО "Стройтрест №35"</t>
  </si>
  <si>
    <t>210/498</t>
  </si>
  <si>
    <t>6.Срок действия договора</t>
  </si>
  <si>
    <t>210/535</t>
  </si>
  <si>
    <t>210/398</t>
  </si>
  <si>
    <t>210/85</t>
  </si>
  <si>
    <t>210/957</t>
  </si>
  <si>
    <t>210/470</t>
  </si>
  <si>
    <t>210/193</t>
  </si>
  <si>
    <t>210/234</t>
  </si>
  <si>
    <t>ЧП "ВЕСТКАРГО"</t>
  </si>
  <si>
    <t>210/442</t>
  </si>
  <si>
    <t>ООО "ПРОДУКТОРИЯ"</t>
  </si>
  <si>
    <t>210/586</t>
  </si>
  <si>
    <t>210/420</t>
  </si>
  <si>
    <t>210/313</t>
  </si>
  <si>
    <t>СП "САНТА ИМПЭКС БРЕСТ" ООО</t>
  </si>
  <si>
    <t>210/746</t>
  </si>
  <si>
    <t>Филиал "Мостостроительное управление №6" ОАО "Мостострой"</t>
  </si>
  <si>
    <t>ООО "ПРОМИС АЛЬЯНС"</t>
  </si>
  <si>
    <t>ЧПУП "ЭлектроРемКомПроект"</t>
  </si>
  <si>
    <t>210/914</t>
  </si>
  <si>
    <t>ГП "ЭКСПЕРИМЕНТАЛЬНАЯ БАЗА "НАТАЛЬЕВСК"</t>
  </si>
  <si>
    <t>210/739</t>
  </si>
  <si>
    <t>210/222</t>
  </si>
  <si>
    <t>210/823</t>
  </si>
  <si>
    <t>ООО "Вышегор"</t>
  </si>
  <si>
    <t>210/337</t>
  </si>
  <si>
    <t>210/777</t>
  </si>
  <si>
    <t>ООО "ШНАЙДЕР"</t>
  </si>
  <si>
    <t>ОДО "БЕКОЛИТ"</t>
  </si>
  <si>
    <t>210/203</t>
  </si>
  <si>
    <t>210/164</t>
  </si>
  <si>
    <t>210/269</t>
  </si>
  <si>
    <t>Червенский филиал ГП "Миноблтопливо"</t>
  </si>
  <si>
    <t>210/372</t>
  </si>
  <si>
    <t>ИП "ВЕЛКОМ"</t>
  </si>
  <si>
    <t>210/79</t>
  </si>
  <si>
    <t>210/790</t>
  </si>
  <si>
    <t>ОДО "ДелуРус"</t>
  </si>
  <si>
    <t>210/947</t>
  </si>
  <si>
    <t>Минский институт управления</t>
  </si>
  <si>
    <t>210/695</t>
  </si>
  <si>
    <t>ФИО</t>
  </si>
  <si>
    <t>210/655</t>
  </si>
  <si>
    <t>ООО Современный логистический центр "Двадцать четыре"</t>
  </si>
  <si>
    <t>210/1018</t>
  </si>
  <si>
    <t>210/657</t>
  </si>
  <si>
    <t>СООО "Норман Лоджистикс"</t>
  </si>
  <si>
    <t>УП "Мигтранс"</t>
  </si>
  <si>
    <t>КРЕСТЬЯНСКОЕ(ФЕРМЕРСКОЕ) ХОЗЯЙСТВО "ТУРКО"</t>
  </si>
  <si>
    <t>210/678</t>
  </si>
  <si>
    <t>ОАО "МИНСКЖЕЛЕЗОБЕТОН"</t>
  </si>
  <si>
    <t>Проведение гостехосмотра ТС:</t>
  </si>
  <si>
    <t xml:space="preserve"> </t>
  </si>
  <si>
    <t>210/130</t>
  </si>
  <si>
    <t>210/553</t>
  </si>
  <si>
    <t>210/672</t>
  </si>
  <si>
    <t>210/838</t>
  </si>
  <si>
    <t>Частное Предприятие"ЦыбыкСервис"</t>
  </si>
  <si>
    <t>ЧУП "ИНТЕРСПУТНИКТРАНС"</t>
  </si>
  <si>
    <t>210/663</t>
  </si>
  <si>
    <t>210/592</t>
  </si>
  <si>
    <t>210/22</t>
  </si>
  <si>
    <t>210/505</t>
  </si>
  <si>
    <t>210/275</t>
  </si>
  <si>
    <t>ЧТУП "ЛоКорТорг"</t>
  </si>
  <si>
    <t>210/918</t>
  </si>
  <si>
    <t>210/641</t>
  </si>
  <si>
    <t>ЧТУП " МФ Торг"</t>
  </si>
  <si>
    <t>ЧТПУП "Машагропресс"</t>
  </si>
  <si>
    <t>210/563</t>
  </si>
  <si>
    <t>ОДО "СЭЛТАМ"</t>
  </si>
  <si>
    <t>Частное предприятие "БЕЛТРЭЛ"</t>
  </si>
  <si>
    <t>210/171</t>
  </si>
  <si>
    <t>ООО "Вектор-Инжиниринг"</t>
  </si>
  <si>
    <t>210/156</t>
  </si>
  <si>
    <t>210/162</t>
  </si>
  <si>
    <t>Грузовой автомобиль или автомобиль-тягач с технически допустимой общей массой более 12 тонн, предназначенный для перевозки определенных опасных грузов</t>
  </si>
  <si>
    <t>210/284</t>
  </si>
  <si>
    <t>210/272</t>
  </si>
  <si>
    <t>СООО "Ювелирный завод "Зорка"</t>
  </si>
  <si>
    <t>ЧУП "БЕЛПОЖМОНТАЖ"</t>
  </si>
  <si>
    <t>ЧТУП "Грузолайф"</t>
  </si>
  <si>
    <t>210/911</t>
  </si>
  <si>
    <t>210/461</t>
  </si>
  <si>
    <t>210/254</t>
  </si>
  <si>
    <t>210/673</t>
  </si>
  <si>
    <t>Частное унитарное предприятие по оказанию услуг "Мажел"</t>
  </si>
  <si>
    <t>ЧТПУП "МИНОМ-ПРО"</t>
  </si>
  <si>
    <t>ЧТПУП"Арматурные технологии"</t>
  </si>
  <si>
    <t>210/707</t>
  </si>
  <si>
    <t>транспортных средств на диагностической станции УП "Белтехосмотр"</t>
  </si>
  <si>
    <t>ЧТУП "БиСТранс"</t>
  </si>
  <si>
    <t>ИПТУП "Маркойлбел""</t>
  </si>
  <si>
    <t>ИООО "Цеппелин Вайсрусланд"</t>
  </si>
  <si>
    <t>ОДО "Геофундаменты"</t>
  </si>
  <si>
    <t>ИООО "Регент-Белавангард"</t>
  </si>
  <si>
    <t>210/255</t>
  </si>
  <si>
    <t>210/328</t>
  </si>
  <si>
    <t>210/550</t>
  </si>
  <si>
    <t>210/245</t>
  </si>
  <si>
    <t>ИООО "Белтрана"</t>
  </si>
  <si>
    <t>210/851</t>
  </si>
  <si>
    <t>210/538</t>
  </si>
  <si>
    <t>УНП</t>
  </si>
  <si>
    <t>НП ЧУП "БЕЛОРИТ"</t>
  </si>
  <si>
    <t>210/50</t>
  </si>
  <si>
    <t>ЧУП "МасштабПроект"</t>
  </si>
  <si>
    <t>210/854</t>
  </si>
  <si>
    <t>210/191</t>
  </si>
  <si>
    <t>ООО "Запагромаш"</t>
  </si>
  <si>
    <t>210/257</t>
  </si>
  <si>
    <t>210/271</t>
  </si>
  <si>
    <t>210/554</t>
  </si>
  <si>
    <t>210/999</t>
  </si>
  <si>
    <t>договорные.</t>
  </si>
  <si>
    <t>210/880</t>
  </si>
  <si>
    <t>УО "МГПЛ №14 деревообрабатывающего производства и транспортного обслуживания"</t>
  </si>
  <si>
    <t>210/256</t>
  </si>
  <si>
    <t>210/490</t>
  </si>
  <si>
    <t>МИНСКАЯ ГОРОДСКАЯ ОРГАНИЗАЦИЯ БЕЛОРУССКОГО ОБЩЕСТВА КРАСНОГО КРЕСТА</t>
  </si>
  <si>
    <t>ООО "СО СМАКОМ ПЛЮС"</t>
  </si>
  <si>
    <t>210/1086</t>
  </si>
  <si>
    <t>ЧУП по оказанию услуг "АгатИнком"</t>
  </si>
  <si>
    <t>210/1087</t>
  </si>
  <si>
    <t>Автобус с технически допустимой общей массой не более 5 тонн</t>
  </si>
  <si>
    <t>210/721</t>
  </si>
  <si>
    <t>210/414</t>
  </si>
  <si>
    <t>Иностранное производственно-торговое унитарное предприятие "Тотал Ойл"</t>
  </si>
  <si>
    <t>210/653</t>
  </si>
  <si>
    <t>ГУП ЖРЭО Заводского района г. Минска</t>
  </si>
  <si>
    <t>ООО "ЭЛЕКТРОИЗДЕЛИЕ"</t>
  </si>
  <si>
    <t>КРЕСТЬЯНСКОЕ ХОЗЯЙСТВО "ТЕМП-ЗСА"</t>
  </si>
  <si>
    <t>210/484</t>
  </si>
  <si>
    <t>ООО "АквилонАвто"</t>
  </si>
  <si>
    <t>КФХ Мелешкевича Г.И.</t>
  </si>
  <si>
    <t>ЧЕРВЕНСКОЕ РАЙОННОЕ ПОТРЕБИТЕЛЬСКОЕ ОБЩЕСТВО</t>
  </si>
  <si>
    <t>Частное предпрятие "Хладагент"</t>
  </si>
  <si>
    <t>ООО "РЕЗОНАНС"</t>
  </si>
  <si>
    <t>УП ЯНСТРОНГ</t>
  </si>
  <si>
    <t>210/215</t>
  </si>
  <si>
    <t>210/451</t>
  </si>
  <si>
    <t>ООО "ГРУЗСПЕЦТРАНС"</t>
  </si>
  <si>
    <t>ОДО "ТЕХРОЛ"</t>
  </si>
  <si>
    <t>ООО "Автофарт"</t>
  </si>
  <si>
    <t>210/277</t>
  </si>
  <si>
    <t>210/243</t>
  </si>
  <si>
    <t>210/737</t>
  </si>
  <si>
    <t>Грузовой автомобиль 3-х осный</t>
  </si>
  <si>
    <t>ООО "БАСКарго"</t>
  </si>
  <si>
    <t>Грузовой автомобиль или автомобиль-тягач с технически допустимой общей массой более 3,5 и не более 12 тонн, предназначенный для перевозки определенных опасных грузов</t>
  </si>
  <si>
    <t>210/148</t>
  </si>
  <si>
    <t xml:space="preserve">начальник ДС УП «Белтехосмотр»                                   </t>
  </si>
  <si>
    <t>Директор</t>
  </si>
  <si>
    <t>210/877</t>
  </si>
  <si>
    <t>210/568</t>
  </si>
  <si>
    <t>Частное предприятие "Жаврид"</t>
  </si>
  <si>
    <t>ООО "СМТулс"</t>
  </si>
  <si>
    <t>210/521</t>
  </si>
  <si>
    <t>210/426</t>
  </si>
  <si>
    <t>ОДО "АЙРОНТИМ"</t>
  </si>
  <si>
    <t>ЧТУП "Богдалекс Транс"</t>
  </si>
  <si>
    <t xml:space="preserve">Мотоцикл </t>
  </si>
  <si>
    <t>Сумма НДС прописью:</t>
  </si>
  <si>
    <t>ООО "ВЭДЭМ-СЕРВИС"</t>
  </si>
  <si>
    <t>210/985</t>
  </si>
  <si>
    <t>210/358</t>
  </si>
  <si>
    <t xml:space="preserve">                   </t>
  </si>
  <si>
    <t>ООО "Рашан"</t>
  </si>
  <si>
    <t>210/770</t>
  </si>
  <si>
    <t>СЗАО "ВАЙТ ТРЭЙДИНГ"</t>
  </si>
  <si>
    <t>210/510</t>
  </si>
  <si>
    <t>210/585</t>
  </si>
  <si>
    <t>Наименовние заказчика</t>
  </si>
  <si>
    <t>ООО "БавоСтрой"</t>
  </si>
  <si>
    <t>210/107</t>
  </si>
  <si>
    <t>210/974</t>
  </si>
  <si>
    <t>210/765</t>
  </si>
  <si>
    <t>210/888</t>
  </si>
  <si>
    <t>ООО "БЕЛДИМОЛ"</t>
  </si>
  <si>
    <t>210/629</t>
  </si>
  <si>
    <t>210/488</t>
  </si>
  <si>
    <t>ООО "АвтопартнерКОМ"</t>
  </si>
  <si>
    <t>210/166</t>
  </si>
  <si>
    <t>210/600</t>
  </si>
  <si>
    <t>210/421</t>
  </si>
  <si>
    <t>Клинокский сельский исполнительный комитет</t>
  </si>
  <si>
    <t>ИООО "Кнауф Маркетинг"</t>
  </si>
  <si>
    <t>2. Права и обязанности сторон</t>
  </si>
  <si>
    <t>ЧП "ШкотТрансСервис"</t>
  </si>
  <si>
    <t>1. Заказчик производит 100% предоплату в течении 5 банковских дней с даты получения настоящего счета.</t>
  </si>
  <si>
    <t>210/431</t>
  </si>
  <si>
    <t>ООО "Эмаунт"</t>
  </si>
  <si>
    <t>210/1013</t>
  </si>
  <si>
    <t>ООО "Стимул Гарант"</t>
  </si>
  <si>
    <t>210/1014</t>
  </si>
  <si>
    <t>ООО "ФОРМЭЛЬ"</t>
  </si>
  <si>
    <t>210/1015</t>
  </si>
  <si>
    <t>ООО "АВИЛА"</t>
  </si>
  <si>
    <t>210/1016</t>
  </si>
  <si>
    <t>Частное предприятие "Целебная вода"</t>
  </si>
  <si>
    <t>210/1017</t>
  </si>
  <si>
    <t>210/989</t>
  </si>
  <si>
    <t>ТЧУП "ШАТЕ-М ПЛЮС"</t>
  </si>
  <si>
    <t>ОДО "АВТОСТРОЙГАРАНТ"</t>
  </si>
  <si>
    <t>ООО "Ройал Дэливэри"</t>
  </si>
  <si>
    <t>210/62</t>
  </si>
  <si>
    <t>ЧСУП "ДИСТА"</t>
  </si>
  <si>
    <t>210/915</t>
  </si>
  <si>
    <t>210/295</t>
  </si>
  <si>
    <t>ИП "Харпут тур"</t>
  </si>
  <si>
    <t>210/359</t>
  </si>
  <si>
    <t>ООО "АЛЛИУМ"</t>
  </si>
  <si>
    <t>ОАО "КРИНИЦА"</t>
  </si>
  <si>
    <t>Ед.
изм.</t>
  </si>
  <si>
    <t>ООО "АйтиАвто"</t>
  </si>
  <si>
    <t>РУП "Издательство"Адукацыя i выхаванне"</t>
  </si>
  <si>
    <t>Филиал ЖКУ ОАО"Минскпромстрой"</t>
  </si>
  <si>
    <t>"ООО ЭЛЕКТРОДВИГАТЕЛЬ - 2"</t>
  </si>
  <si>
    <t>В фил.514 АСБ "Беларусьбанк"</t>
  </si>
  <si>
    <t>223053,Минский р-н д. Боровляны ул. Школьная,16-308</t>
  </si>
  <si>
    <t>Готовко А.И.</t>
  </si>
  <si>
    <t>т/ф 394-59-68,394-58-76</t>
  </si>
  <si>
    <t>37615127</t>
  </si>
  <si>
    <t>в Приорбанк ОАО ЦБУ 102</t>
  </si>
  <si>
    <t>220113,г.Минск,ул.Мележа,1-1228</t>
  </si>
  <si>
    <t>ИП "БелЕвролайнс"</t>
  </si>
  <si>
    <t>37534423</t>
  </si>
  <si>
    <t>в ОАО "Приорбанк",ЦБУ 100,г.Минск</t>
  </si>
  <si>
    <t>223053,Минский р-н,д.Боровая.д.3,ком.32</t>
  </si>
  <si>
    <t>Дьячук И.В.</t>
  </si>
  <si>
    <t>т/ф 505-70-48</t>
  </si>
  <si>
    <t>14549965</t>
  </si>
  <si>
    <t>ЦБУ №527 ОАО "Белинвестбанк" г.Минск, 220030 ул.Ленина д.16</t>
  </si>
  <si>
    <t>220030, г.Минск, пл.Свободы д.9</t>
  </si>
  <si>
    <t>Климантович А.А.</t>
  </si>
  <si>
    <t>т.ф. 226-90-92</t>
  </si>
  <si>
    <t>ООО "НекстТрэйд"</t>
  </si>
  <si>
    <t>Кухта А.В.</t>
  </si>
  <si>
    <t>220039, г.Минск, ул.Брилевская д.29, к.4</t>
  </si>
  <si>
    <t>т.ф. 8029645-01-56</t>
  </si>
  <si>
    <t>01383813</t>
  </si>
  <si>
    <t>в ЦБУ №706 ОАО "БПС-Сбербанк",г.Минск</t>
  </si>
  <si>
    <t>командир отряда</t>
  </si>
  <si>
    <t>г.Минск,ул.Железнодорожная,18а</t>
  </si>
  <si>
    <t>Черепанов А.И.</t>
  </si>
  <si>
    <t>т.б 203-07-32</t>
  </si>
  <si>
    <t>в ОАО ЦБУ 101 "Приорбанк",г.Минск</t>
  </si>
  <si>
    <t>223012,Минская обл,г.п.Мачулищи,ул.Аэродромная 1-б</t>
  </si>
  <si>
    <t>Гниломедов С.В.</t>
  </si>
  <si>
    <t>т/ф 504-63-39(40)</t>
  </si>
  <si>
    <t>29161735</t>
  </si>
  <si>
    <t>220075,г.Минск,ул.Селицкого,д.21,кор.2,ком.301</t>
  </si>
  <si>
    <t>Филиппов А.Н.</t>
  </si>
  <si>
    <t>т.277-13-19,т/ф 277-13-20</t>
  </si>
  <si>
    <t>3016182900</t>
  </si>
  <si>
    <t>в ОАО "Технобанк" г.Минск, ул.Кропоткина, 44</t>
  </si>
  <si>
    <t>Круплевич Е.В.</t>
  </si>
  <si>
    <t>т/ф 291085977</t>
  </si>
  <si>
    <t>223049, Минская обл., Минский р-н, Щомыслицкий с/с, д.16, пом.13</t>
  </si>
  <si>
    <t>37656215</t>
  </si>
  <si>
    <t>в ОАО "Банк БелВЭБ",г.Минск</t>
  </si>
  <si>
    <t>220125,г.Минск,ул.Шафарнянская,д.18.пом.16</t>
  </si>
  <si>
    <t>Шимко В.З.</t>
  </si>
  <si>
    <t>т/ф 265-60-05 (03,04,25)</t>
  </si>
  <si>
    <t>Ильюшонка В.С.</t>
  </si>
  <si>
    <t>ООО "СУ-3 Белстрой"</t>
  </si>
  <si>
    <t>3012031957016</t>
  </si>
  <si>
    <t xml:space="preserve"> ОАО "ПриорБанк" </t>
  </si>
  <si>
    <t>г.Минск, ул.Селицкого 37</t>
  </si>
  <si>
    <t>Красинский А.Л.</t>
  </si>
  <si>
    <t>решения №3 от 07.04.17 и устава</t>
  </si>
  <si>
    <t>т.ф. 344-19-22</t>
  </si>
  <si>
    <t>в "Приорбанк" ОАО ЦБУ 101, г. Минск</t>
  </si>
  <si>
    <t>220014, г. Минск, ул. Попова, 24а, к. 14, 17</t>
  </si>
  <si>
    <t>Кадлубович К.Л.</t>
  </si>
  <si>
    <t>2221423, 2221194 2221196</t>
  </si>
  <si>
    <t>ООО "Реал Коро"</t>
  </si>
  <si>
    <t>3012031800018</t>
  </si>
  <si>
    <t>в ОАО "Банк Москва-Минск",г.Минск,улКоммунистическая,д.49,пом.1</t>
  </si>
  <si>
    <t>220047,Минская обл.,Минский р-н,д.Большое Стиклево,ул.Восточная,д.4,пом 1-12</t>
  </si>
  <si>
    <t>Жигало А.В.</t>
  </si>
  <si>
    <t>т/ф 246-35-43,291-20-11</t>
  </si>
  <si>
    <t>ЧТУП "ИНТТРАНЗИТ"</t>
  </si>
  <si>
    <t>3012027409015</t>
  </si>
  <si>
    <t>в ОАО "Приорбанк" ЦБУ 101,г.Минск</t>
  </si>
  <si>
    <t>Минская обл.,Логойский р-н,д.Знаменка,пер.Полевой ,д.4</t>
  </si>
  <si>
    <t>8029-650-84-78</t>
  </si>
  <si>
    <t>ООО "БЕЛОСНЕЖКА"</t>
  </si>
  <si>
    <t>37563330</t>
  </si>
  <si>
    <t>3012004282011</t>
  </si>
  <si>
    <t>220102,г.Минск,пр-т Партизанский д.152,офис 10</t>
  </si>
  <si>
    <t>Воложин Д.А.</t>
  </si>
  <si>
    <t>т. 241-19-33,241-22-62,241-25-72,ф.241-24-82</t>
  </si>
  <si>
    <t>377485135000</t>
  </si>
  <si>
    <t>ЗАО "БелСвиссБанк" РКЦ№7,</t>
  </si>
  <si>
    <t>220117 г.Минск, ул.Белецкого,32-175</t>
  </si>
  <si>
    <t>Паращенко Е.Н.</t>
  </si>
  <si>
    <t>т/ф2356090,(029)6259024,т/ф 201-89-75</t>
  </si>
  <si>
    <t>ООО "Альянс корпорейшен"</t>
  </si>
  <si>
    <t>3012032932014</t>
  </si>
  <si>
    <t>ОАО "Приорбанк" ЦБУ 100, г.Минск, ул.Радиальная 38А</t>
  </si>
  <si>
    <t>Минск, пр-т Партизанский, д.144, офис 38, 220131</t>
  </si>
  <si>
    <t>Дружинин К.В.</t>
  </si>
  <si>
    <t>т.ф.297-44-40</t>
  </si>
  <si>
    <t>222731, Минская обл., Дзержинский р-н, Станьковский с/с, д.30</t>
  </si>
  <si>
    <t>ОАО "Текстильторг"</t>
  </si>
  <si>
    <t>3012000033847</t>
  </si>
  <si>
    <t>ОАО "АСБ Беларусбанк" г.Минск, ул.Куйбышева, 18</t>
  </si>
  <si>
    <t>220005, г.Минск, ул.Платонова, 32</t>
  </si>
  <si>
    <t>Фатеев С.Д.</t>
  </si>
  <si>
    <t>т.ф. 292-25-53</t>
  </si>
  <si>
    <t>ООО "Уолл-Стрит"</t>
  </si>
  <si>
    <t>3012162220003</t>
  </si>
  <si>
    <t>в ОАО "БНБ-Банк", г.Минск</t>
  </si>
  <si>
    <t>Упралляющий</t>
  </si>
  <si>
    <t>220004,г.Минск,ул.Шорная,д.20,пом.7Н</t>
  </si>
  <si>
    <t>Малиновский А.Л.</t>
  </si>
  <si>
    <t>т 295-36-56 т/ф 295-65-68, 8044-501-20-11 Александр</t>
  </si>
  <si>
    <t>Рег. Дир. № 700 ОАО " БПС-Сбербанк"</t>
  </si>
  <si>
    <t>Губин В.В.</t>
  </si>
  <si>
    <t xml:space="preserve"> г. Минск, ул.Я Мавра 41-502</t>
  </si>
  <si>
    <t>т/ф 227-06-66</t>
  </si>
  <si>
    <t>ЧПТУП "Нико-транспорт"</t>
  </si>
  <si>
    <t>29238538</t>
  </si>
  <si>
    <t>ОАО "Приорбанк" г.Минск</t>
  </si>
  <si>
    <t>223611, Минский обл., Слуцкий р-н, д.Барановичи, ул.Центральная, д.152</t>
  </si>
  <si>
    <t>т.ф. 8(01795)253-23</t>
  </si>
  <si>
    <t>Кульбицкая Ю.Н.</t>
  </si>
  <si>
    <t>ООО "Гловерс-К"</t>
  </si>
  <si>
    <t>301203104501</t>
  </si>
  <si>
    <t>в "Приорбанк" ОАО, ЦБУ 114 г.Минск,пр.Партизанский 56/2</t>
  </si>
  <si>
    <t>Кнюкшто Ю.В.</t>
  </si>
  <si>
    <t>т.202-02-43</t>
  </si>
  <si>
    <t>Минская обл.,Смолевичский р-н,Плисский с/с,д.Полевая д.45</t>
  </si>
  <si>
    <t>ОАО "БанкБелВЭБ РКЦ"ЛУЧ", пр. Независимости, д.95</t>
  </si>
  <si>
    <t>Лапко А.П.</t>
  </si>
  <si>
    <t>т.ф. 362-87-15</t>
  </si>
  <si>
    <t>в ЗАО "МТБанк",ЦБУ №5,г.Минск</t>
  </si>
  <si>
    <t>222201,Минская обл.,г.Смолевичи,ул.Песчаная,д.20,к.5/1</t>
  </si>
  <si>
    <t>Сорока Д.В.</t>
  </si>
  <si>
    <t>т/ф 256-15-90</t>
  </si>
  <si>
    <t>ОАО "Банк Москва-Минск" г.Минск, ул.Коммунистическая, 49</t>
  </si>
  <si>
    <t>индивидуальный предприниматель</t>
  </si>
  <si>
    <t>220099, г.Минск, ул.Казинца, 51/4/78</t>
  </si>
  <si>
    <t>Шатуха Г.И.</t>
  </si>
  <si>
    <t>Свидетельства о гос.регистрации</t>
  </si>
  <si>
    <t>т.ф.372-04-16</t>
  </si>
  <si>
    <t>14575454</t>
  </si>
  <si>
    <t>в ЦБУ "114 ОАО "Приорбанк" г. Минск, ул.Трудовая,д.10</t>
  </si>
  <si>
    <t>220118,г.Минск, ул.Крупской,д.17,пом.38 офис 1</t>
  </si>
  <si>
    <t>Воронцов Д.М.</t>
  </si>
  <si>
    <t>296-33-23,295-06-06 вел.686-04-42 Анатолий Григорьевич</t>
  </si>
  <si>
    <t>Государственное внешнеторговое унитарное предприятие "Белспецвнештехника"</t>
  </si>
  <si>
    <t>37409921</t>
  </si>
  <si>
    <t>220103,г.Минск,ул.Калиновского,8</t>
  </si>
  <si>
    <t>Скрага А.В.</t>
  </si>
  <si>
    <t>Т 385-29-29,т/ф 281-11-89</t>
  </si>
  <si>
    <t>в ОАО "АСБ Беларусбанк",г.Минск,ул.Дзержинского,18</t>
  </si>
  <si>
    <t>ф-л №511 ОАО "АСБ Беларусбанк",г.Минск</t>
  </si>
  <si>
    <t>220021,г.Минск,ул.Социалистическая,9</t>
  </si>
  <si>
    <t>Кулага А.Р.</t>
  </si>
  <si>
    <t>т.243-32-05</t>
  </si>
  <si>
    <t>3012004474474</t>
  </si>
  <si>
    <t>в ЗАО "РРБ-Банк",г.Минск</t>
  </si>
  <si>
    <t>220092,г.Минск,ул.Дунина-Марцинкевича,д.4,кор.2,под.4,ком.А-2</t>
  </si>
  <si>
    <t>Павлющик Е.А.</t>
  </si>
  <si>
    <t>т.210-23-35 (36). т/ф 256-64-64,256-63-35</t>
  </si>
  <si>
    <t>КХ Сокола М.Н.</t>
  </si>
  <si>
    <t>210/656</t>
  </si>
  <si>
    <t>210/670</t>
  </si>
  <si>
    <t>ООО "Компактбетон"</t>
  </si>
  <si>
    <t>210/772</t>
  </si>
  <si>
    <t>210/181</t>
  </si>
  <si>
    <t>ООО "НОЯКС груп"</t>
  </si>
  <si>
    <t>210/236</t>
  </si>
  <si>
    <t>ООО "Термотехстрой"</t>
  </si>
  <si>
    <t>210/114</t>
  </si>
  <si>
    <t>210/529</t>
  </si>
  <si>
    <t>210/926</t>
  </si>
  <si>
    <t>ЧТУП"Авторипэйр"</t>
  </si>
  <si>
    <t>ООО "Ансабел"</t>
  </si>
  <si>
    <t>210/1005</t>
  </si>
  <si>
    <t>210/7</t>
  </si>
  <si>
    <t>ЧТУП "Прорыв Строй"</t>
  </si>
  <si>
    <t>ОАО СУМ-96</t>
  </si>
  <si>
    <t>ООО "Стеллар Плюс"</t>
  </si>
  <si>
    <t>210/1002</t>
  </si>
  <si>
    <t>210/572</t>
  </si>
  <si>
    <t>ЧТУП "СПМК-112"</t>
  </si>
  <si>
    <t>Дата договора</t>
  </si>
  <si>
    <t>Примечание</t>
  </si>
  <si>
    <t>ЧТТУП "Троназ"</t>
  </si>
  <si>
    <t>ОДО"Проектинжстрой"</t>
  </si>
  <si>
    <t>ОАО "Михановичский логистический центр"</t>
  </si>
  <si>
    <t>210/309</t>
  </si>
  <si>
    <t>ООО "Беллакт-Столица"</t>
  </si>
  <si>
    <t>210/173</t>
  </si>
  <si>
    <t>Червенская районная организация профсоюза работников АПК</t>
  </si>
  <si>
    <t>ЧТУП "С.К.Транс"</t>
  </si>
  <si>
    <t>УП "РЕМАВТОДОР ЛЕНИНСКОГО РАЙОНА г.МИНСКА"</t>
  </si>
  <si>
    <t>210/964</t>
  </si>
  <si>
    <t>ООО "Амиратавто"</t>
  </si>
  <si>
    <t>ЧУП "АМК-ЭКОСТАФФ"</t>
  </si>
  <si>
    <t xml:space="preserve">Цена составляет </t>
  </si>
  <si>
    <t>210/348</t>
  </si>
  <si>
    <t>210/259</t>
  </si>
  <si>
    <t>СООО "Гласспро"</t>
  </si>
  <si>
    <t>210/492</t>
  </si>
  <si>
    <t>210/696</t>
  </si>
  <si>
    <t>210/697</t>
  </si>
  <si>
    <t>210/480</t>
  </si>
  <si>
    <t>АКТ</t>
  </si>
  <si>
    <t>210/78</t>
  </si>
  <si>
    <t>210/11</t>
  </si>
  <si>
    <t>ОАО МЭТЗ им.В.И. КОЗЛОВА</t>
  </si>
  <si>
    <t>ООО "ИлигранТехно"</t>
  </si>
  <si>
    <t>ООО "АМАС авто"</t>
  </si>
  <si>
    <t>Региональная дирекция №700 ОАО "БПС-Сбербанк"</t>
  </si>
  <si>
    <t>СООО "ГАРСИЯ"</t>
  </si>
  <si>
    <t>210/994</t>
  </si>
  <si>
    <t>210/228</t>
  </si>
  <si>
    <t>ООО "АРМАДА-СТРОЙ"</t>
  </si>
  <si>
    <t>ООО"ГИДРОГЕОСЕРВИС"</t>
  </si>
  <si>
    <t>210/405</t>
  </si>
  <si>
    <t>СП ООО "Термоиз"</t>
  </si>
  <si>
    <t>СООО "Атлант-М на Машиностроителей"</t>
  </si>
  <si>
    <t>210/500</t>
  </si>
  <si>
    <t>СООО "Компания Вишнев"</t>
  </si>
  <si>
    <t>210/462</t>
  </si>
  <si>
    <t>210/896</t>
  </si>
  <si>
    <t>СООО "КулКарго"</t>
  </si>
  <si>
    <t>3. Стоимость услуг и порядок расчетов и оформления работ (услуг)</t>
  </si>
  <si>
    <t>НПООО "Горизонталь"</t>
  </si>
  <si>
    <t>300925316000</t>
  </si>
  <si>
    <t>ЗАО "БелСвиссБанк", 220004, г.Минск, пр. Победителей, 23, корп.3</t>
  </si>
  <si>
    <t>223043, Минская обл., Минский р-он, Папернянский с/с, аг.Большевик, ул. Промышленная, д.3, каб.28</t>
  </si>
  <si>
    <t>Мирошниченко В.И.</t>
  </si>
  <si>
    <t xml:space="preserve">                   Устава</t>
  </si>
  <si>
    <t>т.ф 2030465</t>
  </si>
  <si>
    <t>00392394</t>
  </si>
  <si>
    <t>ОАО "Приобанк"</t>
  </si>
  <si>
    <t>220002г.Минск, ул.Макаенка,19</t>
  </si>
  <si>
    <t>Автюховский А.А.</t>
  </si>
  <si>
    <t>т/ф2636251</t>
  </si>
  <si>
    <t>14504916</t>
  </si>
  <si>
    <t>"Приорбан" ОАО ЦБУ 114, г.Минск, ул.Трудовая, 10</t>
  </si>
  <si>
    <t>диркетор</t>
  </si>
  <si>
    <t>223060, Минский район, Новодворский с/с, район д.Большое Стиклево, 33/1-9</t>
  </si>
  <si>
    <t>Туманов .А.В.</t>
  </si>
  <si>
    <t>298205286000</t>
  </si>
  <si>
    <t>ОАО "БанкБелВЭБ",г.Минск</t>
  </si>
  <si>
    <t>220026,г.Минск,2-й переулок Васнецова,д.11,пом.4</t>
  </si>
  <si>
    <t>Вечорко Т.Н.</t>
  </si>
  <si>
    <t>доверенности №21 от 25.01.16г.</t>
  </si>
  <si>
    <t>т/ф 295-65-28.(029) 156-17-17,(044) 756-17-17</t>
  </si>
  <si>
    <t>ООО "Европроект-Центр"</t>
  </si>
  <si>
    <t>в ОАО "Приорбанк" ЦБУ 113,г.Минск</t>
  </si>
  <si>
    <t>220028,г.Минск,ул.Физкультурная,д.2Б,каб.20</t>
  </si>
  <si>
    <t>Ефименко В.Д.</t>
  </si>
  <si>
    <t>т/ф 328-13-70</t>
  </si>
  <si>
    <t>37565837</t>
  </si>
  <si>
    <t>ЗАО "МТБанк", г. Минск, пр. Партизанский, 6а</t>
  </si>
  <si>
    <t xml:space="preserve"> 220118 г. Минск, ул. Машиностроителей, 7а</t>
  </si>
  <si>
    <t>(017)3407921</t>
  </si>
  <si>
    <t>Вендин А.А.</t>
  </si>
  <si>
    <t>37490358</t>
  </si>
  <si>
    <t>220121, г. Минск ул. Притыцкого,54-115А</t>
  </si>
  <si>
    <t>Тарасевич А.И.</t>
  </si>
  <si>
    <t>в ЦБУ №524 ОАО "АСБ Беларусбанк",г.Минск</t>
  </si>
  <si>
    <t>т/ф 297-45-37,246-26-05.380-10-10</t>
  </si>
  <si>
    <t>в ЦБУ 627 ф-л №500 Минского управления АСБ "Беларусбанк",г.Червень</t>
  </si>
  <si>
    <t>деревня "Озерный" Червенского р-на,Минской обл.</t>
  </si>
  <si>
    <t>Куликовский А.Е.</t>
  </si>
  <si>
    <t>т/ф 8-01717-38-6-75(45),(17)</t>
  </si>
  <si>
    <t>14799076</t>
  </si>
  <si>
    <t>г.Минск ул.Селицкого 113 тел/факс 344-32-12</t>
  </si>
  <si>
    <t>Ефименко А.Г.</t>
  </si>
  <si>
    <t>Т/Ф 344-32-12</t>
  </si>
  <si>
    <t>37501429</t>
  </si>
  <si>
    <t>ОАО "Белгазпромбанк", г. Минск, Могилевская, 41</t>
  </si>
  <si>
    <t>220021,г.Минск,ул.Центральная,3А</t>
  </si>
  <si>
    <t>Картынник А.В.</t>
  </si>
  <si>
    <t>217-62-31,8-044-700-76-17</t>
  </si>
  <si>
    <t>ОАО "АСБ Белорусьбанк", Ф-л 511, г.Минск, пр-т Партизанский 26</t>
  </si>
  <si>
    <t>223050, Минский р-н, пос. Колодищи, пер. Строителей, д.9, ком.1</t>
  </si>
  <si>
    <t>т.вел. (029) 656-14-84, т.ф. (017) 501-62-99, вел. 699-67-99 людмила</t>
  </si>
  <si>
    <t xml:space="preserve">                                                </t>
  </si>
  <si>
    <t>ООО "Соатлас"</t>
  </si>
  <si>
    <t>ООО "ЕВРОТЕРМ"</t>
  </si>
  <si>
    <t>ООО "ИнфинитиЛайн"</t>
  </si>
  <si>
    <t>210/60</t>
  </si>
  <si>
    <t>ИООО "БОНЕТТИТ"</t>
  </si>
  <si>
    <t>Инспекция Департамента по контролю и надзору за строительством по г. Минска</t>
  </si>
  <si>
    <t>Частное предприятие "Рафрентранс"</t>
  </si>
  <si>
    <t>210/584</t>
  </si>
  <si>
    <t>ЧТУП "Артмери Стайл"</t>
  </si>
  <si>
    <t>210/541</t>
  </si>
  <si>
    <t>ООО "КОНТА-ПАРТНЕРСТРОЙ"</t>
  </si>
  <si>
    <t>СЗАО "Облхимсервис"</t>
  </si>
  <si>
    <t>210/463</t>
  </si>
  <si>
    <t>210/400</t>
  </si>
  <si>
    <t>МИНСКАЯ ОБЛАСТНАЯ ОРГАНИЗАЦИЯ БЕЛОРУССКОГО ОБЩЕСТВА КРАСНОГО КРЕСТА</t>
  </si>
  <si>
    <t>меню, появляющейся в левом верхнем углу этого экрана.</t>
  </si>
  <si>
    <t>УП "УКС Мингорисполкома"</t>
  </si>
  <si>
    <t>ЗАО "Инсервисстрой"</t>
  </si>
  <si>
    <t>Для оптовой и/или розничной торговли.</t>
  </si>
  <si>
    <t>210/701</t>
  </si>
  <si>
    <t>210/692</t>
  </si>
  <si>
    <t>ООО "ТрансЛайнГрупп"</t>
  </si>
  <si>
    <t>ООО "Фэрман"</t>
  </si>
  <si>
    <t>ХХХ</t>
  </si>
  <si>
    <t>210/419</t>
  </si>
  <si>
    <t>ЧТУП "СТРОЙНОВАЦИЯ"</t>
  </si>
  <si>
    <t>СЗАО "Белтрансэкспедиция"</t>
  </si>
  <si>
    <t>ЧТУП "Лояльтур"</t>
  </si>
  <si>
    <t xml:space="preserve">             </t>
  </si>
  <si>
    <t>210/287</t>
  </si>
  <si>
    <t>СООО"ШИССЛЬ"</t>
  </si>
  <si>
    <t>210/913</t>
  </si>
  <si>
    <t>ГНУ ОИЭ и ЯИ-Сосны НАН Белоруси</t>
  </si>
  <si>
    <t>210/390</t>
  </si>
  <si>
    <t>210/111</t>
  </si>
  <si>
    <t>ООО "КАТРОН"</t>
  </si>
  <si>
    <t>НЕ УДАЛЯТЬ</t>
  </si>
  <si>
    <t>ОДО "АРСИПЛЮС"</t>
  </si>
  <si>
    <t>СП "Унибокс" ООО</t>
  </si>
  <si>
    <t>210/817</t>
  </si>
  <si>
    <t>ООО"ИнтерТайр"</t>
  </si>
  <si>
    <t>ЧТУП "КомфортЛогистик"</t>
  </si>
  <si>
    <t>210/848</t>
  </si>
  <si>
    <t>210/525</t>
  </si>
  <si>
    <t>ООО "БуселИнтерГласс"</t>
  </si>
  <si>
    <t>ООО "Измерительные Технологии"</t>
  </si>
  <si>
    <t>210/712</t>
  </si>
  <si>
    <t>210/75</t>
  </si>
  <si>
    <t>ООО "ЛОГУС ВОСТОК"</t>
  </si>
  <si>
    <t>ООО "ЕВРОВОДА"</t>
  </si>
  <si>
    <t>ЕВРО ЦЕНА</t>
  </si>
  <si>
    <t>210/278</t>
  </si>
  <si>
    <t>СООО "Автоцентр РМ Маркет"</t>
  </si>
  <si>
    <t>ООО "ДВАДЦАТЬ ЧЕТЫРЕ"</t>
  </si>
  <si>
    <t>210/912</t>
  </si>
  <si>
    <t>Представительство Белгосстраха по Заводскому району г.Минска</t>
  </si>
  <si>
    <t>210/297</t>
  </si>
  <si>
    <t>210/853</t>
  </si>
  <si>
    <t>ЧТПУП "Городской продукт"</t>
  </si>
  <si>
    <t>УП "ИДЕЯ"</t>
  </si>
  <si>
    <t>ООО "Монтажгранд"</t>
  </si>
  <si>
    <t>210/1000</t>
  </si>
  <si>
    <t>Управление механизации №88</t>
  </si>
  <si>
    <t>210/425</t>
  </si>
  <si>
    <t>ООО"Кутами"</t>
  </si>
  <si>
    <t>ООО "Алавес"</t>
  </si>
  <si>
    <t>ЗАО "СПОРТМЕДСИСТЕМС"</t>
  </si>
  <si>
    <t>210/661</t>
  </si>
  <si>
    <t>210/495</t>
  </si>
  <si>
    <r>
      <t xml:space="preserve">Чтобы добавить в список контрагентов данные о новом клиенте воспользуйтесь </t>
    </r>
    <r>
      <rPr>
        <b/>
        <i/>
        <sz val="8"/>
        <color indexed="14"/>
        <rFont val="Arial Cyr"/>
        <charset val="204"/>
      </rPr>
      <t>Шаблоном ввода нового контрагента</t>
    </r>
    <r>
      <rPr>
        <b/>
        <i/>
        <sz val="8"/>
        <color indexed="13"/>
        <rFont val="Arial Cyr"/>
        <charset val="204"/>
      </rPr>
      <t>,</t>
    </r>
  </si>
  <si>
    <t>ЧУСП "Кораллстрой"</t>
  </si>
  <si>
    <t>210/98</t>
  </si>
  <si>
    <t>ООО "Алютех  Инкорпорейтед"</t>
  </si>
  <si>
    <t>ЧТУП "Дельта-Логистик"</t>
  </si>
  <si>
    <t>ЧТУП "ДИАЛ-ТРЕК"</t>
  </si>
  <si>
    <t>ЧТУП "Камино Транс"</t>
  </si>
  <si>
    <t>ЧУП "Фаткулин"</t>
  </si>
  <si>
    <t>210/962</t>
  </si>
  <si>
    <t>ЗАО "СМУ-77"</t>
  </si>
  <si>
    <t>Прицеп (полуприцеп) 3-х осный</t>
  </si>
  <si>
    <t>210/250</t>
  </si>
  <si>
    <t>ООО "Мир сильных машин"</t>
  </si>
  <si>
    <t>Представительство Белгосстраха по Червенскому району</t>
  </si>
  <si>
    <t>210/789</t>
  </si>
  <si>
    <t>ЧТТУП " ШвабТурТранс"</t>
  </si>
  <si>
    <t>210/501</t>
  </si>
  <si>
    <t>ООО "СЛОКАТРАНС"</t>
  </si>
  <si>
    <t>210/932</t>
  </si>
  <si>
    <t>210/317</t>
  </si>
  <si>
    <t>210/213</t>
  </si>
  <si>
    <t>210/375</t>
  </si>
  <si>
    <t>ОДО "Мехтрансстрой"</t>
  </si>
  <si>
    <t>ООО "Дилинс-М"</t>
  </si>
  <si>
    <t>ЗАО "Энерготеплоизоляция"</t>
  </si>
  <si>
    <t>ООО "ГрузЭкстра"</t>
  </si>
  <si>
    <t>ООО ИНТЕРТЭК ЛОГИСТИК</t>
  </si>
  <si>
    <t>210/246</t>
  </si>
  <si>
    <t>СЗАО "БЕЛМЕДМАТЕРИАЛЫ"</t>
  </si>
  <si>
    <t>210/10</t>
  </si>
  <si>
    <t>ООО "Фактор СБ"</t>
  </si>
  <si>
    <t>210/519</t>
  </si>
  <si>
    <t>210/29</t>
  </si>
  <si>
    <t>210/671</t>
  </si>
  <si>
    <t>Частное предприятие "Талина"</t>
  </si>
  <si>
    <t>ЧТУП "Синергетика Профит"</t>
  </si>
  <si>
    <t>210/346</t>
  </si>
  <si>
    <t>210/815</t>
  </si>
  <si>
    <t>УП "МИНСКИНТЕРКАПС"</t>
  </si>
  <si>
    <t>210/920</t>
  </si>
  <si>
    <t>Наименование услуги</t>
  </si>
  <si>
    <t xml:space="preserve">Проверка тормозной системы </t>
  </si>
  <si>
    <t>210/96</t>
  </si>
  <si>
    <t>ООО "АльфаХаус"</t>
  </si>
  <si>
    <t>210/683</t>
  </si>
  <si>
    <t>210/16</t>
  </si>
  <si>
    <t>УП "Фрахтекс"</t>
  </si>
  <si>
    <t>210/392</t>
  </si>
  <si>
    <t>СЗАО "Изотопные технологии"</t>
  </si>
  <si>
    <t>ИП Крукович Наталлья Ефимовна</t>
  </si>
  <si>
    <t>1. Стороны признают юридическую силу подписи исполнителя на настоящем счете, переданном по факсимильной связи</t>
  </si>
  <si>
    <t>розничные.</t>
  </si>
  <si>
    <t>оптовые.</t>
  </si>
  <si>
    <t>Сумма по сч./ф.</t>
  </si>
  <si>
    <t>,</t>
  </si>
  <si>
    <t>210/322</t>
  </si>
  <si>
    <t>ЧП "Мини-Тир"</t>
  </si>
  <si>
    <t>210/333</t>
  </si>
  <si>
    <t>Унитарное предприятие  "Кристи Стайл"</t>
  </si>
  <si>
    <t>ОДО "АВТОСТРИМ"</t>
  </si>
  <si>
    <t>ООО "Янга"</t>
  </si>
  <si>
    <t>ООО "Интегратор-99"</t>
  </si>
  <si>
    <t>Замер дымности отработавших газов</t>
  </si>
  <si>
    <t>Сумма НДС, руб.</t>
  </si>
  <si>
    <t>Услуги по испытанию автомобилей</t>
  </si>
  <si>
    <t>УП "Ремавтодор Заводского района г.Минска"</t>
  </si>
  <si>
    <t>210/253</t>
  </si>
  <si>
    <t>210/986</t>
  </si>
  <si>
    <t>ОДО "БелтаПак"</t>
  </si>
  <si>
    <t>210/940</t>
  </si>
  <si>
    <t xml:space="preserve">РО "РК приход Архикафедрального костела Имени Пресвятой Девы Марии" </t>
  </si>
  <si>
    <t>ООО "Ватра"</t>
  </si>
  <si>
    <t>ООО "Биомолпром"</t>
  </si>
  <si>
    <t>Белорусское общественное объединение ветеранов</t>
  </si>
  <si>
    <t>210/435</t>
  </si>
  <si>
    <t>210/301</t>
  </si>
  <si>
    <t>ОДО "ТУРБОКОМПРЕССОР"</t>
  </si>
  <si>
    <t>ИП Парахин Юрий Александрович</t>
  </si>
  <si>
    <t>ЧТУП "Родэм"</t>
  </si>
  <si>
    <t>210/444</t>
  </si>
  <si>
    <t>210/115</t>
  </si>
  <si>
    <t>210/321</t>
  </si>
  <si>
    <t>210/252</t>
  </si>
  <si>
    <t>210/582</t>
  </si>
  <si>
    <t>Филиал "ПМК-4" ОАО "СМТ"Белтопливострой"</t>
  </si>
  <si>
    <t>210/735</t>
  </si>
  <si>
    <t>210/907</t>
  </si>
  <si>
    <t>ООО "Синклиналь Изыскания"</t>
  </si>
  <si>
    <t>ГНУ "Объединенный институт энергетических и ядерных исследований -Сосны" НАН Беларуси</t>
  </si>
  <si>
    <t>210/402</t>
  </si>
  <si>
    <t>210/662</t>
  </si>
  <si>
    <t>УП "ПЕРЕДОВЫЕ ТЕХНОЛОГИИ"</t>
  </si>
  <si>
    <t>210/386</t>
  </si>
  <si>
    <t>210/569</t>
  </si>
  <si>
    <t>Телефон, Факс</t>
  </si>
  <si>
    <t>210/133</t>
  </si>
  <si>
    <t>ООО "Фалькат"</t>
  </si>
  <si>
    <t>210/345</t>
  </si>
  <si>
    <t>ООО "ЭЛЕКТРОСТРОЙГАРАНТ"</t>
  </si>
  <si>
    <t/>
  </si>
  <si>
    <t>ООО "САНА Билдкомпани"</t>
  </si>
  <si>
    <t>ЧТУП "Лобио"</t>
  </si>
  <si>
    <t>ЧТУП"БСКтранс"</t>
  </si>
  <si>
    <t>ТУП "КорвинОпус"</t>
  </si>
  <si>
    <t>ООО "СтройТрансЭкспедиция"</t>
  </si>
  <si>
    <t>210/347</t>
  </si>
  <si>
    <t>210/902</t>
  </si>
  <si>
    <t>УО"Минский государственный автомеханический колледж имени академика М.С.Высоцкого"</t>
  </si>
  <si>
    <t>210/536</t>
  </si>
  <si>
    <t>210/908</t>
  </si>
  <si>
    <t>210/76</t>
  </si>
  <si>
    <t>УП "АГАВА"</t>
  </si>
  <si>
    <t>ЗАО "РМЗ "Метромаш"</t>
  </si>
  <si>
    <t>ООО "МЭЛОНИ"</t>
  </si>
  <si>
    <t>ООО "ТермаМастер"</t>
  </si>
  <si>
    <t>ОАО "Минский молочный завод №1" Филиал "Молочный гостинец"</t>
  </si>
  <si>
    <t>210/393</t>
  </si>
  <si>
    <t>210/953</t>
  </si>
  <si>
    <t>№ договора</t>
  </si>
  <si>
    <t>Иностранное унитарное образовательное предприятие  "ЕШКО"</t>
  </si>
  <si>
    <t>ЧТУП "БИЛДИНГКОР"</t>
  </si>
  <si>
    <t>ООО "Строительное управление-350"</t>
  </si>
  <si>
    <t>ООО "МОТОР ГРУПП"</t>
  </si>
  <si>
    <t>ООО "Эталонокна"</t>
  </si>
  <si>
    <t>210/988</t>
  </si>
  <si>
    <t>ЧТУП "МАЛОР ЛОГИСТИК"</t>
  </si>
  <si>
    <t>210/89</t>
  </si>
  <si>
    <t>210/635</t>
  </si>
  <si>
    <t>210/55</t>
  </si>
  <si>
    <t>210/564</t>
  </si>
  <si>
    <t>ООО "ТТС-Групп"</t>
  </si>
  <si>
    <t>ЧТТУП"Корнес-авто"</t>
  </si>
  <si>
    <t>Иностранное предприятие "Белфлексофарб"</t>
  </si>
  <si>
    <t>ЧТУП "АртВэй Логистик"</t>
  </si>
  <si>
    <t>ООО "Яровиттехснаб"</t>
  </si>
  <si>
    <t>ОАО "БЕЛСАНТЕХМОНТАЖ-2 " Филиал "ТРЕТЬЕ МОНТАЖНОЕ УПРАВЛЕНИЕ"</t>
  </si>
  <si>
    <t>210/151</t>
  </si>
  <si>
    <t>Филиал СУ-201 ОАО Стройтрест №35</t>
  </si>
  <si>
    <t>ИТЧУП "Регент-Белавангард"</t>
  </si>
  <si>
    <t>ООО "ИВА ВЕЙС"</t>
  </si>
  <si>
    <t>Чурило В.И.</t>
  </si>
  <si>
    <t>г.Минск, 4-ый переулок Монтажников, д,5, комн.26</t>
  </si>
  <si>
    <t>Купрейчик А.Н.</t>
  </si>
  <si>
    <t>вел.80296208429</t>
  </si>
  <si>
    <t>377088635</t>
  </si>
  <si>
    <t>ОАО "Белинвестбанк" отделение № 535, 220033, г.Минск, пр.Партизанский, 6а</t>
  </si>
  <si>
    <t>223060, Минский р-н, Новодворский с/с, 40, район д.Большое Стиклево, Торгово-складское здание, корп. 1, 2-й этаж</t>
  </si>
  <si>
    <t>Живулько С.В.</t>
  </si>
  <si>
    <t>т.ф. 2361445, т.2361444,2361455</t>
  </si>
  <si>
    <t>ЦБУ  ОАО "Белинвестбанк", отд. 522 г. Минск ул. Одинцова , 69</t>
  </si>
  <si>
    <t>220019, Г. Минск, ул Шаранговича,57-62</t>
  </si>
  <si>
    <t>Жесткая Е.В.</t>
  </si>
  <si>
    <t>254-07-62</t>
  </si>
  <si>
    <t>210/134</t>
  </si>
  <si>
    <t>ООО "Марк Формэль"</t>
  </si>
  <si>
    <t>210/456</t>
  </si>
  <si>
    <t>Частное предприятие "Товары века"</t>
  </si>
  <si>
    <t>210/1012</t>
  </si>
  <si>
    <t>210/504</t>
  </si>
  <si>
    <t>Ставка НДС, %</t>
  </si>
  <si>
    <t>210/238</t>
  </si>
  <si>
    <t>Новиченок И.Е.</t>
  </si>
  <si>
    <t>т.299-46-87,т/ф 3443261</t>
  </si>
  <si>
    <t>01279429</t>
  </si>
  <si>
    <t>Региональная Дирекция №700 оао "БПС-Банк"</t>
  </si>
  <si>
    <t>Начальник</t>
  </si>
  <si>
    <t>220026 г.Минск,ул.Бехтерева,16</t>
  </si>
  <si>
    <t>Богдан В.С.</t>
  </si>
  <si>
    <t>т/ф 2962605, 2960842</t>
  </si>
  <si>
    <t>доверенность №1/3-19 от 03.01.17г.</t>
  </si>
  <si>
    <t>00965861</t>
  </si>
  <si>
    <t xml:space="preserve">ф-л "АСБ Беларусбанк" г.Минск </t>
  </si>
  <si>
    <t>зам.ген.дир.по ком.вопр.</t>
  </si>
  <si>
    <t>220021 г.Минск, пр-т Партизанский,150</t>
  </si>
  <si>
    <t>Горшарик Д.И.</t>
  </si>
  <si>
    <t>доверенность №200/133 от 22.11.10г.</t>
  </si>
  <si>
    <t>т/ф 3989449</t>
  </si>
  <si>
    <t>01386728</t>
  </si>
  <si>
    <t>220075г. Минск, ул. Промышленная,16</t>
  </si>
  <si>
    <t>Шуйко А.В.</t>
  </si>
  <si>
    <t>ОАО "БПС-СБЕРБАНК", г.Минск</t>
  </si>
  <si>
    <t>210/9</t>
  </si>
  <si>
    <t>ООО "Винкхард"</t>
  </si>
  <si>
    <t>ООО "БелПакСнаб"</t>
  </si>
  <si>
    <t>1.1. На условиях и в порядке, предусмотренных настоящим договором, Исполнитель принимает на себя обязанности по оказанию услуг по государственному техническому осмотру транспортных средств (далее – гостехосмотр) Заказчика на диагностической станции (ДС) Исполнителя.</t>
  </si>
  <si>
    <t>ООО "КЖХ-продакшн"</t>
  </si>
  <si>
    <t>УО РИПО Филиал ПТК</t>
  </si>
  <si>
    <t>210/38</t>
  </si>
  <si>
    <t>210/561</t>
  </si>
  <si>
    <t>210/281</t>
  </si>
  <si>
    <t>ф-л "Мостоотряд №88" ОАО СМТ№8</t>
  </si>
  <si>
    <t>доверенность №12 от 03.01.2017г.</t>
  </si>
  <si>
    <t>Макаревич С.В.</t>
  </si>
  <si>
    <t>376714336019</t>
  </si>
  <si>
    <t>в ЦБУ №538, ОАО "Белинвестбанк", г.Минск, ул.Коржа 11а</t>
  </si>
  <si>
    <t>доверенности №09-2-8/52 от 14.12.2015г.</t>
  </si>
  <si>
    <t>2282195 факс, 2280838</t>
  </si>
  <si>
    <t>223064, Минский р-н, о/с Замосточье, д.Обчак</t>
  </si>
  <si>
    <t>ООО "БУЛАТОВ"</t>
  </si>
  <si>
    <t>37533381</t>
  </si>
  <si>
    <t>в "Приорбанк" ОАО, ЦБУ 100, г.Минск, ул.Радиальная,38а</t>
  </si>
  <si>
    <t>220047, г.Минск, ул. Илимская, д.10 корп.1, комн.1а</t>
  </si>
  <si>
    <t>Курбатова Н.В.</t>
  </si>
  <si>
    <t>2913319 факс</t>
  </si>
  <si>
    <t xml:space="preserve">в  ОАО "Приорбанк" ЦБУ №100 г.Минск </t>
  </si>
  <si>
    <t>ген. директор</t>
  </si>
  <si>
    <t>г.Минск,ул. Селицкого 9</t>
  </si>
  <si>
    <t>Русак С.Г.</t>
  </si>
  <si>
    <t>344-60-22, (029) 6287291</t>
  </si>
  <si>
    <t>в  ф-ле №529 "Белсвязь"ОАО "Беларусбанк",г.Минск</t>
  </si>
  <si>
    <t>г.Минск,ул.Восточная, 169</t>
  </si>
  <si>
    <t>Комарова Т.П.</t>
  </si>
  <si>
    <t>т/ф  262-85-59,премная 262-24-75</t>
  </si>
  <si>
    <t>ОАО " БНБ-БАНК"</t>
  </si>
  <si>
    <t>220040 ,РБ г.Минск, ул.Некрасова 27/115</t>
  </si>
  <si>
    <t>Чалей К.С.</t>
  </si>
  <si>
    <t>устава</t>
  </si>
  <si>
    <t>т/ф 3280111</t>
  </si>
  <si>
    <t>37465295</t>
  </si>
  <si>
    <t>в ЗАО"МТБанк",г.Минск</t>
  </si>
  <si>
    <t>220018,г.Минск,пер.Асаналиева,4а,ком.46</t>
  </si>
  <si>
    <t>Рачицкий В.П.</t>
  </si>
  <si>
    <t>т.258-08-55,667-22-15</t>
  </si>
  <si>
    <t>BY08ALFA30122071710070270000</t>
  </si>
  <si>
    <t>ALFABY2X</t>
  </si>
  <si>
    <t>в "ЗАО "Альфа-банк",г.Минск</t>
  </si>
  <si>
    <t>14 июля 2017</t>
  </si>
  <si>
    <t>ЧТУП "БогдалексТранс"</t>
  </si>
  <si>
    <t>ООО "ЗУМЛИОН-МАЗ"</t>
  </si>
  <si>
    <t>212008,г.Могилев,ул.Крупской 232</t>
  </si>
  <si>
    <t>Пивоваров Ю.В.</t>
  </si>
  <si>
    <t xml:space="preserve"> мтс.8029-740-25-69</t>
  </si>
  <si>
    <t>ЧТУП "Медистра"</t>
  </si>
  <si>
    <t>ОДО "ДАНСИС"</t>
  </si>
  <si>
    <t>210/227</t>
  </si>
  <si>
    <t>210/51</t>
  </si>
  <si>
    <t>ООО "ТЕРМОДИЗАЙН"</t>
  </si>
  <si>
    <t xml:space="preserve">Грузовой автомобиль с технически допустимой общей массой не более 3,5 тонны </t>
  </si>
  <si>
    <t>Наименование и адрес банка</t>
  </si>
  <si>
    <t>ОДО"ЛОГАРИТМ"</t>
  </si>
  <si>
    <t>210/570</t>
  </si>
  <si>
    <t>210/143</t>
  </si>
  <si>
    <t>210/268</t>
  </si>
  <si>
    <t>210/332</t>
  </si>
  <si>
    <t>ООО "СиТиТранс2013"</t>
  </si>
  <si>
    <t>210/138</t>
  </si>
  <si>
    <t>ИП Метто Д.Э.</t>
  </si>
  <si>
    <t>ООО "Автокас"</t>
  </si>
  <si>
    <t>210/998</t>
  </si>
  <si>
    <t>210/25</t>
  </si>
  <si>
    <t>ООО "Антинея Форм"</t>
  </si>
  <si>
    <t>210/170</t>
  </si>
  <si>
    <t>210/21</t>
  </si>
  <si>
    <t>210/183</t>
  </si>
  <si>
    <t>ООО "ЭНЕРГОАРТИС"</t>
  </si>
  <si>
    <t>210/587</t>
  </si>
  <si>
    <t>210/224</t>
  </si>
  <si>
    <t>ООО "СИНОР"</t>
  </si>
  <si>
    <t>ИП "ИСАКИДИС ГРАНИТЕС" ООО</t>
  </si>
  <si>
    <t>ООО "Формэль"</t>
  </si>
  <si>
    <t>210/42</t>
  </si>
  <si>
    <t>ЧУП "Ба-Карго"</t>
  </si>
  <si>
    <t>ООО " ГласХаус"</t>
  </si>
  <si>
    <t>210/343</t>
  </si>
  <si>
    <t>ООО "Дальние перевозки"</t>
  </si>
  <si>
    <t>380474295000</t>
  </si>
  <si>
    <t>в ЗАО "БелСвиссБанк",г.Минск,пл.Свободы,4</t>
  </si>
  <si>
    <t>223132,Минская обл.,Логойский р-н,аг.Камено,ул.Центральная,д.9А</t>
  </si>
  <si>
    <t>Башко Ж.М.</t>
  </si>
  <si>
    <t>т/ф 394-01-01,393-95-89,(029)676-00-91</t>
  </si>
  <si>
    <t>28643062</t>
  </si>
  <si>
    <t>ОАО "Приорбанк", ЦБУ 111, г. Минск, ул. Пр-т Машерова, 40</t>
  </si>
  <si>
    <t>220131, г. Минск, пер. 1-ый Измайловский, 51/2</t>
  </si>
  <si>
    <t>Конопелько А.Л.</t>
  </si>
  <si>
    <t>Кстава</t>
  </si>
  <si>
    <t>395-68-68, 399-43-43</t>
  </si>
  <si>
    <t>220024, г.Минск, пер.Корженевского, д.32. пом. 130</t>
  </si>
  <si>
    <t>220024, г.Минск, пер.Корженевского, дом.32 пом. 130</t>
  </si>
  <si>
    <t>Свидетельства о гос.регистрации №691134955</t>
  </si>
  <si>
    <t>37505114</t>
  </si>
  <si>
    <t>Ракач О.Н.</t>
  </si>
  <si>
    <t>392-23-33, 395-68-68</t>
  </si>
  <si>
    <t xml:space="preserve">в Региональной Дирекции №700ОАО "БПС-Банк" </t>
  </si>
  <si>
    <t>начальник</t>
  </si>
  <si>
    <t>220013 г.Минск, ул.Я.Колоса,38</t>
  </si>
  <si>
    <t>Шапиро Н.Б.</t>
  </si>
  <si>
    <t>доверенность№ 140д от 05.09.13г.</t>
  </si>
  <si>
    <t>т.210-23-35,т/ф 210-23-36</t>
  </si>
  <si>
    <t>Минский областной суд</t>
  </si>
  <si>
    <t>02905107</t>
  </si>
  <si>
    <t>ф-л 510 АСБ "Беларусбанк" г.Минск, ул.Куйбышева, 18</t>
  </si>
  <si>
    <t>220050, г.Минск, ул.Свердлова, 3</t>
  </si>
  <si>
    <t>в  ОАО "Банк Москва-Минск", г.Минск, ул. Коммунистическая, 49/1</t>
  </si>
  <si>
    <t>доверенность № 1 от 09.01.2017г.</t>
  </si>
  <si>
    <t>Попов А.Б.</t>
  </si>
  <si>
    <t>ЧТУП "КаминоТранс"</t>
  </si>
  <si>
    <t>379438195000</t>
  </si>
  <si>
    <t>220019, г.Минск, ул. Чайлытко 9/19</t>
  </si>
  <si>
    <t>Малько В.И.</t>
  </si>
  <si>
    <t>28658965</t>
  </si>
  <si>
    <t>в ОАО "Приорбанк" ЦБУ 115, г.Минск, ул.Кропоткина, 91</t>
  </si>
  <si>
    <t>220004, г.Минск, пр-т Победителей,17/819</t>
  </si>
  <si>
    <t>Овсянкин А.В.</t>
  </si>
  <si>
    <t>факс 3455737</t>
  </si>
  <si>
    <t>03368054</t>
  </si>
  <si>
    <t>отд.ОАО "Белинвестбанк" г.Минск, ул.Коллекторная, 11</t>
  </si>
  <si>
    <t>г.Минск, ул.Промышленная,7 220075</t>
  </si>
  <si>
    <t>Метелица Г.Н.</t>
  </si>
  <si>
    <t>т/ф 295-44-95</t>
  </si>
  <si>
    <t>14527917</t>
  </si>
  <si>
    <t>в отд. №537 г.Минск ОАО "Белинвестбанк"</t>
  </si>
  <si>
    <t>ген.директор</t>
  </si>
  <si>
    <t>220075,г.Минск,ул.Селицкого,7</t>
  </si>
  <si>
    <t>Линев В.Н.</t>
  </si>
  <si>
    <t>346-29-03,344-11-32(бух.),т/ф 346-29-02</t>
  </si>
  <si>
    <t>101015738</t>
  </si>
  <si>
    <t>ф-л 529 "Белсвязь" АСБ "Беларусбанк",г.Минск</t>
  </si>
  <si>
    <t>нач. производства</t>
  </si>
  <si>
    <t>220113, г.Минск, ул.Лукьяновича.6</t>
  </si>
  <si>
    <t>262-10-23 приемная, т/ф 262-14-07</t>
  </si>
  <si>
    <t>Науменко И.А.</t>
  </si>
  <si>
    <t>доверенности №03-28/187 от 17.05.2016г.</t>
  </si>
  <si>
    <t>29139977</t>
  </si>
  <si>
    <t>ф-л ОАО " Технобанк" г. Минск ул.Мельникайте 8</t>
  </si>
  <si>
    <t>223053 Минский р-н п.Боровая д.1,к.1</t>
  </si>
  <si>
    <t>ОАО "АСБ Беларусбанк" г.Минск ф-л №511</t>
  </si>
  <si>
    <t>Минская обл., Пуховичский р-н, Шацкий с/с, д. Габриелевка,цех по производству п/п ленты ООО "Юнитэйп",к.2</t>
  </si>
  <si>
    <t>Маевский П.М.</t>
  </si>
  <si>
    <t>299-66-25</t>
  </si>
  <si>
    <t>296935966000</t>
  </si>
  <si>
    <t>в "Приорбанк" ОАО ЦБУ 115 г.Минск,ул.В.Хоружей,31а</t>
  </si>
  <si>
    <t xml:space="preserve"> 223062,Минская обл.,Минский р-н., р-н пос.Привольный,ул.Мира д.12 к.50</t>
  </si>
  <si>
    <t>Ельницкий Н.А.</t>
  </si>
  <si>
    <t>т/ф 310-42-75,вел.(029)121-10-10</t>
  </si>
  <si>
    <t>Государственное предприятие "АКАДЕМФАРМ"</t>
  </si>
  <si>
    <t>37863032500</t>
  </si>
  <si>
    <t>в ОАО "АСБ Беларусбанк",ф-л №529 "Белсвязь",г.Минск</t>
  </si>
  <si>
    <t>Сафронова Н.И.</t>
  </si>
  <si>
    <t>т/ф 268-63-64(приемная),369-77-70</t>
  </si>
  <si>
    <t>220141,г.Минск,ул. академика В.Ф. Купревича ,д.5.кор.3</t>
  </si>
  <si>
    <t>210/221</t>
  </si>
  <si>
    <t>37554220</t>
  </si>
  <si>
    <t>ЗАО "МТБанк" г.Минск, пр.Партизанский д.6а</t>
  </si>
  <si>
    <t>220075, г.Минск, ул.Инженерная, д.1Е</t>
  </si>
  <si>
    <t>Левашкевич Н.А.</t>
  </si>
  <si>
    <t>т. 2014682, т.ф. 2028739</t>
  </si>
  <si>
    <t>ЗАО "МТБанк", г.Минск,ул.Толстого,10</t>
  </si>
  <si>
    <t>220030, г.Минск, ул.Октябрьская,16 комн.43</t>
  </si>
  <si>
    <t>Кошелев Ю.Е.</t>
  </si>
  <si>
    <t>т/ф2350665</t>
  </si>
  <si>
    <t>ОАО "Иност.Банк Москва-Минск" г.Минск</t>
  </si>
  <si>
    <t>220013, г.Минск, пр-т Независимости, 185, пом.59Н.</t>
  </si>
  <si>
    <t>Пашкевич И.В.</t>
  </si>
  <si>
    <t>т/ф 2021177, 2021455</t>
  </si>
  <si>
    <t>ООО "Европаркет"</t>
  </si>
  <si>
    <t>ЗАО "Минский транзитный банк", 220033, г.Минск, пр-т Партизанский 6А</t>
  </si>
  <si>
    <t>в филиале №511 ОАО "АСБ-Беларусбанк",г.Минск,ул.Долгобродская,1</t>
  </si>
  <si>
    <t>генеральный директор</t>
  </si>
  <si>
    <t>223063,Минская обл,Минский р-н,Луговослободской с/с,47/22,район д.Прилесье</t>
  </si>
  <si>
    <t>Кузьмин А.В.</t>
  </si>
  <si>
    <t xml:space="preserve">Устава </t>
  </si>
  <si>
    <t>т.391-13-31,т/ф 391-13-35,391-14-48</t>
  </si>
  <si>
    <t>Иностранное унитарное предприятие "Транзит-Авто 2003"</t>
  </si>
  <si>
    <t>ЗАО "БТА-Банк" г.Минск, ул.В.Хоружей 20</t>
  </si>
  <si>
    <t>220102, г.Минск, пр-т Партизанский, д.146А, литер Д2/К каб 3</t>
  </si>
  <si>
    <t>Булыгин А.А.</t>
  </si>
  <si>
    <t>т.ф. 511-98-07</t>
  </si>
  <si>
    <t>Сорока И.Н.</t>
  </si>
  <si>
    <t>ГУ "Специальный дом для ветеранов, престарелых и инвалидов №1"</t>
  </si>
  <si>
    <t>ЦБУ №524 ОАО "АСБ Беларусбанк" г.Минск, ул.Физкультурная, 31</t>
  </si>
  <si>
    <t xml:space="preserve">200095, г.Минск, пр.Рокоссовского, 50 </t>
  </si>
  <si>
    <t>Верниковская Е.С.</t>
  </si>
  <si>
    <t>т.ф. 214-83-34</t>
  </si>
  <si>
    <t>ул.Социалистическая,2,220021,г.Минск</t>
  </si>
  <si>
    <t>Катеринич Д.С.</t>
  </si>
  <si>
    <t>т/ф 217-20-81,217-21-49</t>
  </si>
  <si>
    <t>37310770</t>
  </si>
  <si>
    <t>пер.заместитель директора</t>
  </si>
  <si>
    <t>220114, г. Минск, пр. Независимости,143\1-3н</t>
  </si>
  <si>
    <t>Золина Н.А.</t>
  </si>
  <si>
    <t>14801426</t>
  </si>
  <si>
    <t>в ОАО "Приорбанк" ЦБУ 100, г.Минск, ул.Радиальная, 38а</t>
  </si>
  <si>
    <t>220026, г.Минск, ул.Бехтерева,7 комн.216</t>
  </si>
  <si>
    <t>Бураковский И.В.</t>
  </si>
  <si>
    <t>т/ф 0172949597,2949595</t>
  </si>
  <si>
    <t>377123495000</t>
  </si>
  <si>
    <t>в ОАО "Приорбанк",ЦБУ №114,г.Минск,ул.Трудовая,10</t>
  </si>
  <si>
    <t>749</t>
  </si>
  <si>
    <t>220021,г.Минск, пер.Бехтерева,д.12,оф.7</t>
  </si>
  <si>
    <t>Морозова О.В.</t>
  </si>
  <si>
    <t>т/ф 243-36-35,297-40-49,297-40-29</t>
  </si>
  <si>
    <t>Устава и доверенности №16 от 02.05.16г.</t>
  </si>
  <si>
    <t xml:space="preserve"> ОАО "ПРИОРБАНК"</t>
  </si>
  <si>
    <t>гл.инженер</t>
  </si>
  <si>
    <t>220075, г. Минск ул. Селицкого,21 корп. 5</t>
  </si>
  <si>
    <t>Яблонский А.Р.</t>
  </si>
  <si>
    <t>2996827.(25)</t>
  </si>
  <si>
    <t>начальника управления по транспорту</t>
  </si>
  <si>
    <t>Пекун Н.М.</t>
  </si>
  <si>
    <t>доверенности №04-Д от 10.01.2017г.</t>
  </si>
  <si>
    <t>345-59-66</t>
  </si>
  <si>
    <t xml:space="preserve">  </t>
  </si>
  <si>
    <t>37415748</t>
  </si>
  <si>
    <t>ОАО "ПриорБанк" ЦБУ 115 г.Минск, ул.В.Хоружий 31а</t>
  </si>
  <si>
    <t>Минский р-н, поселок Приволный, ул.Мира 20а</t>
  </si>
  <si>
    <t>Ложечник В.П.</t>
  </si>
  <si>
    <t>Т.велк. 743-65-95 Леонид</t>
  </si>
  <si>
    <t>30582276000</t>
  </si>
  <si>
    <t>в ЗАО "Альфа-банк",г.Минск</t>
  </si>
  <si>
    <t>223042,Минская обл,Минский р-н,Папернянский с/с,3/4,каб.14,район аг.Семково</t>
  </si>
  <si>
    <t>Лехманек Ю.Н.</t>
  </si>
  <si>
    <t>(029) 675-68-89</t>
  </si>
  <si>
    <t>ООО "АкроСтрой"</t>
  </si>
  <si>
    <t>380555875000</t>
  </si>
  <si>
    <t>в РКЦ №9 ЗАО "БСБ Банк",г.Минск</t>
  </si>
  <si>
    <t>Ерофеева Т.Л.</t>
  </si>
  <si>
    <t>в ОАО "Белинвестбанк",отд.522,г.Минск</t>
  </si>
  <si>
    <t>г/п Красная Слобода,ул.Чкалова,51</t>
  </si>
  <si>
    <t>Тилибук С.И.</t>
  </si>
  <si>
    <t>8 029-651-82-37</t>
  </si>
  <si>
    <t>ЗАО "БелСвиссБанк", г. Минск</t>
  </si>
  <si>
    <t>РБ, г. Минск, ул. Пономаренко, 35а, к. 610</t>
  </si>
  <si>
    <t>Бова В.С.</t>
  </si>
  <si>
    <t>т. Ф. 213-04-90, (029)645-55-85 Виталий</t>
  </si>
  <si>
    <t>03,04,2017г.</t>
  </si>
  <si>
    <t>14800678</t>
  </si>
  <si>
    <t>в ЦБУ 114 ОАО "Приорбанк",г.Минск, ул.Трудовая,10</t>
  </si>
  <si>
    <t>220075,г.Минск,ул.Промышленная,16, кабинет 1</t>
  </si>
  <si>
    <t>Юрченко О.Е.</t>
  </si>
  <si>
    <t>299-64-34, МТС (029) 577-86-07 Павел</t>
  </si>
  <si>
    <t>ООО "Элемент-транспорт"</t>
  </si>
  <si>
    <t>в ОАО "БНБ-Банк",ЦБУ №3,г.Минск</t>
  </si>
  <si>
    <t>222720,Минская обл.,г.Дзержинск,д.56,ком.15</t>
  </si>
  <si>
    <t>Граховский С.В.</t>
  </si>
  <si>
    <t>т.ф 235-14-26,моб.8029-678-78-73</t>
  </si>
  <si>
    <t>в ЗАО "БелСвиссБанк", г.Минск, пр-т. Победителей, 23, к.3</t>
  </si>
  <si>
    <t>223017, Минский р-н, Новодворский с/с,5, производственный корпус ИООО "Доллиум-Инвест", пом.62</t>
  </si>
  <si>
    <t>Морозова Е.Е.</t>
  </si>
  <si>
    <t>ЧТУП "Вкусное Дело"</t>
  </si>
  <si>
    <t>т/ф 503-32-13</t>
  </si>
  <si>
    <t>доверенности №4120 от 16,05,16г.</t>
  </si>
  <si>
    <t xml:space="preserve"> Филиал ПУ "Слуцкгаз" ПРУП "Минскоблгаз"</t>
  </si>
  <si>
    <t>Филиал ПУ "Слуцкгаз" ПРУП "Минскоблгаз"</t>
  </si>
  <si>
    <t>03278351</t>
  </si>
  <si>
    <t>ЦБУ №521ОАО "Белинвестбанк",г.Минск,220026,г.Минск,ул.Филатова,12</t>
  </si>
  <si>
    <t>220075 г.Минск,ул. Инженерная,26</t>
  </si>
  <si>
    <t xml:space="preserve"> пр., т/ф244-56-23. т/м 80291072912</t>
  </si>
  <si>
    <t>04 апреля 2017г.</t>
  </si>
  <si>
    <t>Подобед И.В.</t>
  </si>
  <si>
    <t>676949545000</t>
  </si>
  <si>
    <t>220007,г.Минск,ул.Фабрициуса,д.9А,ПОМ.40</t>
  </si>
  <si>
    <t>Антоненко С.В.</t>
  </si>
  <si>
    <t>т/ф 256-08-22(23)</t>
  </si>
  <si>
    <t>Частное предприятие  "Торгиндустрия"</t>
  </si>
  <si>
    <t xml:space="preserve">ОАО "Белинвестбанк" отд.537, г Минск, ул.Могилевская,5 </t>
  </si>
  <si>
    <t>г.Минск, ул.Чкалова 5/509, 220039</t>
  </si>
  <si>
    <t>Мусенкова Л.С.</t>
  </si>
  <si>
    <t>224-67-73, 500-47-17</t>
  </si>
  <si>
    <t>01569340</t>
  </si>
  <si>
    <t>в ОАО "Белинвестбанк" г.Минск. Пр.Машерова,29</t>
  </si>
  <si>
    <t>220075,г.Минск, ул.Промышленная,15</t>
  </si>
  <si>
    <t>т.ф 344-23-52, 344-89-12,344-5752</t>
  </si>
  <si>
    <t>Улезло А.М.</t>
  </si>
  <si>
    <t>в ЗАО "МТБанк", г.Минск, пр-т Партизанский 6а</t>
  </si>
  <si>
    <t>223043, Минская обл., Минский  р-н, д.Цнянка, ул.Рождественская, д.5а, комн. 58б</t>
  </si>
  <si>
    <t>Суздальцев Н.В.</t>
  </si>
  <si>
    <t>т/ф 2948072</t>
  </si>
  <si>
    <t>ООО "ВИРТАН"</t>
  </si>
  <si>
    <t>в ОАР "Приопбанк",г.Минск</t>
  </si>
  <si>
    <t>г.Минск,ул.Кольцова,д.48,кв.4А</t>
  </si>
  <si>
    <t>Урбанович А.И.</t>
  </si>
  <si>
    <t>293-38-79</t>
  </si>
  <si>
    <t>ЧУП "Старый кит"</t>
  </si>
  <si>
    <t>ЧТУП "Харсей"</t>
  </si>
  <si>
    <t>Харлап А.П.</t>
  </si>
  <si>
    <t>220056,г.Минск,ул.Беляева,д.10,кв.23</t>
  </si>
  <si>
    <t>т.395-95-78</t>
  </si>
  <si>
    <t>37844827500</t>
  </si>
  <si>
    <t>ЗАО "МТБанк" г.Минск, пр. Партизанский, 6а</t>
  </si>
  <si>
    <t>г.Минск, 220125, пр-т Независимости 177 помещение 71, сектор 4, кабинет 25</t>
  </si>
  <si>
    <t>Лысенко Р.В.</t>
  </si>
  <si>
    <t xml:space="preserve">                Устава</t>
  </si>
  <si>
    <t>т.ф. 266-51-14, 266-76-31</t>
  </si>
  <si>
    <t>14617514</t>
  </si>
  <si>
    <t>в ОАО "Приорбанк", ЦБУ №114, г. Минск, ул. Трудовая, 10.</t>
  </si>
  <si>
    <t>Субботин А.С.</t>
  </si>
  <si>
    <t>220109, РБ, г. Минск, ул. Красина, 169-2</t>
  </si>
  <si>
    <t>т. +375-17-391-17-75, т.ф. 391-17-17, ф.391-17-85</t>
  </si>
  <si>
    <t>в ф-л 527 "Белжелдор" АСБ "Беларусбанк", г.Минск, ул. Кирова, 2.</t>
  </si>
  <si>
    <t>220099, г. Минск, ул. Брестская, 77</t>
  </si>
  <si>
    <t>Остроушко Е.П.</t>
  </si>
  <si>
    <t>доверенность №53-07-08/184 от 02.03.2017 г.</t>
  </si>
  <si>
    <t>т.ф. 501-63-48, -49</t>
  </si>
  <si>
    <t>ОСП "Тепличное хозяйство" ОАО "ДОРОРС"</t>
  </si>
  <si>
    <t>300908686000</t>
  </si>
  <si>
    <t xml:space="preserve">в ЦБУ №701 ОАО "БПС-Сбербанк" г.Минск ул. Чкалова д.18 корп. 1 </t>
  </si>
  <si>
    <t xml:space="preserve">Минская обл. Смолевичский р-н, д.Орешники,механические мастерские ИЧУТП"Ванберг",ком.5 </t>
  </si>
  <si>
    <t xml:space="preserve">2.1. Исполнитель обязуется:
2.1.1. Производить гостехосмотр транспортных средств Заказчика, а также отдельные контрольно-диагностические работы с выдачей по результатам проверки диагностической карты на каждое транспортное средство Заказчика на ДС  №210 Исполнителя.
2.2. Заказчик обязуется:
2.2.1. До предоставления услуги произвести 100% оплату согласно счет-фактуре.
2.2.2. Представлять на гостехосмотр транспортные средства по режиму работы Исполнителя в чистом виде, технически исправными, укомплектованными и документы, подтверждающие внесение платы за проведение гостехосмотра согласно Положению о порядке проведения гостехосмотра и их допуска к участию в дорожном движении, утвержденному постановлением Совета Министров Республики Беларусь от 30 апреля 2008 г. № 630 (далее – Положение № 630).
2.2.3. На территории Исполнителя соблюдать требования Правил дорожного движения, правила пожарной безопасности, производственной санитарии, техники безопасности и внутреннего распорядка.
</t>
  </si>
  <si>
    <t>210/380</t>
  </si>
  <si>
    <t>Филиал "ДЭУ №60 РУП Минскавтодор-центр"</t>
  </si>
  <si>
    <t>Шнейдерc В.В.</t>
  </si>
  <si>
    <t>29184067</t>
  </si>
  <si>
    <t>ЗАО "МТБанк"</t>
  </si>
  <si>
    <t>223062, Минск р-н, р-н п.Привольный, ул. Мира д.34</t>
  </si>
  <si>
    <t>Гулич А.Н.</t>
  </si>
  <si>
    <t xml:space="preserve">   Устава</t>
  </si>
  <si>
    <t>т.ф. 501-45-88</t>
  </si>
  <si>
    <t>СООО "ХЕННЛИХ"</t>
  </si>
  <si>
    <t>в ОАО "БНБ-Банк",г.Минск,пр.Независимости,87-а</t>
  </si>
  <si>
    <t>т/ф 207-18-28,207-39-26,207-39-21</t>
  </si>
  <si>
    <t>220092,г.Минск,пр.Пушкина,39,оф.5</t>
  </si>
  <si>
    <t>Высоцкая О.В.</t>
  </si>
  <si>
    <t>в "Приорбанк" ОАО цбу 100 г.Минск</t>
  </si>
  <si>
    <t>220046 г.Минск, ул.Радиальная 54</t>
  </si>
  <si>
    <t>(029)178-16-52-механ.</t>
  </si>
  <si>
    <t>ОАО Кондитерская Фабрика "Слодыч"</t>
  </si>
  <si>
    <t>3786417850</t>
  </si>
  <si>
    <t>в ОАО "Белгазпромбанк", ул.Притыцкого 62, г.Минск</t>
  </si>
  <si>
    <t>220050, г.Минск, ул.Мясникова, 70, 4 эт.,пом.24</t>
  </si>
  <si>
    <t>Браташ А.Н.</t>
  </si>
  <si>
    <t>37383131</t>
  </si>
  <si>
    <t>ф-л 527 "Белжелдор" АСБ "Беларусьбанк" г.Минск</t>
  </si>
  <si>
    <t>г. Минск, ул. Чкалова, 5, каб. 14 инд.220039</t>
  </si>
  <si>
    <t>Страшевский А.Б</t>
  </si>
  <si>
    <t>т/ф 2131510 (017) 2131511</t>
  </si>
  <si>
    <t>ГУ "Минский обласной центр олимпийского резерва"</t>
  </si>
  <si>
    <t>ООО "Энерго-Фокс"</t>
  </si>
  <si>
    <t>в ЗАО "Альфа-Банк"</t>
  </si>
  <si>
    <t>223060, Минская обл., Минский р-н, Могилевское шоссе, 11-ый км, АБК "Аэролла", каб.20</t>
  </si>
  <si>
    <t>Наливайко Д.К.</t>
  </si>
  <si>
    <t>т/ф3442825,0296544365</t>
  </si>
  <si>
    <t>ЗАО Банк ВТБ (Беларусь) г.Минск. ул.Московская 14</t>
  </si>
  <si>
    <t xml:space="preserve">Минский р-н, д.Малиновка, часть ПСЗ, принад.Чеснокову А.Л. комн.41 тел.факс 290-50-60 </t>
  </si>
  <si>
    <t>Михедко А.А.</t>
  </si>
  <si>
    <t>290-50-60</t>
  </si>
  <si>
    <t>Ф-л № 511 ОАО "Беларусбанк", г. Минск</t>
  </si>
  <si>
    <t>г. Минск, ул. Бехтерева, 8</t>
  </si>
  <si>
    <t>Павленко В.А.</t>
  </si>
  <si>
    <t>295-21-74</t>
  </si>
  <si>
    <t>37408954</t>
  </si>
  <si>
    <t>в ЗАО "МТБанк",г.Минск,пр.Партизанский,д.6А</t>
  </si>
  <si>
    <t>220020,Проспект Победителей,д.119,пом.501</t>
  </si>
  <si>
    <t>Дубовцова С.И.</t>
  </si>
  <si>
    <t>т/ф.202-15-70 (73,74,75)</t>
  </si>
  <si>
    <t>ООО "Тритекс Трейд"</t>
  </si>
  <si>
    <t>380598525000</t>
  </si>
  <si>
    <t>в "МТБанк" ЗАО ЦБУ г.Минск</t>
  </si>
  <si>
    <t>220021,г.Минск,ул.Котовского,9А,к.23</t>
  </si>
  <si>
    <t>Варашкевич А.Е.</t>
  </si>
  <si>
    <t>т/ф 393-38-92</t>
  </si>
  <si>
    <t>Шупенько Д.В.</t>
  </si>
  <si>
    <t>ЧПУП "Спецпаркстрой плюс"</t>
  </si>
  <si>
    <t>ОАО "Белгазпромбанк", г.Минск, ул. Притыцкого 60/2</t>
  </si>
  <si>
    <t>Киселев С.С</t>
  </si>
  <si>
    <t>г.Минск, ул.Селицкого, 39 б, комн.22</t>
  </si>
  <si>
    <t>т/ф 802447006473</t>
  </si>
  <si>
    <t>ООО "ТехСтройПрофит"</t>
  </si>
  <si>
    <t>377181465000</t>
  </si>
  <si>
    <t>в ОАО "Приорбанк", ЦБУ 114, г.Минск,ул.Трудовая,10</t>
  </si>
  <si>
    <t>223060, Минский р-н, Новодворский с/с,дер.Большое Стиклево, д40/2, каб.20А.</t>
  </si>
  <si>
    <t>Ноздрин В.В.</t>
  </si>
  <si>
    <t>т/ф 2380205</t>
  </si>
  <si>
    <t>в ОАО "Приорбанк" ЦБУ 114,г.Минск</t>
  </si>
  <si>
    <t>Змитрович Е.М.</t>
  </si>
  <si>
    <t>т/ф 344-97-11,344-97-21,344-97-42</t>
  </si>
  <si>
    <t>220075,г.Минск, пр-т Партизанский,д.182,пом.47</t>
  </si>
  <si>
    <t>"Приорбанк" ОАО ЦБУ 101</t>
  </si>
  <si>
    <t>Печура И.Г.</t>
  </si>
  <si>
    <t>вел. 6859509</t>
  </si>
  <si>
    <t>220075 г. Минск ул. Селицкого,21,кор.2</t>
  </si>
  <si>
    <t>Приход храма преподобного Серафима Саровского в г.Минске</t>
  </si>
  <si>
    <t>ЗАО "Идея Банк" ул.К.Маркса,25</t>
  </si>
  <si>
    <t>Настоятель</t>
  </si>
  <si>
    <t>220025 г.Минск, ул. Космонавтов, 24</t>
  </si>
  <si>
    <t>Ширитон А.Н.</t>
  </si>
  <si>
    <t>т.ф. 272-10-73</t>
  </si>
  <si>
    <t>Унитарное  Предприятие"СУ № 22 "ОАО Минскпромстрой"</t>
  </si>
  <si>
    <t>379394855000</t>
  </si>
  <si>
    <t>в ЦБУ № 705 ОАО"БПС-Банк" г.Минск</t>
  </si>
  <si>
    <t>220140,г. Минск, ул. Матусевича, 70</t>
  </si>
  <si>
    <t>227-32-97, т/ф 295-84-09</t>
  </si>
  <si>
    <t>Белый В.А.</t>
  </si>
  <si>
    <t>доверенность №1-25/12-1 от 03.01.17</t>
  </si>
  <si>
    <t>14609609</t>
  </si>
  <si>
    <t>в ЦБУ №705 ОАО "БПС-Банк" ,г.Минск</t>
  </si>
  <si>
    <t>220021,г.Минск, ул. Мичурина,3</t>
  </si>
  <si>
    <t>Смолей А.Е.</t>
  </si>
  <si>
    <t>(029)366-39-27  механик</t>
  </si>
  <si>
    <t>Шлеверда А.А</t>
  </si>
  <si>
    <t>доверенность №3-61/6 от 03.01.2017</t>
  </si>
  <si>
    <t>начальник ОМТО</t>
  </si>
  <si>
    <t>Шлеверда А.А.</t>
  </si>
  <si>
    <t>293164976000</t>
  </si>
  <si>
    <t>в ф-ле ОАО "Белагропромбанк", Минского областного управления,г.Минск</t>
  </si>
  <si>
    <t>223044,Минская обл,Минский р-н,п/о Вишневка,д.Комсомолец,ул.Центральная,д.1А,к.12</t>
  </si>
  <si>
    <t>Шляжко Д.А.</t>
  </si>
  <si>
    <t>т.544-51-36 (37),544-51-41,т/ф 544-51-65</t>
  </si>
  <si>
    <t>37389263</t>
  </si>
  <si>
    <t>в ф-ле МОД ОАО "Белинвестбанк" г.Минск ул.Мельникайте,2</t>
  </si>
  <si>
    <t>И.О.Директор</t>
  </si>
  <si>
    <t>г.Минск, ул. Социалистическая , 26  220102</t>
  </si>
  <si>
    <t>Плющ А.В.</t>
  </si>
  <si>
    <t>Протокол наблюдательного совета №34 от 19,09,16г.</t>
  </si>
  <si>
    <t>ОАО "Ордена Знак Почета" Автокомбинат №4</t>
  </si>
  <si>
    <t>00954343</t>
  </si>
  <si>
    <t>"Приорбанк" ОАО ЦБУ№115,,ул. Кропоткина,91</t>
  </si>
  <si>
    <t>220075 Минская обл.,Минский р-н,Новодворский с/с,СЭЗ"Минск",ул.Селицкого,д.8А</t>
  </si>
  <si>
    <t>т 389-79-00, т/ф 389-79-03(01)</t>
  </si>
  <si>
    <t>Лобанок С.В.</t>
  </si>
  <si>
    <t>г.Минск,ул.Нахимова,17,22-23</t>
  </si>
  <si>
    <t>Далецкий И.О.</t>
  </si>
  <si>
    <t>298-13-82</t>
  </si>
  <si>
    <t>в ЗАО"МТ Банк",г.Минск</t>
  </si>
  <si>
    <t>Региональная Дирекция №700 ОАО "БПС-Сбербанк",г.Минск</t>
  </si>
  <si>
    <t xml:space="preserve">доверенности                                                                                                                                            </t>
  </si>
  <si>
    <t>37587846</t>
  </si>
  <si>
    <t>ЦБУ 114 ОАО " Приорбанк", г. Минск, ул.  Трудовая, 10</t>
  </si>
  <si>
    <t>220075, г. Минск, ул. Шабаны, 14А, оф. 42</t>
  </si>
  <si>
    <t>Гладкий М.Ф.</t>
  </si>
  <si>
    <t>т.ф. 392-28-62, 392-28-72</t>
  </si>
  <si>
    <t>375801914</t>
  </si>
  <si>
    <t>ЗАО "БелСвиссБанк", 22004, РБ, г. Минск, ул. Победителей, 23, корп.3</t>
  </si>
  <si>
    <t>Минская обл. Минский р-н, пос. Привольный, ул. Мира, д. 34, каб. 6</t>
  </si>
  <si>
    <t xml:space="preserve">Барауля А.В. </t>
  </si>
  <si>
    <t>т.моб. Вел. 303-87-70</t>
  </si>
  <si>
    <t>04014364</t>
  </si>
  <si>
    <t>220030 г.Минск, ул.Советская, 17</t>
  </si>
  <si>
    <t>т.ф. 8029106-83-35</t>
  </si>
  <si>
    <t>в ОАО "Белвнешэкономбанк",г.Минск,ул.Серова,4</t>
  </si>
  <si>
    <t>директор упралляющий организацией</t>
  </si>
  <si>
    <t>Ермолович А.В.</t>
  </si>
  <si>
    <t>НП ООО "Еврогрупп"</t>
  </si>
  <si>
    <t>Ген директор</t>
  </si>
  <si>
    <t>220012,г.Минск,ул.Сурганова,24,пом.15</t>
  </si>
  <si>
    <t>Кульпин А.И.</t>
  </si>
  <si>
    <t>СООО "Завод современной пожарной техники"</t>
  </si>
  <si>
    <t>299937956000</t>
  </si>
  <si>
    <t>220138,г.Минск,ул.Липковская,18-1,ком.13</t>
  </si>
  <si>
    <t>Нацевский С.А.</t>
  </si>
  <si>
    <t>542-21-38(39,40),т/ф 385-14-41</t>
  </si>
  <si>
    <t>в ОАО "Банк Москва-Минск",г.Минск,ул.Коммунистичевкая,49,пом.1</t>
  </si>
  <si>
    <t>222729,,Минская обл.,Дзержинский р-н.агр. Черкассы,ул.Стадионная.5,ком.1</t>
  </si>
  <si>
    <t>235-91-84</t>
  </si>
  <si>
    <t>т/ф 306-27-37,8029-390-07-01 Александр</t>
  </si>
  <si>
    <t>222729,Минская обл.,Дзержинский р-н.агр. Черкассы,ул.Стадионная,5,ком.1</t>
  </si>
  <si>
    <t>011298885000</t>
  </si>
  <si>
    <t>нач. СМТС Волочко М.М.</t>
  </si>
  <si>
    <t>тер. Национального аэропорта "Минск", 220054, г.Минск</t>
  </si>
  <si>
    <t xml:space="preserve"> Волочко М.М.</t>
  </si>
  <si>
    <t xml:space="preserve">             доверенности</t>
  </si>
  <si>
    <t>т. (017) 279-18-38, т.ф. 279-17-68</t>
  </si>
  <si>
    <t>в ф-л № 514 ОАО "АСБ Беларусьбанк", г.Минск, ул. Сурганова, 47а</t>
  </si>
  <si>
    <t>Микуленок Д.М.</t>
  </si>
  <si>
    <t>03001000</t>
  </si>
  <si>
    <t>г.Слуцк,2-ой пер.Комсомольский 10</t>
  </si>
  <si>
    <t>Силюк А.Н.</t>
  </si>
  <si>
    <t>210/367</t>
  </si>
  <si>
    <t>210/36</t>
  </si>
  <si>
    <t>210/527</t>
  </si>
  <si>
    <t>ООО "Системы Нормативной Безопасности"</t>
  </si>
  <si>
    <t>210/921</t>
  </si>
  <si>
    <t>ООО "СТРОЙМОНТАЖ"</t>
  </si>
  <si>
    <t>ТУП "ЦЕММАСТЕР"</t>
  </si>
  <si>
    <t>СООО "МОБИЛЬНЫЕ ТЕЛЕСИСТЕМЫ"</t>
  </si>
  <si>
    <t>Стоимость работ (услуг) всего с НДС, руб.</t>
  </si>
  <si>
    <t>ИТОГО:</t>
  </si>
  <si>
    <t>ООО "СВОЙ СТИЛЬ"</t>
  </si>
  <si>
    <t>210/323</t>
  </si>
  <si>
    <t>Цены:</t>
  </si>
  <si>
    <t>ИООО "Бримстон-Бел"</t>
  </si>
  <si>
    <t>ООО "Бау-Унион"</t>
  </si>
  <si>
    <t>УО "Государственный институт повышения квалификации и переподготовки кадров таможенных органов РБ"</t>
  </si>
  <si>
    <t>210/192</t>
  </si>
  <si>
    <t xml:space="preserve"> ООО "ЗАВОД СИСТЕМ ОХЛАЖДЕНИЯ"</t>
  </si>
  <si>
    <t>ООО "Владпродимпорт"</t>
  </si>
  <si>
    <t>Прицеп с технически допустимой общей массой более 0,75 и не более 3,5 тонны</t>
  </si>
  <si>
    <t>ИП"Соудал"</t>
  </si>
  <si>
    <t>ИООО "Боннети"</t>
  </si>
  <si>
    <t>210/54</t>
  </si>
  <si>
    <t>210/422</t>
  </si>
  <si>
    <t>210/509</t>
  </si>
  <si>
    <t>ОДО "АГРОСЕМПРОДУКТ"</t>
  </si>
  <si>
    <t>37570620</t>
  </si>
  <si>
    <t>"Приорбанк" ОАО ЦБУ 101 г.Минск, ул.Тимирязева, 65А</t>
  </si>
  <si>
    <t>22089, г.Минск, ул.Гурского, д.37, офис 4Н</t>
  </si>
  <si>
    <t>т.ф.2724054</t>
  </si>
  <si>
    <t>Майсюк В.Г.</t>
  </si>
  <si>
    <t>37525631</t>
  </si>
  <si>
    <t>Минская обл.,Минский р-н,Луговослободской с/с,47/10,р-н д.Прилесье</t>
  </si>
  <si>
    <t>Бушуев Б.Ю.</t>
  </si>
  <si>
    <t>ОАО БПС-Банк" в ЦБУ №704</t>
  </si>
  <si>
    <t>1-й зам. ген.директора</t>
  </si>
  <si>
    <t>220037 г.Минск ул. Долгобродская ,17</t>
  </si>
  <si>
    <t>Кравчук С.Д.</t>
  </si>
  <si>
    <t>Т/Ф 203-19-44, 245-51-11</t>
  </si>
  <si>
    <t>37562690</t>
  </si>
  <si>
    <t>ЦБУ № 115 "Приорбанк" ОАО, г. Минск, ул. Кропоткина , 91</t>
  </si>
  <si>
    <t>222372, Минска обл, Воложинский р-н, с/с Ивенецкий, нас.п.деревня Пряльники, ул.Молодежная, д.7</t>
  </si>
  <si>
    <t xml:space="preserve">Хмелевски С. </t>
  </si>
  <si>
    <t>8-01772-3-19-11, 3-12-42, 3-12-51</t>
  </si>
  <si>
    <t>БРУСП Белгосстраха по Заводскому району г.Минска</t>
  </si>
  <si>
    <t>000367885013</t>
  </si>
  <si>
    <t xml:space="preserve">в ЦБУ №521 ОАО "Белинвестбанк"г.Минск </t>
  </si>
  <si>
    <t>220021,г.Минск,ул.Л.Чайкиной,14</t>
  </si>
  <si>
    <t>Гаврилов А.Ю.</t>
  </si>
  <si>
    <t>доверенности №12-02-15/ 424 от 18.05.2013 г.</t>
  </si>
  <si>
    <t>т.345-27-70,т/ф 345-27-74</t>
  </si>
  <si>
    <t>37454204</t>
  </si>
  <si>
    <t>220037, г.Минск,ул.Авангардная,48а</t>
  </si>
  <si>
    <t>Зеленкевич Т.В.</t>
  </si>
  <si>
    <t>Управляющий</t>
  </si>
  <si>
    <t xml:space="preserve">Начальник управления </t>
  </si>
  <si>
    <t>Ярошевич С.М.</t>
  </si>
  <si>
    <t>доверенности №87/16 от 25.11.16г.</t>
  </si>
  <si>
    <t>298310646000</t>
  </si>
  <si>
    <t>ОАО "Приорбанк" ЦБУ 114, г. Минск, ул. Трудовая, 10</t>
  </si>
  <si>
    <t>223060, Минская обл., Минский р-н, д. Большой Тростинец, ул. Мирная, 58А, комн.2</t>
  </si>
  <si>
    <t>Бурлуцкий А.С.</t>
  </si>
  <si>
    <t>273-65-21 т.ф.</t>
  </si>
  <si>
    <t>37593590</t>
  </si>
  <si>
    <t>в ОАО "Белорусский народный банк" в г.Минске</t>
  </si>
  <si>
    <t>220019,г.Минск,пер.Янтарный,4</t>
  </si>
  <si>
    <t>Качанов И.А.</t>
  </si>
  <si>
    <t>Т/Ф 201-68-62,335-33-55</t>
  </si>
  <si>
    <t>в ЗАО "МТБ" г.Минск, пр-т Партизанский,6а</t>
  </si>
  <si>
    <t>220075, г.Минск, ул.Селицкого,31в-1</t>
  </si>
  <si>
    <t>Гарустович А.С.</t>
  </si>
  <si>
    <t>01277301</t>
  </si>
  <si>
    <t>"ДирекцичОАО Белинвестбанк" по г.Минску и Минской области</t>
  </si>
  <si>
    <t>220075,г.Минск,ул.Селицкого,19</t>
  </si>
  <si>
    <t>Скуратович О.Б.</t>
  </si>
  <si>
    <t>т/ф3442252,т.2996684</t>
  </si>
  <si>
    <t>377298715000</t>
  </si>
  <si>
    <t>"Приорбанк" ОАО, ЦБУ 109 г.Минск, ул.Притыцкого, 91</t>
  </si>
  <si>
    <t>220018, РБ, г. Минск, ул. Утульная, 6-1Н</t>
  </si>
  <si>
    <t>Воробей С.С.</t>
  </si>
  <si>
    <t xml:space="preserve">               Устава</t>
  </si>
  <si>
    <t>т. 257-01-94, 257-14-58, т.ф. 305-56-05</t>
  </si>
  <si>
    <t>210/31</t>
  </si>
  <si>
    <t>ООО "ФениксТранс"</t>
  </si>
  <si>
    <t>210/43</t>
  </si>
  <si>
    <t>210/740</t>
  </si>
  <si>
    <t>210/680</t>
  </si>
  <si>
    <t>ЗАО "Савел-Групп"</t>
  </si>
  <si>
    <t xml:space="preserve"> ОАО МАЗ(Рессорный завод)</t>
  </si>
  <si>
    <t>210/80</t>
  </si>
  <si>
    <t>ООО "БелСКС логистик"</t>
  </si>
  <si>
    <t xml:space="preserve">Мы, нижеподписавшиеся начальник ДС УП «Белтехосмотр»  </t>
  </si>
  <si>
    <t>ЧСУП "ВИТРАИТ"</t>
  </si>
  <si>
    <t>ЧТУП "БелЕвроТрак"</t>
  </si>
  <si>
    <t>ИООО "АЛЬТЕРНАТИВНАЯ ЦИФРОВАЯ СЕТЬ"</t>
  </si>
  <si>
    <t>210/869</t>
  </si>
  <si>
    <t>Пашкевича Анатолия Степановича</t>
  </si>
  <si>
    <t>210/531</t>
  </si>
  <si>
    <t>СООО"АГРОСТЕП"</t>
  </si>
  <si>
    <t>ЧПТУП "СПАРТАК-ПАРК"</t>
  </si>
  <si>
    <t>210/202</t>
  </si>
  <si>
    <t>ООО "Имидж Групп"</t>
  </si>
  <si>
    <t>210/990</t>
  </si>
  <si>
    <t>Минский инновационный университет</t>
  </si>
  <si>
    <t>210/327</t>
  </si>
  <si>
    <t>210/384</t>
  </si>
  <si>
    <t>СПФ "РСУ Минского района"</t>
  </si>
  <si>
    <r>
      <t xml:space="preserve"> </t>
    </r>
    <r>
      <rPr>
        <b/>
        <sz val="13"/>
        <rFont val="Times New Roman"/>
        <family val="1"/>
        <charset val="204"/>
      </rPr>
      <t xml:space="preserve">Работу сдал:                                                                         </t>
    </r>
  </si>
  <si>
    <t>ООО "Балтарус транс"</t>
  </si>
  <si>
    <t>210/195</t>
  </si>
  <si>
    <t>ООО "УРБАН-БЕЛ"</t>
  </si>
  <si>
    <t>"VISTAR Ehergetics Technoiogy GmbH"</t>
  </si>
  <si>
    <t>210/634</t>
  </si>
  <si>
    <t>Минский университет управления</t>
  </si>
  <si>
    <t>ООО "Лимкаргобел"</t>
  </si>
  <si>
    <t>210/601</t>
  </si>
  <si>
    <t>ЗАО "МЗБН"</t>
  </si>
  <si>
    <t>УДМС и Б Мингорисполкома</t>
  </si>
  <si>
    <t>ООО "ПАУЛ ТРАНС"</t>
  </si>
  <si>
    <t>210/63</t>
  </si>
  <si>
    <t>ДСУ №43 ОАО "СМТ №8"</t>
  </si>
  <si>
    <t>ООО "Фурсам"</t>
  </si>
  <si>
    <t>210/943</t>
  </si>
  <si>
    <t>210/583</t>
  </si>
  <si>
    <t>210/433</t>
  </si>
  <si>
    <t xml:space="preserve">ООО "МКТ-авто" </t>
  </si>
  <si>
    <t>210/440</t>
  </si>
  <si>
    <t>ЧТУП "Чалей-групп"</t>
  </si>
  <si>
    <t>ООО "ТРЕЙДРОУД"</t>
  </si>
  <si>
    <t>210/395</t>
  </si>
  <si>
    <t>210/958</t>
  </si>
  <si>
    <t>210/56</t>
  </si>
  <si>
    <t xml:space="preserve"> СП ЗАО"МАЗ-МАН"</t>
  </si>
  <si>
    <t>ЧТУП "ЛОСавто"</t>
  </si>
  <si>
    <t>210/19</t>
  </si>
  <si>
    <t>210/485</t>
  </si>
  <si>
    <t>ЗАО "ШатоАгро"</t>
  </si>
  <si>
    <t>ОДО "ВАДЖЕН ГРУПП"</t>
  </si>
  <si>
    <t>210/676</t>
  </si>
  <si>
    <t>210/280</t>
  </si>
  <si>
    <t>210/208</t>
  </si>
  <si>
    <t>ЧУП по оказанию услуг "Лемиса"</t>
  </si>
  <si>
    <t>210/320</t>
  </si>
  <si>
    <t>ЧСУП "ДРУ 789"</t>
  </si>
  <si>
    <t>УП "Щемыслица" БГУ</t>
  </si>
  <si>
    <t>ООО "Бабушкина и К"</t>
  </si>
  <si>
    <t>ЧТУП "ГОВОРЦОВ-АВТО"</t>
  </si>
  <si>
    <t>ООО "ГРУЗОСТРОЙ"</t>
  </si>
  <si>
    <t>210/645</t>
  </si>
  <si>
    <t>Контрагент (плательщик)</t>
  </si>
  <si>
    <t>210/642</t>
  </si>
  <si>
    <t xml:space="preserve"> Филиал СУ №25 ОАО "Минскпромстрой "</t>
  </si>
  <si>
    <t>210/1024</t>
  </si>
  <si>
    <t>ООО "ТЕРМОКОМФОРТ ПЛЮС"</t>
  </si>
  <si>
    <t>210/1025</t>
  </si>
  <si>
    <t>210/1026</t>
  </si>
  <si>
    <t>ЧУП "ТОПИНВЕСТ"</t>
  </si>
  <si>
    <t xml:space="preserve">                                                                                                                                        </t>
  </si>
  <si>
    <t>ООО "Чайковский АБ"</t>
  </si>
  <si>
    <t>210/858</t>
  </si>
  <si>
    <t>ООО "Сэльвин"</t>
  </si>
  <si>
    <t>Завод пустотных изделий ОАО"Минскжелезобетон"</t>
  </si>
  <si>
    <t>210/449</t>
  </si>
  <si>
    <t>ЧТУП "Натра-Транс"</t>
  </si>
  <si>
    <t>210/933</t>
  </si>
  <si>
    <t>210/855</t>
  </si>
  <si>
    <t>ООО "БЕЛТЕХНОПРОМ-ГРУПП"</t>
  </si>
  <si>
    <t>210/506</t>
  </si>
  <si>
    <t>Червенская ЦРБ</t>
  </si>
  <si>
    <t>ООО "Союззапчасть"</t>
  </si>
  <si>
    <t>ИООО "Автокас"</t>
  </si>
  <si>
    <t>ЧУП "РЕЗОНАНС"</t>
  </si>
  <si>
    <t>210/352</t>
  </si>
  <si>
    <t>ОДО "РДК-ИНВЕСТ"</t>
  </si>
  <si>
    <t>210/190</t>
  </si>
  <si>
    <t>ЧУП "Чистый источник"</t>
  </si>
  <si>
    <t>210/423</t>
  </si>
  <si>
    <t>ГП "ЖИЛКОМПЛЕКТ"</t>
  </si>
  <si>
    <t>УМ УП "Минскметрострой"</t>
  </si>
  <si>
    <t>ЗАО "ПАВИКИС"</t>
  </si>
  <si>
    <t>210/274</t>
  </si>
  <si>
    <t>Кодекса Республики Беларусь о судоустройстве и статусе судей от 29 июня 2006 г.</t>
  </si>
  <si>
    <t>222-40-48</t>
  </si>
  <si>
    <t>в ОАО "Белинвестбанк",г.Минск,ул.Коржа,11а</t>
  </si>
  <si>
    <t>г.Минск,ул.Вязынская,д.5</t>
  </si>
  <si>
    <t>Степанов Д.О.</t>
  </si>
  <si>
    <t>8-017-509-56-21</t>
  </si>
  <si>
    <t>ООО "ОМА"</t>
  </si>
  <si>
    <t>220075, а/я 104 г.Минск, пер.Промышленный, 12А, к.36</t>
  </si>
  <si>
    <t>ЗАО "МТБанк", 220033, г.Минск, Партизанский пр-т, 6а</t>
  </si>
  <si>
    <t>доверенности №359/016 от 28.09.2016г.</t>
  </si>
  <si>
    <t>344-93-03, 210-52-85</t>
  </si>
  <si>
    <t>Сергеев Д.С.</t>
  </si>
  <si>
    <t>начальника управления логистики</t>
  </si>
  <si>
    <t>ОАО "Приорбанк" ЦБУ 117, г. Минск, пр-т. Независимости 172</t>
  </si>
  <si>
    <t>РБ, 223027, п.Городище, Минская обл., Минский р-н, В/Б 1068, д.44, кв.5</t>
  </si>
  <si>
    <t>Пучковская Л.М.</t>
  </si>
  <si>
    <t>т.ф. (017) 507-06-39</t>
  </si>
  <si>
    <t xml:space="preserve"> в ОАО "АСБ Беларусьбанк" ф.л №511 </t>
  </si>
  <si>
    <t xml:space="preserve">зам. директора </t>
  </si>
  <si>
    <t>220070, г. Минск ул. Радиальная,50</t>
  </si>
  <si>
    <t>Прудник П.Н.</t>
  </si>
  <si>
    <t xml:space="preserve">доверенности                             </t>
  </si>
  <si>
    <t>230 18 03 т\ф, 299 27 66</t>
  </si>
  <si>
    <t>14736058</t>
  </si>
  <si>
    <t>в ОАО "Технобанк" г.Минск, ул. Кропоткина 44</t>
  </si>
  <si>
    <t>220025 г.Минск, ул. Космонавтов,д.43,кв91</t>
  </si>
  <si>
    <t>Воробей В.А.</t>
  </si>
  <si>
    <t>т/ф 255-35-56,205-12-34,(029)658-42-22</t>
  </si>
  <si>
    <t>380130405000</t>
  </si>
  <si>
    <t>ОАО "Приорбанк" ЦБУ 101, г.Минск, ул. Тимирязева 65/а</t>
  </si>
  <si>
    <t>Зырянов А.В.</t>
  </si>
  <si>
    <t xml:space="preserve">             Устава</t>
  </si>
  <si>
    <t>(017) 226-24-18, Т.Ф. 222-97-02</t>
  </si>
  <si>
    <t>224025,г.Брест,ул.Катин Бор",106А</t>
  </si>
  <si>
    <t>377497965</t>
  </si>
  <si>
    <t>ОАО "АСБ Беларусбанк" г.Минск, пр.Независимости, 56</t>
  </si>
  <si>
    <t>223027 Минская обл, Минский р-н, д.Королев Стан, ул.Магистральная, д.6</t>
  </si>
  <si>
    <t>Потапова Е.Ж.</t>
  </si>
  <si>
    <t>т.ф. 507-06-39</t>
  </si>
  <si>
    <t>ЧСУП "ЕвроАлмаз"</t>
  </si>
  <si>
    <t>ЗАО "БелСвиссБанк", г.Минск, пр-т Победителей, 23</t>
  </si>
  <si>
    <t>222852, Минская обл., Пуховичский район, п.Дружный, ул.Шамановского, д.41, кв.147</t>
  </si>
  <si>
    <t>Левицкий М.А.</t>
  </si>
  <si>
    <t>т.ф. 277-30-48</t>
  </si>
  <si>
    <t>298236626000</t>
  </si>
  <si>
    <t>Минское отд. 3 ОАО "Банк БелВЭБ", г. Минск, ул. Серова, 4</t>
  </si>
  <si>
    <t>222210, Минская обл., Смолевичский район, г. Смолевичи, ул. Зеленая, 3</t>
  </si>
  <si>
    <t>Тозик А.В.</t>
  </si>
  <si>
    <t>т/ф 328-09-01, 8029-353-84-10</t>
  </si>
  <si>
    <t>055670945017</t>
  </si>
  <si>
    <t>ЦБУ № 705 ОАО"БПС-Сбербанк",г.Минск</t>
  </si>
  <si>
    <t>220102,г.Минск,пр-т Партизанский,д.144</t>
  </si>
  <si>
    <t>Шугало С.М.</t>
  </si>
  <si>
    <t>доверенности</t>
  </si>
  <si>
    <t>242-72-76</t>
  </si>
  <si>
    <t>Вердыш В.А.</t>
  </si>
  <si>
    <t>заместитель председателя</t>
  </si>
  <si>
    <t>в Рег.Дир. № 700 ОАО "БПС-Банк"</t>
  </si>
  <si>
    <t>220013,г.Минск,ул.Я.Коласа,38</t>
  </si>
  <si>
    <t>Коваленок А.М.</t>
  </si>
  <si>
    <t>331-21-92,331-47-86,т/ф 234-36-54</t>
  </si>
  <si>
    <t>ЗАО "Струнные технологии"</t>
  </si>
  <si>
    <t>2. Для оказания услуги Заказчику необходимо предоставить документы подтверждающие оплату, настоящий счет, доверенность</t>
  </si>
  <si>
    <t>ОАО " Строймаш"</t>
  </si>
  <si>
    <t>ПРОЕКТНОЕ ЧУП "ГАЗСТРОЙПРОЕКТ"</t>
  </si>
  <si>
    <t>ЧСУП "ОлДиТранс"</t>
  </si>
  <si>
    <t>210/516</t>
  </si>
  <si>
    <t>210/404</t>
  </si>
  <si>
    <t>ООО "РИД-СТРОЙ"</t>
  </si>
  <si>
    <t>210/722</t>
  </si>
  <si>
    <t>210/219</t>
  </si>
  <si>
    <t>Булатовский С.А.</t>
  </si>
  <si>
    <t>210/551</t>
  </si>
  <si>
    <t xml:space="preserve">Следует к перечислению: </t>
  </si>
  <si>
    <t>Индекс строки</t>
  </si>
  <si>
    <t>Наименование и краткая характеристика оказанной услуги</t>
  </si>
  <si>
    <t>210/929</t>
  </si>
  <si>
    <t>210/370</t>
  </si>
  <si>
    <t>ЧТУП "ЖУР-Транс"</t>
  </si>
  <si>
    <t>210/131</t>
  </si>
  <si>
    <t>210/660</t>
  </si>
  <si>
    <t>210/524</t>
  </si>
  <si>
    <t>210/723</t>
  </si>
  <si>
    <t>СООО "СМУ Союзтелефонстрой"</t>
  </si>
  <si>
    <t>Грузовой автомобиль или автомобиль-тягач с технически допустимой общей массой более 12 тонн</t>
  </si>
  <si>
    <t>ИООО "АРХИГРУПП"</t>
  </si>
  <si>
    <t>210/512</t>
  </si>
  <si>
    <t>ООО "МАБИ-Транс"</t>
  </si>
  <si>
    <t>210/1034</t>
  </si>
  <si>
    <t>ООО "ЛАНТОРИЯ"</t>
  </si>
  <si>
    <t>210/1037</t>
  </si>
  <si>
    <t>ООО "ЭРКЮЛЬ"</t>
  </si>
  <si>
    <t>УП "Кристи Стайл"</t>
  </si>
  <si>
    <t>210/198</t>
  </si>
  <si>
    <t>ОКПО:</t>
  </si>
  <si>
    <t>210/589</t>
  </si>
  <si>
    <t>ООО "Лусон"</t>
  </si>
  <si>
    <t>210/260</t>
  </si>
  <si>
    <t>210/905</t>
  </si>
  <si>
    <t>ООО "ФабрикЛент"</t>
  </si>
  <si>
    <t>210/325</t>
  </si>
  <si>
    <t>210/201</t>
  </si>
  <si>
    <t>ООО "ИНТЕРРОС"</t>
  </si>
  <si>
    <t>210/104</t>
  </si>
  <si>
    <t>Частное предприятие "ТурбоСтар"</t>
  </si>
  <si>
    <t>210/306</t>
  </si>
  <si>
    <t>210/401</t>
  </si>
  <si>
    <t>Для вывоза из Республики Беларусь.</t>
  </si>
  <si>
    <t>210/453</t>
  </si>
  <si>
    <t>210/459</t>
  </si>
  <si>
    <t>210/282</t>
  </si>
  <si>
    <t>ООО "ФорвардГрупп"</t>
  </si>
  <si>
    <t>210/270</t>
  </si>
  <si>
    <t>ЧТУП "БИОВЕТПРОМ"</t>
  </si>
  <si>
    <t>210/205</t>
  </si>
  <si>
    <t xml:space="preserve">                    </t>
  </si>
  <si>
    <t>ООО "НЭФОКС ПЛЮС"</t>
  </si>
  <si>
    <t>Проведение работ по техническому контролю состояния дорожных транспортных средств на соответствие техническим требованиям ЕКМТ</t>
  </si>
  <si>
    <t>Унитарное предприятие "Вланпак"</t>
  </si>
  <si>
    <t>210/755</t>
  </si>
  <si>
    <t>ЧТУП "Айвикей"</t>
  </si>
  <si>
    <t>210/73</t>
  </si>
  <si>
    <t>ОДО "ТракЕвроЛайн"</t>
  </si>
  <si>
    <t xml:space="preserve">Минский инновационный университет </t>
  </si>
  <si>
    <t>210/26</t>
  </si>
  <si>
    <t>ООО"ГУЛБИС"</t>
  </si>
  <si>
    <t>ЧТУП "МикроТрансБизнес"</t>
  </si>
  <si>
    <t>210/1004</t>
  </si>
  <si>
    <t>ЧТУП "КУВАЛ"</t>
  </si>
  <si>
    <t>210/82</t>
  </si>
  <si>
    <t>ООО "РУХСЕРВОМОТОР"</t>
  </si>
  <si>
    <t>210/125</t>
  </si>
  <si>
    <t>210/647</t>
  </si>
  <si>
    <t>ЧПУП "ЭнкиСтрейд"</t>
  </si>
  <si>
    <t>210/1008</t>
  </si>
  <si>
    <t>"Виктория - 91" Минский район</t>
  </si>
  <si>
    <t>210/732</t>
  </si>
  <si>
    <t>210/350</t>
  </si>
  <si>
    <t>ТПЧУП "Мидель"</t>
  </si>
  <si>
    <t>210/578</t>
  </si>
  <si>
    <t>210/288</t>
  </si>
  <si>
    <t>210/760</t>
  </si>
  <si>
    <t>ООО "Генекс логистик"</t>
  </si>
  <si>
    <t>ООО "ВИН Компания"</t>
  </si>
  <si>
    <t>УП "Газремонт"</t>
  </si>
  <si>
    <t>210/464</t>
  </si>
  <si>
    <t>ОДО "ЭкоМера"</t>
  </si>
  <si>
    <t>210/895</t>
  </si>
  <si>
    <t>210/86</t>
  </si>
  <si>
    <t>ИООО "Ворне Бела"</t>
  </si>
  <si>
    <t>210/218</t>
  </si>
  <si>
    <t>210/862</t>
  </si>
  <si>
    <t>210/279</t>
  </si>
  <si>
    <t>210/534</t>
  </si>
  <si>
    <t>ООО "ПРОФТРАНС"</t>
  </si>
  <si>
    <t>034551616023</t>
  </si>
  <si>
    <t>в ф-ле №500Миское управление ОАО "АСБ Белорусбанк", г. Минск, пр. Держинского, 69, к.1</t>
  </si>
  <si>
    <t>223056, Минский р-н, п. Юбилейный</t>
  </si>
  <si>
    <t>Варламов В.М.</t>
  </si>
  <si>
    <t>Доверенности № 7-34/906/838 07.10.2013г.</t>
  </si>
  <si>
    <t>т.ф. 506-16-96</t>
  </si>
  <si>
    <t>220014, г.Минск, ул. Минина, д.21, корп.2</t>
  </si>
  <si>
    <t>3.4   В случаях и порядке, установленных статьей 106-1 Налогового кодекса Республики Беларусь, Исполнитель обязан выставить (направить) Заказчику электронный счет-фактуру (далее-ЭСЧФ) по НДС. Согласно пункту 20 статьи 106-1 Налогового кодекса Республики Беларусь в случае невозможности выставления (направления) ЭСЧФ  всвязи с недоступностью Портала (в том числе из-зи отсутствия электропитания и (или) выхода из строя оборудования (его части)), недостаточностью ресурсов Портала, недоступностью и (или) отсутствием каналов связи с Порталом, включая недостаточность ширины каналов связи с Порталом, плательщик обязан не позднее пяти рабочих дней со дня возобновления работоспособности Портала выставить (направить) ЭСЧФ в соответствии с требованиями данной статьи.</t>
  </si>
  <si>
    <t>ООО "ГлоБел24"</t>
  </si>
  <si>
    <t>в филиале ОАО "Белагропромбанк"-Минская городская дирекция, г.Минск, ул.Ольшевского, 24</t>
  </si>
  <si>
    <t>220075, РБ г.Минск, переулок Промышленный, д.12 А/1, комн.31</t>
  </si>
  <si>
    <t>Ильичев А.А.</t>
  </si>
  <si>
    <t>т.ф. 8(029)6502424</t>
  </si>
  <si>
    <t>ОАО "Управление СтройМеханизации"</t>
  </si>
  <si>
    <t>382840175</t>
  </si>
  <si>
    <t xml:space="preserve">в отд.№521 ОАО "Белинвестбанк" г.Минск, ул.Филатова 12. </t>
  </si>
  <si>
    <t>220075,г.Минск ул.Промышленная 23,пом.23</t>
  </si>
  <si>
    <t>Савочкин А.А.</t>
  </si>
  <si>
    <t>344-55-22,т/ф 344-51-51</t>
  </si>
  <si>
    <t>ООО "ПерГранул"</t>
  </si>
  <si>
    <t>"Приорбанк" ОАО ЦБУ №506 г.Пинска.</t>
  </si>
  <si>
    <t>225763,Брестская обл, Пинский р-н, д.Березовичи, пер.Школьный, 6А</t>
  </si>
  <si>
    <t>Богданович В.Э.</t>
  </si>
  <si>
    <t>8(029)381-00-13</t>
  </si>
  <si>
    <t>380985475000</t>
  </si>
  <si>
    <t>г.Минск, ул. Социалистическая, 28 комн. 21 220102 тел/факс 2431151</t>
  </si>
  <si>
    <t xml:space="preserve">Боханов С.В. </t>
  </si>
  <si>
    <t>в ЦБУ №701 Рег.Дир.ОАО "БПС-Сбербанк",ул. Чкалова 18/1</t>
  </si>
  <si>
    <t>т 291-33-57 -приемная</t>
  </si>
  <si>
    <t>Строительное унитарное предприятие  "СУ №71 ОАО "Минскпромстрой"</t>
  </si>
  <si>
    <t>ООО "КЛИСАНИС"</t>
  </si>
  <si>
    <t>37365771</t>
  </si>
  <si>
    <t>в ОАО "Приорбанк",ЦБУ 101,г.Минск</t>
  </si>
  <si>
    <t>Климович И.Н.</t>
  </si>
  <si>
    <t>т.ф 512-53-70(71,72,73)</t>
  </si>
  <si>
    <t>223027,Минская обл,Минский р-н,Боровлянский с/с д.Королев Стан,ул.Московская 17/5-2.оф.42</t>
  </si>
  <si>
    <t>01388532</t>
  </si>
  <si>
    <t>220075 г.Минск,,ул.Селицкого,15</t>
  </si>
  <si>
    <t>М.И. Костевич</t>
  </si>
  <si>
    <t>т/ф 3348962</t>
  </si>
  <si>
    <t>Региональная дирекция №700 ОАО "БПС-Сбербанк",г.Минск</t>
  </si>
  <si>
    <t xml:space="preserve">Зам. Ген. Директор </t>
  </si>
  <si>
    <t>Ананьев Д.А.</t>
  </si>
  <si>
    <t>доверенности № 93 от 20,02,2017г.</t>
  </si>
  <si>
    <t>т/ф 206-70-52</t>
  </si>
  <si>
    <t>Стоимость  работ (услуг), 
всего без НДС руб.</t>
  </si>
  <si>
    <t>ООО "Милитекс"</t>
  </si>
  <si>
    <t>ООО "Идея вкуса"</t>
  </si>
  <si>
    <t>210/429</t>
  </si>
  <si>
    <t>210/748</t>
  </si>
  <si>
    <t>210/211</t>
  </si>
  <si>
    <t>210/879</t>
  </si>
  <si>
    <t>ЧУП "ФиЛ-груз"</t>
  </si>
  <si>
    <t>ЧТУП "СТЭПЛЭНД"</t>
  </si>
  <si>
    <t>ПЧУП "ФКВП"</t>
  </si>
  <si>
    <t>ОАО "Гормолзавод №2"</t>
  </si>
  <si>
    <t>ЗАО "Белагро Бел"</t>
  </si>
  <si>
    <t>210/230</t>
  </si>
  <si>
    <t>210/158</t>
  </si>
  <si>
    <t>УП "МОТШ ДОСААФ"</t>
  </si>
  <si>
    <t>ООО "ДоронЗапчасть"</t>
  </si>
  <si>
    <t>210/1066</t>
  </si>
  <si>
    <t>ООО"ЭкстиМ-Транс"</t>
  </si>
  <si>
    <t>ОАО "ФАНИПОЛЬСКИЙ РМЗ"</t>
  </si>
  <si>
    <t xml:space="preserve">Прицеп или полуприцеп с технически допустимой общей массой более 3,5 и не более 10 тонн </t>
  </si>
  <si>
    <t>АНАНИЧИ ООО</t>
  </si>
  <si>
    <t>210/675</t>
  </si>
  <si>
    <t>ООО Завод автомобильных прицепов и кузовов "МАЗ-КУПАВА"</t>
  </si>
  <si>
    <t>210/199</t>
  </si>
  <si>
    <t>ИООО "Кондор"</t>
  </si>
  <si>
    <t>210/116</t>
  </si>
  <si>
    <t>210/938</t>
  </si>
  <si>
    <t>210/69</t>
  </si>
  <si>
    <t>ЧТУП "КАСТУСТРАНС"</t>
  </si>
  <si>
    <t>УЧПКП "ОРХИДЕЯ"</t>
  </si>
  <si>
    <t>ООО "Смартис"</t>
  </si>
  <si>
    <t>210/579</t>
  </si>
  <si>
    <t xml:space="preserve"> ООО "ЗАВОД СИСТЕМЫ ОХЛАЖДЕНИЯ"</t>
  </si>
  <si>
    <t>210/497</t>
  </si>
  <si>
    <t>ЧТУП "ОптАэроСервис"</t>
  </si>
  <si>
    <t>СООО "СЭР АВТОРЕНТ"</t>
  </si>
  <si>
    <t>210/129</t>
  </si>
  <si>
    <t>СЧУП "АПЕКС Стройсервис"</t>
  </si>
  <si>
    <t>210/608</t>
  </si>
  <si>
    <t>СУ №211 филиал ОАО "Стройтрест №35"</t>
  </si>
  <si>
    <t>5. Форс-мажорные обстоятельства</t>
  </si>
  <si>
    <t>НДС</t>
  </si>
  <si>
    <t>ООО "ПластЛайн"</t>
  </si>
  <si>
    <t>ООО "БМЕ-ДИЗЕЛЬ"</t>
  </si>
  <si>
    <t>210/57</t>
  </si>
  <si>
    <t>210/334</t>
  </si>
  <si>
    <t>СЗАО "БЕЛТЕЛЕКАБЕЛЬ"</t>
  </si>
  <si>
    <t>3.3. Результаты работ (услуг) оформляются в соответствии с пп. 10 и 11 Положения № 630:
по результатам контрольно-диагностических работ работниками ДС оформляется диагностическая карта транспортного средства; диагностическая карта транспортного средства выдается его владельцу, копия остается на ДС для учета и хранения; диагностическая карта транспортного средства, выданная ДС, является подтверждением факта выполнения этой ДС контрольно-диагностических работ, необходимых для проведения гостехосмотра.</t>
  </si>
  <si>
    <t>Индивидуальный Предприниматель Плиско Сергей Михайлович</t>
  </si>
  <si>
    <t>ЦБУ №702 ОАО "БПС-Сбербанк" г.Минск, ул.Сурганова, 39</t>
  </si>
  <si>
    <t>Свидетельство о гос.регистрации от 01.31.2014</t>
  </si>
  <si>
    <t>Плиско С.М.</t>
  </si>
  <si>
    <t>т.268-69-56</t>
  </si>
  <si>
    <t>РБ, 222521, Минская обл., г.Борисов, ул.Коммунальная д.17</t>
  </si>
  <si>
    <t>ЗАО "Гермес-сталь-проект"</t>
  </si>
  <si>
    <t>ЗАО "Альфа-Банк" г.Минск, ул.Сурганова 43</t>
  </si>
  <si>
    <t>220026, РБ, г.Минск, пр-т Партизанский 95, пом.38</t>
  </si>
  <si>
    <t>Третьяк Л.В.</t>
  </si>
  <si>
    <t>т.ф. 295-15-52</t>
  </si>
  <si>
    <t>ООО "Сайнском Строй"</t>
  </si>
  <si>
    <t>ЗАО "БТА Банк" 220123, г.Минск, В.Хоружей, д.20</t>
  </si>
  <si>
    <t>220007, г.Минск, УЛ.Могилевская, д.39А, офис 235</t>
  </si>
  <si>
    <t>Матвеева Н.В.</t>
  </si>
  <si>
    <t>т.ф. 336-07-77</t>
  </si>
  <si>
    <t>ООО "Сайнском Медиа"</t>
  </si>
  <si>
    <t>ОАО "БПС-Сбербанк" г.Минск, пр-т Машерова 80</t>
  </si>
  <si>
    <t>220007, г.Минск, ул.Могилевская, д.39а, оф.236</t>
  </si>
  <si>
    <t>Кременевский М.С.</t>
  </si>
  <si>
    <t>Устава и договора от 23.01.2017 №2</t>
  </si>
  <si>
    <t>т.ф. 336-07-07</t>
  </si>
  <si>
    <t>Управляющий и.п.</t>
  </si>
  <si>
    <t>37686512</t>
  </si>
  <si>
    <t>ОАО ЦБУ 100 Приорбанк, г.Минск, ул.Радиальная,38а</t>
  </si>
  <si>
    <t>220102 г.Минск, ул.Социалистическая,22, комн.1</t>
  </si>
  <si>
    <t>Усович С.В.</t>
  </si>
  <si>
    <t>т/ф 2427197, 2427330</t>
  </si>
  <si>
    <t>ООО "АЛГАРИ КАМИОН"</t>
  </si>
  <si>
    <t>ОАО "Банк Москва-Минск" 220002, г.Минск, ул.Коммунистическая, 49</t>
  </si>
  <si>
    <t>РБ, 220125, г.Минск, пр-тНезависимости 185, помещение 59Н</t>
  </si>
  <si>
    <t>т.ф. 397-50-90, 397-77-11</t>
  </si>
  <si>
    <t>ОДО "ФОРСЕТСТРОЙ"</t>
  </si>
  <si>
    <t>37639926</t>
  </si>
  <si>
    <t>ОАО "ПРИОРБАНК", ЦБУ 100</t>
  </si>
  <si>
    <t>220026, г. Минск, пер. Бехтерева, д.8, к.124</t>
  </si>
  <si>
    <t>Черняков И.М.</t>
  </si>
  <si>
    <t>Уставт</t>
  </si>
  <si>
    <t>т.ф.(017)346-92-41</t>
  </si>
  <si>
    <t>ЗАО "МТБанк" 220007, ог.Минск, ул.Толстого 10</t>
  </si>
  <si>
    <t>222712, г.Держинск, ул.Фоминых, д.9 пом.5</t>
  </si>
  <si>
    <t>Абабурко Ю.В.</t>
  </si>
  <si>
    <t>т.ф. 8017165-10-99</t>
  </si>
  <si>
    <t>223053,Минская обл.Минский р-н.д.Малиновка,часть производственно-складского здания,принадлежащая ИП Чеснокову А.Л.,ком.7б</t>
  </si>
  <si>
    <t>Чесноков А.Л.</t>
  </si>
  <si>
    <t>385-11-58,моб. (029) 668-59-27</t>
  </si>
  <si>
    <t>в ОАО "Белгазпромбанк" , г.Минск, ул.Притыцкого, 60, к.2</t>
  </si>
  <si>
    <t>220026, г.Минск, пер.Бехтерева,8 оф.35</t>
  </si>
  <si>
    <t>Шимов С.Ю.</t>
  </si>
  <si>
    <t>т/ф 2963161</t>
  </si>
  <si>
    <t xml:space="preserve"> ЦБУ № 703 ОАО"БПС-СБЕРБАНК" г. Минск , ул. Кальварийская,4а</t>
  </si>
  <si>
    <t>223210, Минская обл., г.Червень, ул. Пушкина, д 32</t>
  </si>
  <si>
    <t>Велесевич В.А.</t>
  </si>
  <si>
    <t>ЦБУ №5 ЗАО "МТБанк" 220030, г. Минск, пр-т. Независимости, 11/2</t>
  </si>
  <si>
    <t>222201, Минская обл. г. Смолевичи, ул. Песчаная, д. 20, к.5</t>
  </si>
  <si>
    <t>Грузинова Т.А.</t>
  </si>
  <si>
    <t>т.ф. (017)- 256-15-90</t>
  </si>
  <si>
    <t>Дорошенко А.А.</t>
  </si>
  <si>
    <t>14594635</t>
  </si>
  <si>
    <t>в ф-ле №529 "Белсвязь" ОАО "АСБ Беларусбанк" г.Минск</t>
  </si>
  <si>
    <t>220125 ,г.Минск, ул.Уручская,23А.ком.308</t>
  </si>
  <si>
    <t>т/ф 283-69-65, 505-75-55-приемная</t>
  </si>
  <si>
    <t>в "Приорбанк" ОАО ЦБУ 114, г.Минск, ул.Трудовая,10</t>
  </si>
  <si>
    <t>220004, г.Минск, ул.Немига, 40, пом.46</t>
  </si>
  <si>
    <t>Бабкин А.И.</t>
  </si>
  <si>
    <t>ООО "Капиталстройгрупп"</t>
  </si>
  <si>
    <t>ОАО "Приорбанк"</t>
  </si>
  <si>
    <t>223051, Минская обл., Минский р-н, п.Колодищи, ул.Минская, д.5 каб.501</t>
  </si>
  <si>
    <t>Биох А.Г.</t>
  </si>
  <si>
    <t>Прушинская А.А.</t>
  </si>
  <si>
    <t>КУП "Управление капитального строительства Миноблисполкома"</t>
  </si>
  <si>
    <t>в ОАО "Белвнешэкономбанк",г.Минск, пр Победителей,100</t>
  </si>
  <si>
    <t>Ген. директор</t>
  </si>
  <si>
    <t>220030.г.Минск.ул.Интернациональная,8</t>
  </si>
  <si>
    <t>Миронов С.В.</t>
  </si>
  <si>
    <t>т 306-01-16,т/ф 306-00-68,203-47-70 ,Горбунов Олег Николаевич 8044-552-41-13</t>
  </si>
  <si>
    <t>377919535000</t>
  </si>
  <si>
    <t>220036, г. Минск, Бетонный проезд, д. 19а, ком.201</t>
  </si>
  <si>
    <t>ОАО "Белинвестбанк", ЦБУ № 538, г. Минск, ул. Коржа, 11а</t>
  </si>
  <si>
    <t>Гамезо А.М.</t>
  </si>
  <si>
    <t>т/ф 256-92-33, 8029-353-84-10,328-90-10</t>
  </si>
  <si>
    <t>Филиал СУ-199 ОАО "СТРОЙТРЕСТ №35"</t>
  </si>
  <si>
    <t>ООО "ДСПМК-2012"</t>
  </si>
  <si>
    <t>210/24</t>
  </si>
  <si>
    <t>СООО "Центральная продовольственная компания"</t>
  </si>
  <si>
    <t>210/1050</t>
  </si>
  <si>
    <t>Проверка внешних световых приборов</t>
  </si>
  <si>
    <t>28661312</t>
  </si>
  <si>
    <t>в ЦБС  №705 ОАО "БПС-Банк",г. Минск,ул.О.Кошевого,9</t>
  </si>
  <si>
    <t>220075,г.Минск,ул.Промышленная,11</t>
  </si>
  <si>
    <t>Милюша А.И.</t>
  </si>
  <si>
    <t>344-23-21</t>
  </si>
  <si>
    <t>37548000</t>
  </si>
  <si>
    <t>в ЗАО "МТБанк",г.Минск,пр.Партизанский,6а</t>
  </si>
  <si>
    <t>220019,г.Минск,ул.Шаранговича,39-17</t>
  </si>
  <si>
    <t>т/ф 314-78-86,(029) 679-39-20 Василий</t>
  </si>
  <si>
    <t>210/12</t>
  </si>
  <si>
    <t>37598239</t>
  </si>
  <si>
    <t>301-2003840-015</t>
  </si>
  <si>
    <t>Отд. № 526 г. Минска ОАО "Белинвестбанк" г. Минск</t>
  </si>
  <si>
    <t>220070, г. Минск, пр-т Партизанский , 14-509 А</t>
  </si>
  <si>
    <t>Букетов А.В.</t>
  </si>
  <si>
    <t>(017) 361-44-28</t>
  </si>
  <si>
    <t>377058245000</t>
  </si>
  <si>
    <t>в ф-ле ОАО "Белагропромбанк"-Минская городская дирекция,г.Минск</t>
  </si>
  <si>
    <t>225384,Бресткая обл.,Ляховичский р-н,аг.Остров,ул.Комсомольская,д.20</t>
  </si>
  <si>
    <t>Никитин Н.Ю.</t>
  </si>
  <si>
    <t>220102,г.Минск,ул.Котовского,9а(литера А 1-5/к),к.5</t>
  </si>
  <si>
    <t>Антонюк Ю.Р.</t>
  </si>
  <si>
    <t>договора №1 от 26,09,2013г.</t>
  </si>
  <si>
    <t>т/ф 273-22-77</t>
  </si>
  <si>
    <t>в ЗАО "Цептер Банк", ЦБУ №5, г.Минск, ул.Платонова 1Б</t>
  </si>
  <si>
    <t>220028, г.Минск, ул.Маяковского, 115, оф.504</t>
  </si>
  <si>
    <t>Страмко О.С.</t>
  </si>
  <si>
    <t>т/ф 80296105889</t>
  </si>
  <si>
    <t>РКЦ №10 ЗАО "БелСвиссБанк" ,г.Минск,пр. Газеты"Звязда"47</t>
  </si>
  <si>
    <t>Минская обл. д. Беларучи,ул. Школьная,2 ком. 5</t>
  </si>
  <si>
    <t>Семашко Т.М.</t>
  </si>
  <si>
    <t>270 92 62, 274 67 09,300-44-46</t>
  </si>
  <si>
    <t>ООО "СТАЛЬНЫЕ ЗДАНИЯ"</t>
  </si>
  <si>
    <t>ТЧУП "Сергеев В."</t>
  </si>
  <si>
    <t>210/489</t>
  </si>
  <si>
    <t>210/793</t>
  </si>
  <si>
    <t>ЧРСУП "БАРСОФСТРОЙ"</t>
  </si>
  <si>
    <t>Учреждение "Минское городское управление МЧС"</t>
  </si>
  <si>
    <t>210/368</t>
  </si>
  <si>
    <t>к договору</t>
  </si>
  <si>
    <t>ООО "МИТРА"</t>
  </si>
  <si>
    <t>210/474</t>
  </si>
  <si>
    <t>220005, Минск, ул.Платонова, 22а-312</t>
  </si>
  <si>
    <t>ЧУО "МИНСКИЙ КОЛЛЕДЖ ПРЕДПРИНИМАТЕЛЬСТВА"</t>
  </si>
  <si>
    <t>210/1051</t>
  </si>
  <si>
    <t>210/1052</t>
  </si>
  <si>
    <t>НПООО "ЭНЕРГОЖИЛПРОМСТРОЙ"</t>
  </si>
  <si>
    <t>ИП Атрашевский Андрей Николаевич</t>
  </si>
  <si>
    <t>210/1054</t>
  </si>
  <si>
    <t>ЧП "Компания каминов Плюс"</t>
  </si>
  <si>
    <t>210/1056</t>
  </si>
  <si>
    <t>ООО "БИЗНЕСПАРТНЕРСЕРВИС"</t>
  </si>
  <si>
    <t>210/1057</t>
  </si>
  <si>
    <t xml:space="preserve">        №  </t>
  </si>
  <si>
    <t>ООО "ВИНТАКС"</t>
  </si>
  <si>
    <t>210/100</t>
  </si>
  <si>
    <t xml:space="preserve">       от  </t>
  </si>
  <si>
    <t>Грузовой автомобиль с технически допустимой общей массой не более 3,5 тонны, предназначенный для перевозки определенных опасных грузов</t>
  </si>
  <si>
    <t>ООО "РЕСТАСПЕЦСЕРВИС"</t>
  </si>
  <si>
    <t>210/960</t>
  </si>
  <si>
    <t>ИП  Бык Вадим Игоревич</t>
  </si>
  <si>
    <t>ООО "ГлобалКаргоТранс"</t>
  </si>
  <si>
    <t>210/801</t>
  </si>
  <si>
    <t>ООО" ВетСнаб-Логистик"</t>
  </si>
  <si>
    <t>210/356</t>
  </si>
  <si>
    <t>210/140</t>
  </si>
  <si>
    <t>ЧТУП "Степавтом"</t>
  </si>
  <si>
    <t>ЧТУП "Гончарик ММ"</t>
  </si>
  <si>
    <t>210/1042</t>
  </si>
  <si>
    <t>ОДО "ЦБТСервис"</t>
  </si>
  <si>
    <t>210/1043</t>
  </si>
  <si>
    <t>ИУТПП "Бел-Гаммари" компании "Гаммари Холдинг Лимитед"</t>
  </si>
  <si>
    <t>210/1044</t>
  </si>
  <si>
    <t>ИП Щурик Василий Васильевич</t>
  </si>
  <si>
    <t>210/1045</t>
  </si>
  <si>
    <t>Минский обласной центр олимпийского резерва</t>
  </si>
  <si>
    <t>210/1046</t>
  </si>
  <si>
    <t>ООО "ЧиВас"</t>
  </si>
  <si>
    <t>210/1047</t>
  </si>
  <si>
    <t>ЧП "КилоВольтМонтаж"</t>
  </si>
  <si>
    <t>ООО "ОстСтарСервис"</t>
  </si>
  <si>
    <t>210/1088</t>
  </si>
  <si>
    <t>ЧТУП "РАДСЕРВИС"</t>
  </si>
  <si>
    <t>210/1089</t>
  </si>
  <si>
    <t>ЧУП по оказанию услуг "Высотный город"</t>
  </si>
  <si>
    <t>210/1090</t>
  </si>
  <si>
    <t>ЧТУП "МоторЛэнд-Транзит"</t>
  </si>
  <si>
    <t>210/1091</t>
  </si>
  <si>
    <t>ОСП "Тепличное хозяйстро " ОАО "ДОРОРС"</t>
  </si>
  <si>
    <t>210/1092</t>
  </si>
  <si>
    <t>ООО "СПЛЕНДОР"</t>
  </si>
  <si>
    <t>210/1093</t>
  </si>
  <si>
    <t>ООО "Со Смаком плюс"</t>
  </si>
  <si>
    <t>ОДО "АЙЧЫНА ПЛЮС"</t>
  </si>
  <si>
    <t>210/1096</t>
  </si>
  <si>
    <t>СООО "БЛТ-ЛОГИСТИК"</t>
  </si>
  <si>
    <t>210/1097</t>
  </si>
  <si>
    <t>ООО "ДВМ-СТАНДАРТГОР"</t>
  </si>
  <si>
    <t>210/1098</t>
  </si>
  <si>
    <t>ЧТУП "Дулинец-Транс"</t>
  </si>
  <si>
    <t>210/1100</t>
  </si>
  <si>
    <t>Представительство МТРК "МИР" в Республике Беларусь"</t>
  </si>
  <si>
    <t>НП ООО "АЛКИД"</t>
  </si>
  <si>
    <t>210/135</t>
  </si>
  <si>
    <t>СП "ЮНИБУДКОЛОР" ООО</t>
  </si>
  <si>
    <t>210/981</t>
  </si>
  <si>
    <t>210/750</t>
  </si>
  <si>
    <t>Отдельные виды контрольно-диагностических работ</t>
  </si>
  <si>
    <t>210/633</t>
  </si>
  <si>
    <t>УП "Минскводоканал"</t>
  </si>
  <si>
    <t>Работу принял:</t>
  </si>
  <si>
    <t>210/545</t>
  </si>
  <si>
    <t>ЧТУП "Альфатан"</t>
  </si>
  <si>
    <t>ООО "БрэйнТранс"</t>
  </si>
  <si>
    <t>210/983</t>
  </si>
  <si>
    <t>000 "Термо-групп"</t>
  </si>
  <si>
    <t>210/917</t>
  </si>
  <si>
    <t>ЧПТУП "Автоберкут"</t>
  </si>
  <si>
    <t>ООО "Венедикт"</t>
  </si>
  <si>
    <t>ОАО "Стройтрест №35" ф-л ПМК-1</t>
  </si>
  <si>
    <t>ОАО"ТРЕСТ БЕЛТРАНССТРОЙ" Филиал "СТРОИТЕЬНО-МОНТАЖНЫЙ ПОЕЗД № 667"</t>
  </si>
  <si>
    <t>ИООО "Белдан"</t>
  </si>
  <si>
    <t>210/216</t>
  </si>
  <si>
    <t>210/767</t>
  </si>
  <si>
    <t>ЗАО "Холдинговая компания "Пинскдрев"</t>
  </si>
  <si>
    <t>210/14</t>
  </si>
  <si>
    <t>210/15</t>
  </si>
  <si>
    <t>ООО "ГИДРОСПЕЦМОНТАЖ</t>
  </si>
  <si>
    <t>Лещинский Д.М.</t>
  </si>
  <si>
    <t xml:space="preserve">ОАО "МИНСКИЙ ПОДШИПНИКОВЫЙ ЗАВОД"                                             </t>
  </si>
  <si>
    <t>100103346</t>
  </si>
  <si>
    <t xml:space="preserve">в филиале 511 ОАО "АСБ Беларусбанк",г.Минск                                                                                    </t>
  </si>
  <si>
    <t>220026,г.Минск,ул.Жилуновича,2</t>
  </si>
  <si>
    <t>т/ф 295-11-54,295-10-52</t>
  </si>
  <si>
    <t>Антипов Н.С</t>
  </si>
  <si>
    <t>в ЗАО"БелСвиссБанк"</t>
  </si>
  <si>
    <t>РБ, Минский р-н, г. Дзержинск, ул . Фурманава, д.2, пом.2</t>
  </si>
  <si>
    <t>Иванов Р.А.</t>
  </si>
  <si>
    <t>029-651-33-03</t>
  </si>
  <si>
    <t>в ОАО "Банк Москва-Минск", г.Минск, ул.Коммунистическая, 49</t>
  </si>
  <si>
    <t>222720, г.Держинск, ул.Фоминых,52, ком.18б</t>
  </si>
  <si>
    <t>Игнатович А.И.</t>
  </si>
  <si>
    <t>т/ф 2832961</t>
  </si>
  <si>
    <t>ООО "АФТ"</t>
  </si>
  <si>
    <t>ОАО "Приорбанк" ЦБУ 602 г.Лида</t>
  </si>
  <si>
    <t>РБ, Гродненская обл., 231300, г.Лида, пер.Фурманова 15а</t>
  </si>
  <si>
    <t>Федасевич А.Ф.</t>
  </si>
  <si>
    <t>т.ф. +375154611350</t>
  </si>
  <si>
    <t>02071582</t>
  </si>
  <si>
    <t>в ЦБУ №537 ОАО "Белинвестбанк",г.Минск,ул.Могилевская,5</t>
  </si>
  <si>
    <t>223049,Минская обл.,Минский р-н,д.Щомыслица,ул.Жуковского,15а</t>
  </si>
  <si>
    <t>Колесников О.В.</t>
  </si>
  <si>
    <t>т/ф 509-32-67,509-34-04</t>
  </si>
  <si>
    <t>37413375</t>
  </si>
  <si>
    <t>в ЦБУ 114 ОАО "Приорбанк",г.Минск</t>
  </si>
  <si>
    <t>223064,Минская обл.,Минский р-н,д.Обчак,зд.ИУТПП "Бел-Гаммари",ком.1</t>
  </si>
  <si>
    <t>Андриевский Н.А.</t>
  </si>
  <si>
    <t>Договора №1 от 01,08,2016г.</t>
  </si>
  <si>
    <t>т/ф 501-04-90,501-02-80 (отдел продаж),501-06-28,501-07-01</t>
  </si>
  <si>
    <t>ООО "БАУМАРТ АГРО"</t>
  </si>
  <si>
    <t>г.Минск,ОАО "Белгазпромбанк"</t>
  </si>
  <si>
    <t>Цыганков А.А.</t>
  </si>
  <si>
    <t>Устава и договора о передаче полномочий</t>
  </si>
  <si>
    <t>395-93-58</t>
  </si>
  <si>
    <t>\</t>
  </si>
  <si>
    <t>ООО "АВ-Авто"</t>
  </si>
  <si>
    <t>в ОАО "Приорбанк" ЦБУ №300,г.Могилев</t>
  </si>
  <si>
    <t>г.Минск,ул.Восточная д.129.каб.30,31</t>
  </si>
  <si>
    <t>г.Минск,ул.Восточная ,д.129,каб.30,31</t>
  </si>
  <si>
    <t>213633,Могилевская обл,г.Климовичи,ул.Строителей,д.1А,к.22</t>
  </si>
  <si>
    <t>Пантелеенко Л.К.</t>
  </si>
  <si>
    <t>т.ф 8017-201-94-54,80440749-49-18,8017-207-58-40</t>
  </si>
  <si>
    <t>в филиале ОАО "Белагропромбанк",Минское областное управление,г.Минск</t>
  </si>
  <si>
    <t>223043,Минский р-н,д.Чижовка,ул.Кольцевая,д.2,ком 21 А</t>
  </si>
  <si>
    <t>Гордевич О.В.</t>
  </si>
  <si>
    <t>(029)195-92-76,(029) 377-00-35</t>
  </si>
  <si>
    <t>ЧП "Техногалактика"</t>
  </si>
  <si>
    <t>ОАО "БЕЛВНЕШЭКОНОМБАНК" г.Минск, ул.Мясникова 32</t>
  </si>
  <si>
    <t>Минская обл, Пуховичский р-н, аг.Омельно, ул.Ленинская 70, пом.2</t>
  </si>
  <si>
    <t>Пашковский А.В.</t>
  </si>
  <si>
    <t>т.ф 80293335451,т/ф 8017-294-33-54</t>
  </si>
  <si>
    <t>37328907</t>
  </si>
  <si>
    <t>зам.ген.дир.по фин.</t>
  </si>
  <si>
    <t>220024 г.Минск,ул.Серова,22</t>
  </si>
  <si>
    <t>Наталевич Е.Э.</t>
  </si>
  <si>
    <t>в Дополнительном офисе  №701 на Чкалова ОАО "БПС-Сбербанк"</t>
  </si>
  <si>
    <t>доверенности №1 от 03,01.2017г.</t>
  </si>
  <si>
    <t>293684596000</t>
  </si>
  <si>
    <t>ЗАО " МТБанк", г. Минск, пр. Партизанский, 6а</t>
  </si>
  <si>
    <t>223062, Минский р-н, пос. Привольный, ул. Мира, 12-41</t>
  </si>
  <si>
    <t>Сидоренко В.М.</t>
  </si>
  <si>
    <t>318-44-23</t>
  </si>
  <si>
    <t>009658615004</t>
  </si>
  <si>
    <t>ОАО "АСБ Беларусбанк",г.Минск.ф-л 511</t>
  </si>
  <si>
    <t>зам.ген.директор по гарантийному и сервисному обслуживанию</t>
  </si>
  <si>
    <t>220070.г.Минск, ул.Буденного,д.,1,корп. "а",каб,15</t>
  </si>
  <si>
    <t>Бируля А.Н.</t>
  </si>
  <si>
    <t>доверенности №200/161 ОТ 30.12.13г.</t>
  </si>
  <si>
    <r>
      <rPr>
        <sz val="8"/>
        <rFont val="Arial Cyr"/>
        <charset val="204"/>
      </rPr>
      <t>ООО " ЛК "Сокол</t>
    </r>
    <r>
      <rPr>
        <b/>
        <sz val="8"/>
        <rFont val="Arial Cyr"/>
        <charset val="204"/>
      </rPr>
      <t>"</t>
    </r>
  </si>
  <si>
    <t>в ЦБУ 524 ОАО "АСБ Беларусбанк",г.Минск</t>
  </si>
  <si>
    <t>223029,Минская обл,Минский р-н,а/г Чуриловичи,Дом механизатора,ком.16</t>
  </si>
  <si>
    <t>т. 8029-695-74-43</t>
  </si>
  <si>
    <t>691574311</t>
  </si>
  <si>
    <t>ООО " ЛК "Сокол"</t>
  </si>
  <si>
    <t>291-26-12 нач. oтдела, 8044-593-06-64</t>
  </si>
  <si>
    <t>т/ф 217-2563</t>
  </si>
  <si>
    <t>т 219-26-19,219-26-26,т/ф 219-26-69(49)</t>
  </si>
  <si>
    <t>ООО "Автобригада"</t>
  </si>
  <si>
    <t>в ЗАО "БСБ Банк",г.Минск,пр.Победителей,23</t>
  </si>
  <si>
    <t>223049,Минская обл.,Минский р-н,Щомыслицкий с/с 16-3,каб3-2</t>
  </si>
  <si>
    <t>Федорович А.В.</t>
  </si>
  <si>
    <t>8029-619-14-14,т/ф 510-64-62</t>
  </si>
  <si>
    <t>в ОАО "Приорбанк" , ЦБУ 114, г.Минск, ул.Трудовая, 10</t>
  </si>
  <si>
    <t>220118, г.Минск, ул.Машиностроителей,29-111</t>
  </si>
  <si>
    <t>Кущиенко А.В.</t>
  </si>
  <si>
    <t>т/ф3870103,3870102</t>
  </si>
  <si>
    <t>ООО "Белстройналадка"</t>
  </si>
  <si>
    <t>ОАО ЦБУ 114 "Приорбанк" г.Минск, ул.Трудовая, 10</t>
  </si>
  <si>
    <t>223060 Минский район, Новодворский с/с, рпйон д.Большое Стиклево, 33/1-9-29</t>
  </si>
  <si>
    <t>Федькин С.А.</t>
  </si>
  <si>
    <t>т.ф. 362-74-69</t>
  </si>
  <si>
    <t>Учреждение "Городской центр олимпийского резерва единоборств"</t>
  </si>
  <si>
    <t>ОАО "АСБ Беларусбанк" г.Минск, ул.Долгобродская, 1.</t>
  </si>
  <si>
    <t>220030, г.Минск, ул.Первомайская, 12</t>
  </si>
  <si>
    <t>Еременко В.А.</t>
  </si>
  <si>
    <t>т.ф. 327-38-93</t>
  </si>
  <si>
    <t>AOOO "ПрофитАудит"</t>
  </si>
  <si>
    <t>220026, РБ, г.Минск, ул.Грекова, д.4, пом.92</t>
  </si>
  <si>
    <t>Лазаревич А.В.</t>
  </si>
  <si>
    <t>доверенности №3 от 02.01.2017г.</t>
  </si>
  <si>
    <t>т.ф. 234-96-21</t>
  </si>
  <si>
    <t>37704718</t>
  </si>
  <si>
    <t>ОАО "Приорбанк", ЦБУ 101</t>
  </si>
  <si>
    <t>220035, г. Минск, ул. Тимирязева, 65Б, ком. 505, пом. 144</t>
  </si>
  <si>
    <t>Симхович О.Г.</t>
  </si>
  <si>
    <t>254-76-57, т/ф 254-76-61</t>
  </si>
  <si>
    <t>ГУ "Червенский психоневрологический дом-интернат"</t>
  </si>
  <si>
    <t>03199143</t>
  </si>
  <si>
    <t>ЦБУ №627 Ф-ЛА №500</t>
  </si>
  <si>
    <t>И.о. директора</t>
  </si>
  <si>
    <t>Семижон В.И.</t>
  </si>
  <si>
    <t>223232, Минская обл., Червенский р-н, п. Индом, ул. Центральная, д. 4.</t>
  </si>
  <si>
    <t>8-01714-251-71</t>
  </si>
  <si>
    <t>14558421</t>
  </si>
  <si>
    <t>в"Приорбанк" ОАО ЦБУ 114,г.Минск,ул.Трудовая.10</t>
  </si>
  <si>
    <t>220075,г.Минск,ул.М.Тростенец,74А,ком.1</t>
  </si>
  <si>
    <t>Алисейко В.В.</t>
  </si>
  <si>
    <t>299-66-99</t>
  </si>
  <si>
    <t>210/303</t>
  </si>
  <si>
    <t>в ОАО"БПС-Сбербанк" ЦБУ №701,гМинск,ул Чкалова,18,кор.1</t>
  </si>
  <si>
    <t>220006,г.Минск,ул. Свердлова,32А</t>
  </si>
  <si>
    <t>Рак А.В.</t>
  </si>
  <si>
    <t>т/ф 328-35-63,222-48-04</t>
  </si>
  <si>
    <t>ЧТУП "Трансавтокри Плюс"</t>
  </si>
  <si>
    <t>в ОАО "Белинвестбанк",г.Минск</t>
  </si>
  <si>
    <t>Минская обл.,г.Клецк,ул.Техническая,д.5,ком.1</t>
  </si>
  <si>
    <t>Крицук А.Г.</t>
  </si>
  <si>
    <t>8029-673-41-94</t>
  </si>
  <si>
    <t>ОАО "Технобанк", ул.Кропоткина, 44</t>
  </si>
  <si>
    <t>Карканица В.Ф.</t>
  </si>
  <si>
    <t>220113 г.Минск, ул.В.Мележа ,д.5,кор.1,оф.602,каб.25А</t>
  </si>
  <si>
    <t>т.ф. 237-17-19,8029-104-51-60(Дмитрий)</t>
  </si>
  <si>
    <t>в ОАО "Белгазпромбанк",г.Минск,ул.Притыцкого,60/2</t>
  </si>
  <si>
    <t>220121 Минская обл.,Пуховичский р-н,г.Марьина Горка,ул.Элеваторная,д.2,каб.1</t>
  </si>
  <si>
    <t>Шинкоренко А.В.</t>
  </si>
  <si>
    <t>(029) 66-42-065</t>
  </si>
  <si>
    <t xml:space="preserve">директор </t>
  </si>
  <si>
    <t>220102, г. Минск ул. Социалистическая,30</t>
  </si>
  <si>
    <t>Балабанович А. Б.</t>
  </si>
  <si>
    <t>05567094</t>
  </si>
  <si>
    <t>ЦБУ №701 ОАО "БПС-Сбербанк" ,г.Минск</t>
  </si>
  <si>
    <t>доверенности №1-25/1405 от 14,03,2017г.</t>
  </si>
  <si>
    <t>т/ф 291-29-34,297-42-53,291-29-90(т.бух.)</t>
  </si>
  <si>
    <t>т. 8-017-3800903</t>
  </si>
  <si>
    <t>т./ф. 8-017-2912441</t>
  </si>
  <si>
    <t>т. 220-82-20,т/ф 220-91-65,8029-377-69-28 Андрей</t>
  </si>
  <si>
    <t>37549117</t>
  </si>
  <si>
    <t>в ОАО "Банк Москва-Минск, г.Минск, ул.Коммунистическая,49</t>
  </si>
  <si>
    <t>220075,г.Минск,ул.Инженерная,24</t>
  </si>
  <si>
    <t>Вяткин О.В.</t>
  </si>
  <si>
    <t>299-66-06,299-67-27,344-09-27.344-17-66,т/ф 344-09-83</t>
  </si>
  <si>
    <t>ЧТУП "ПРАШКОВИЧ"</t>
  </si>
  <si>
    <t>377282225000</t>
  </si>
  <si>
    <t>ЦБУ 101ОАО "ПРИОРБАНК" г. МИНСК</t>
  </si>
  <si>
    <t>220108 г.Минск ул.Казинца,64а</t>
  </si>
  <si>
    <t>Прашкович А.В.</t>
  </si>
  <si>
    <t>302558136000</t>
  </si>
  <si>
    <t>ЦБУ № 702 ОАО "БПС-Сбербанк" г. Минск, ул. Сурганова, д.39</t>
  </si>
  <si>
    <t>222731, Минская обл., Дзержинский р-н, Станьковский с/с, д.15, ком.110</t>
  </si>
  <si>
    <t>Плытник В.Ф.</t>
  </si>
  <si>
    <t>344-29-11</t>
  </si>
  <si>
    <t>ОАО "Приорбанк" ЦБУ 111</t>
  </si>
  <si>
    <t>220040, г.Минск, ул.Собинова , 22/1</t>
  </si>
  <si>
    <t>Тайворба А.И.</t>
  </si>
  <si>
    <t>298-35-08</t>
  </si>
  <si>
    <t>в ЦБУ №619 в г.Мяделе,ф-ла "601,ОАО "АСБ Беларусбанк",г.Молодечно</t>
  </si>
  <si>
    <t>223395,Минская обл,Мядельский р-н,КП Нарочь,ул. Ленинская,16,оф 16</t>
  </si>
  <si>
    <t>Виноградов А.И.</t>
  </si>
  <si>
    <t>(29)3192-519,(029)5770-725,(029)1819-427</t>
  </si>
  <si>
    <t>00995454</t>
  </si>
  <si>
    <t>Ф\Л ОАО БЕЛАПБ МОУ г.МИНСК</t>
  </si>
  <si>
    <t>Генеральный директор</t>
  </si>
  <si>
    <t>220002 г. Минск ул. Червякова,8А</t>
  </si>
  <si>
    <t>Матюшевский С.Н.</t>
  </si>
  <si>
    <t>т\ф 2832315, 2832654</t>
  </si>
  <si>
    <t>377526285000</t>
  </si>
  <si>
    <t>ЗАО "МТБанк", г.Минск,Партизанский пр,6а</t>
  </si>
  <si>
    <t>220024,г.Минск,пер.Корженевского,д.2а,офис 16н,к.2</t>
  </si>
  <si>
    <t>Соколов А.Н.</t>
  </si>
  <si>
    <t>т/ф 2070643,т.279-75-43</t>
  </si>
  <si>
    <t>223060 Мская обл,Минский р-н,Новодворский с/с,40/2-24,д.Большое Стиклево</t>
  </si>
  <si>
    <t>Яблонская Ю.В.</t>
  </si>
  <si>
    <t>ОАО "БПС-Сбербанк" ДО 701 на Чкалова, г.Минск, ул.Чкалов 18, корп.1</t>
  </si>
  <si>
    <t xml:space="preserve"> Баркун В.Ф.</t>
  </si>
  <si>
    <t>ЧУП по оказанию услуг "Белметстиль-Авто"</t>
  </si>
  <si>
    <t>ЧУПП "Вална-сервис"</t>
  </si>
  <si>
    <t>ООО"ФЛЭЙМЗ ГРУПП"</t>
  </si>
  <si>
    <t>ЧТУП "АвтоДонор"</t>
  </si>
  <si>
    <t>ИП "ФЛАРЕАТ"</t>
  </si>
  <si>
    <t>210/293</t>
  </si>
  <si>
    <t>210/197</t>
  </si>
  <si>
    <t>ГУО "Командно-инженерный институт" МЧС РБ</t>
  </si>
  <si>
    <t>210/214</t>
  </si>
  <si>
    <t>210/298</t>
  </si>
  <si>
    <t xml:space="preserve">СЗАО "БелФрост" </t>
  </si>
  <si>
    <t>Проверка состояния элементов подвески или рулевого привода</t>
  </si>
  <si>
    <t>210/546</t>
  </si>
  <si>
    <t>ООО "ТОП Инжиниринг"</t>
  </si>
  <si>
    <t>210/875</t>
  </si>
  <si>
    <t>210/543</t>
  </si>
  <si>
    <t>УМ- №1 ОАО "Стройтрест №1"</t>
  </si>
  <si>
    <t>ООО Урбан групп"</t>
  </si>
  <si>
    <t>ЧПТУП "МАРТИН БЕЛ"</t>
  </si>
  <si>
    <t>210/312</t>
  </si>
  <si>
    <t>УНИТАРНОЕ ПРЕДПРИЯТИЕ "ВЕЛКОМ"</t>
  </si>
  <si>
    <t>210/971</t>
  </si>
  <si>
    <t>ООО "ГЕНЕКС"</t>
  </si>
  <si>
    <t>210/18</t>
  </si>
  <si>
    <t>УП Опытно-механический завод "АгроТехКонМаш"</t>
  </si>
  <si>
    <t>СООО "ГЕЙМ СТРИМ"</t>
  </si>
  <si>
    <t>210/982</t>
  </si>
  <si>
    <t>Прицеп (полуприцеп) 2-х осный</t>
  </si>
  <si>
    <t>210/371</t>
  </si>
  <si>
    <t>ИПУП "Соитра"</t>
  </si>
  <si>
    <t>Минская обл., Червенский р-н, АГ Заполье, ул. Минская, д.18</t>
  </si>
  <si>
    <t>60240</t>
  </si>
  <si>
    <t>в ЗАО "РРБ-Банк", г.Минск, 220004, ул. Краснозвездная, 18</t>
  </si>
  <si>
    <t>Сивацкий С.М.</t>
  </si>
  <si>
    <t>8-029-115-84-87, 8-029-667-92-91</t>
  </si>
  <si>
    <t>ООО "РЕНТАСПЕЦСЕРВИС"</t>
  </si>
  <si>
    <t>377557915000</t>
  </si>
  <si>
    <t>В ЗАО "БТА Банк", г. Минск, ул. В.Хоружей, 20</t>
  </si>
  <si>
    <t>Беклемышев К.В.</t>
  </si>
  <si>
    <t>220118, г. Минск, ул. Машиностроителей, д.29, пом.47 (офис 236)</t>
  </si>
  <si>
    <t>8-029-699-33-28</t>
  </si>
  <si>
    <t>Адамов В.К.</t>
  </si>
  <si>
    <t>в ОАО "Приорбанк" , ЦБУ 114, ул. Трудовая, 10</t>
  </si>
  <si>
    <t>220102, г. Минск, пр-т Партизанский, 152,</t>
  </si>
  <si>
    <t>(017)336-19-16, 8-029-652-87-41</t>
  </si>
  <si>
    <t>210/176</t>
  </si>
  <si>
    <t>ООО "Агроснабкомплект Плюс"</t>
  </si>
  <si>
    <t>Частное предприятие "БАС Карго"</t>
  </si>
  <si>
    <t>ООО "АНДЕЗИТ"</t>
  </si>
  <si>
    <t>Минское ГПЛХО</t>
  </si>
  <si>
    <t>ОДО "Промикстрой"</t>
  </si>
  <si>
    <t>210/101</t>
  </si>
  <si>
    <t>210/127</t>
  </si>
  <si>
    <t>СП "АВТОПРОМСНАБ-СПЕДИШН"</t>
  </si>
  <si>
    <t>210/866</t>
  </si>
  <si>
    <t>ООО "Белтопром экспресс"</t>
  </si>
  <si>
    <t>Проверка суммарного люфта в рулевом управлении</t>
  </si>
  <si>
    <t>ОАО "МИНСКИЙ ЗАВОД ИГРИСТЫХ ВИН"</t>
  </si>
  <si>
    <t>ОДО "ДРУК-С"</t>
  </si>
  <si>
    <t>ООО "Ситек Комплект"</t>
  </si>
  <si>
    <t>ОАО "Миноблавтотранс" Филиал "Автомобильный парк № 20"</t>
  </si>
  <si>
    <t>СУ-190 ОАО "Трест №15"Спецстрой"</t>
  </si>
  <si>
    <t>210/266</t>
  </si>
  <si>
    <t>ЧТУП "Форсита"</t>
  </si>
  <si>
    <t>ЧП "Вкусное Дело"</t>
  </si>
  <si>
    <t>ООО "ПАНгруз"</t>
  </si>
  <si>
    <t>Филиал УПТК ОАО "Минскпромстрой"</t>
  </si>
  <si>
    <t>РУП "БЕЛОРУССКИЙ ПРОТЕЗНО-ОРТОПЕДИЧЕСКИЙ ВОССТАНОВИТЕЛЬНЫЙ ЦЕНТР"</t>
  </si>
  <si>
    <t>210/802</t>
  </si>
  <si>
    <t>г. Минск</t>
  </si>
  <si>
    <t>ОАО.Управляющая компания холдинга"Минский моторный завод"</t>
  </si>
  <si>
    <t>210/349</t>
  </si>
  <si>
    <t>ООО " ОП НИИ ПКД"</t>
  </si>
  <si>
    <t>210/916</t>
  </si>
  <si>
    <t>210/1048</t>
  </si>
  <si>
    <t>ЧТУП "ТИБИУС"</t>
  </si>
  <si>
    <t>210/1049</t>
  </si>
  <si>
    <t>210/681</t>
  </si>
  <si>
    <t>210/240</t>
  </si>
  <si>
    <t>210/454</t>
  </si>
  <si>
    <t>210/365</t>
  </si>
  <si>
    <t>ООО "АРМсервисТОРГ"</t>
  </si>
  <si>
    <t>210/305</t>
  </si>
  <si>
    <t>210/103</t>
  </si>
  <si>
    <t>ООО "Бетрастбел"</t>
  </si>
  <si>
    <t>Ф-л УМСР-146 ОАО "МИНСКПРОМСТРОЙ"</t>
  </si>
  <si>
    <t>210/382</t>
  </si>
  <si>
    <t>ИЗАО " Автоидея"</t>
  </si>
  <si>
    <t>ЧТУП "АлексТрансКом"</t>
  </si>
  <si>
    <t>ЗАО"Минсктермоизоляция"</t>
  </si>
  <si>
    <t>210/113</t>
  </si>
  <si>
    <t>ООО "МЕДИАРЕКОРДС"</t>
  </si>
  <si>
    <t>210/689</t>
  </si>
  <si>
    <t>ОДО "ФРИГОБЕЛТРАНС"</t>
  </si>
  <si>
    <t>210/706</t>
  </si>
  <si>
    <t>210/363</t>
  </si>
  <si>
    <t>Частное предприятие  СУ №71 ОАО Минскпромстрой</t>
  </si>
  <si>
    <t>ЖРЭО Ленинского р-на г.Минска</t>
  </si>
  <si>
    <t>210/703</t>
  </si>
  <si>
    <t>210/698</t>
  </si>
  <si>
    <t>№ п/п</t>
  </si>
  <si>
    <t>ЧТУП "ДазволТранс"</t>
  </si>
  <si>
    <t>ОАО "БЕЛРЕСТАВРАЦИЯ"</t>
  </si>
  <si>
    <t>210/434</t>
  </si>
  <si>
    <t>210/720</t>
  </si>
  <si>
    <t>Учреждение "РЕСПУБЛИКАНСКИЙ ЦЕНТР ОЛИМПИЙСКОЙ ПОДГОТОВКИ ЕДИНОБОРСТВ"</t>
  </si>
  <si>
    <t>210/928</t>
  </si>
  <si>
    <t>"ПРОДУКТОРИЯ"</t>
  </si>
  <si>
    <t>ЧТУП "АДГО-плюс"</t>
  </si>
  <si>
    <t>в ОАО "БПС-Сбербанк" г.Минск, б-р им. Мулявина,6</t>
  </si>
  <si>
    <t>Минская обл., Минский р-н, район д.Б.Тростенец, ангар вязального цеха, комн.3</t>
  </si>
  <si>
    <t>Гольдин Юрий</t>
  </si>
  <si>
    <t>т/ф 3442751, 3446583</t>
  </si>
  <si>
    <t>ООО "Нуморум"</t>
  </si>
  <si>
    <t>в ОАО "Приорбанк", г.Минск, ул.Цимерязева,65</t>
  </si>
  <si>
    <t>Клинцов В.Р.</t>
  </si>
  <si>
    <t>Минский р-н, д.Боровляны, ул. 40 лет Победы, 7а, офис 10</t>
  </si>
  <si>
    <t>т 80447507501</t>
  </si>
  <si>
    <t>ООО "Чудо поток"</t>
  </si>
  <si>
    <t>в ОАО "Приорбанк" ЦБУ 113, г.Минск, ул.Комсомольская,13</t>
  </si>
  <si>
    <t>Минский р-н, Новодворский с/с, р-н д.Стиклево, д.40, к.2, оф.38а</t>
  </si>
  <si>
    <t>Щербаков В.О.</t>
  </si>
  <si>
    <t>т/ф 2361142</t>
  </si>
  <si>
    <t>BY34PJCB30120232531000000933</t>
  </si>
  <si>
    <t>ОАО "Белорусский Народный Банк" г.Минск, пр.Независимости, 87а,</t>
  </si>
  <si>
    <t>223053, Минскаяобл., Минский р-н, д.Боровляны, ул.Первомайская, 25Б</t>
  </si>
  <si>
    <t>Хамутовский С.И.</t>
  </si>
  <si>
    <t>т.ф. 505-21-27, моб. 8044-792-91-64 Евгений</t>
  </si>
  <si>
    <t>37641136</t>
  </si>
  <si>
    <t>в ОАО  "Приорбанк" ЦБУ 100, г.Минск, ул.Радиальная, 38-а</t>
  </si>
  <si>
    <t>220070, РБ, г. Минск, переулок Солтыса,5</t>
  </si>
  <si>
    <t>Боровой Ф.И.</t>
  </si>
  <si>
    <t>т/ф 2999919, 2999917</t>
  </si>
  <si>
    <t>ЧТУП "Лексам"</t>
  </si>
  <si>
    <t>ОАО "Приорбанк" ЦБУ 105</t>
  </si>
  <si>
    <t>Гилевич А.М.</t>
  </si>
  <si>
    <t>т.ф. 223-27-09</t>
  </si>
  <si>
    <t>220028, г.Минск, пер.Физкультурный 22</t>
  </si>
  <si>
    <t>ОДО "Вираж плюс"</t>
  </si>
  <si>
    <t>РКЦ №2 ОАО "Технобанк" г.Минск, ул.Руссиянова, 8</t>
  </si>
  <si>
    <t>220125, г.Минск, ул.Гинтовта, 12А-200</t>
  </si>
  <si>
    <t>т.ф.289-61-79</t>
  </si>
  <si>
    <t>Долинский М.И.</t>
  </si>
  <si>
    <t>ОАО "БАНК МОСКВА-МИНСК" г.Минск, ул.Коммунистическая, 49-1, 220002</t>
  </si>
  <si>
    <t>223016, РБ, Минский р-н, Новодворский с/с, 67, район д.Королищевичи</t>
  </si>
  <si>
    <t>Пирштука И.И.</t>
  </si>
  <si>
    <t>Т/Ф. 366-3737, 2999954</t>
  </si>
  <si>
    <t>ООО "КрупЭкоБел"</t>
  </si>
  <si>
    <t>223049, РБ,Минская обл.,Минский р-н,Щомыслицкий с/с,д.16-3,каб.3-3</t>
  </si>
  <si>
    <t>Цадилка О.И.</t>
  </si>
  <si>
    <t>220118,г.Минск,ул.Машиностроителей,7а,4-й этаж,ком.1А</t>
  </si>
  <si>
    <t>Довнар А.В.</t>
  </si>
  <si>
    <t>т/ф 340-94-94,8 029-642-43-34,8 044-792-86-92</t>
  </si>
  <si>
    <t>ОСП "Совхоз "Минский" ОАО "ДОРОРС""</t>
  </si>
  <si>
    <t>в ОАО "Белагропромбанк", г.Минск, пр-т Победителей ,91</t>
  </si>
  <si>
    <t>223064, Минский р-н, а.г. Замосточье, ул.Центральная ,9</t>
  </si>
  <si>
    <t>Лаптенок М.А.</t>
  </si>
  <si>
    <t>положения дов-ти №53-07-08/1163 от 15/12/16</t>
  </si>
  <si>
    <t>т/ф0175016336, 0175016332</t>
  </si>
  <si>
    <t>ИП Белый Олег Анатольевич</t>
  </si>
  <si>
    <t>в доп. Офисе №101 ЗАО Банк ВТБ, г.Светлогорск, м-н Первомайский,12</t>
  </si>
  <si>
    <t>247431, Гомельская обл., г.Светлогорск, м-н Молодежный, д.30, кв.182</t>
  </si>
  <si>
    <t>Белый О.А.</t>
  </si>
  <si>
    <t>свидетельсво №0520283, от 18.12.2015г.</t>
  </si>
  <si>
    <t>т/ф 80234240666</t>
  </si>
  <si>
    <t>ЧТУП"БелЕвроТрак"</t>
  </si>
  <si>
    <t>Дирактор</t>
  </si>
  <si>
    <t>г.Минск, ул.Жуковского,15-55</t>
  </si>
  <si>
    <t>ОАО"Приорбанк"ЦБУ100г.Минск</t>
  </si>
  <si>
    <t>Лобах С.А.</t>
  </si>
  <si>
    <t>т/ф375296911052</t>
  </si>
  <si>
    <t>в ОАО "Приорбанк", ЦБУ 105, г.Минск, ул.Тимирязева, д.121/3 офис 415</t>
  </si>
  <si>
    <t>Минская обл., Минский р-н, а.г. Лесной, ул.Фабричная, 2а, пом.3а</t>
  </si>
  <si>
    <t>Таболич Н.Н.</t>
  </si>
  <si>
    <t>т/ф 3763220</t>
  </si>
  <si>
    <t>в ОАО "Приорбанк",г.Минск,ул.В.Хоружей,31</t>
  </si>
  <si>
    <t>Минская обл.,Минский р-н,д.Плебанцы,зд. ИП Малькевича,Е.И.,ком. 4"Т"</t>
  </si>
  <si>
    <t>т/ф 508-51-02</t>
  </si>
  <si>
    <t>ООО "ГАНАК"</t>
  </si>
  <si>
    <t>в ЗАО "БелСвиссБанк" РКЦ№3</t>
  </si>
  <si>
    <t>Диретор</t>
  </si>
  <si>
    <t>220035, г.Минск, ул.Тимирязева,65б-715А</t>
  </si>
  <si>
    <t>Драгун В.И.</t>
  </si>
  <si>
    <t>т 291909964</t>
  </si>
  <si>
    <t>304289656000</t>
  </si>
  <si>
    <t>в ЦБУ117 ОАО "Приорбанк", 220141 г.Минск, пр.Независимости, 172</t>
  </si>
  <si>
    <t>Минская обл, Минский р-н, гп. Мачулищи, ул.Аэродромная, д. 15А, каб.10</t>
  </si>
  <si>
    <t>Сафаров И.К.</t>
  </si>
  <si>
    <t>тел. 8(044)7312762, 8(029)2506491</t>
  </si>
  <si>
    <t>ОАО "Приорбанк", ЦБУ 117, г. Минск, пр. Независимости , 172</t>
  </si>
  <si>
    <t>220138, г. Минск, ул. Карвата, 75 пом.2</t>
  </si>
  <si>
    <t>Хмыльнин М.В.</t>
  </si>
  <si>
    <t>290-53-04; 290-53-05</t>
  </si>
  <si>
    <t>ЗАО "Белсвиссбанк"</t>
  </si>
  <si>
    <t>223056 Минская обл. д. Колядичи,55А-4/2</t>
  </si>
  <si>
    <t>Глотько Е.А.</t>
  </si>
  <si>
    <t>ГП "ССУ №4 государственного предприятия "Управление дорожно-мостового строительства и благоустройства Мингорисполкома"</t>
  </si>
  <si>
    <t>37547101</t>
  </si>
  <si>
    <t>в ОАО "Белинвестбанк" №539 г.Минск</t>
  </si>
  <si>
    <t>220070, г.Минск,ул.Радиальная,17</t>
  </si>
  <si>
    <t>Сузин А.П.</t>
  </si>
  <si>
    <t>301974026000</t>
  </si>
  <si>
    <t>ОАО "Белинвестбанк" , отд. 537, г. Минск</t>
  </si>
  <si>
    <t>223045 Минская обл., Минская район, д. Цнянка, ул. Рождественская д. 5а, комн. 29В</t>
  </si>
  <si>
    <t>Жук Т.Ю.</t>
  </si>
  <si>
    <t>т/ф 213-11-90; 219-77-61</t>
  </si>
  <si>
    <t>ООО "Идеал-инвест"</t>
  </si>
  <si>
    <t>302720266000</t>
  </si>
  <si>
    <t>в ЗАО "МТБанк",г.Минск, Партизанский пр-т, д.6а</t>
  </si>
  <si>
    <t>Минская обл., Червенский р-н, д.Кулики, производственное здание ООО "Кулики Строй", ком.8</t>
  </si>
  <si>
    <t>Крень М.Л.</t>
  </si>
  <si>
    <t>т/ф 175015378</t>
  </si>
  <si>
    <t>Конон В.А.</t>
  </si>
  <si>
    <t xml:space="preserve">6039128 мтс,т/ф 2964459 </t>
  </si>
  <si>
    <t>Устава и приказа от 23,07,2016г. № 174-к</t>
  </si>
  <si>
    <t>в ОПЕРУ ОАО "Паритетбанк",г.Минск, пр-т Независимости,77</t>
  </si>
  <si>
    <t>Частное предприятие  "Туник"</t>
  </si>
  <si>
    <t>в ЗАО "АЛЬФА-БАНК",г.Минск,ул.Сурганова,43</t>
  </si>
  <si>
    <t>Клец К.В.</t>
  </si>
  <si>
    <t>Устава и Договора №16/10 от 20,10,2014г.</t>
  </si>
  <si>
    <t>т/ф 233-19-29,8029-758-02-24 Виктория</t>
  </si>
  <si>
    <t>220007,г.Минск,ул.Аэродромная,д.2,кор.Б,литер О,пом. №3</t>
  </si>
  <si>
    <t>37610868</t>
  </si>
  <si>
    <t>ОАО "Приорбанк", ЦБУ 109, г. Минск, ул. Притыцкого, 105</t>
  </si>
  <si>
    <t>220140, г. Минск, ул. Притыцкого, 62, корп.12, комн.302</t>
  </si>
  <si>
    <t>02731665</t>
  </si>
  <si>
    <t>ЦБУ № 627 фил. 500 Минского управления ОАО АСБ "Беларусбанк", г. Червень, ул. К.Маркса, 5а</t>
  </si>
  <si>
    <t>Председатель Червенской РОС ДОСААФ</t>
  </si>
  <si>
    <t>г. Червень, ул. Н.Зеневича, 15</t>
  </si>
  <si>
    <t>Штахура И.Н.</t>
  </si>
  <si>
    <t>8-01714-55-563, т/ф 8-01714-55-483</t>
  </si>
  <si>
    <t>в ОАО "Приорбанк" ЦБУ 119,Г.Минск,пр-т Дзержинского</t>
  </si>
  <si>
    <t>223029,Минская обл.,д.Чуриловичи,ул.Центральная,д.37</t>
  </si>
  <si>
    <t>Шкот С.В.</t>
  </si>
  <si>
    <t>(029)372-86-85,т/ф 511-54-47</t>
  </si>
  <si>
    <t>ЗАО "Банк ББМБ" г. Минск, ЦБУ №222518, г.Борисов, ул. Гагарина, 73А</t>
  </si>
  <si>
    <t>222120, Минская обл., г. Борисов, ул. Чапаева, 78</t>
  </si>
  <si>
    <t>Станкевич  В.В.</t>
  </si>
  <si>
    <t>т. моб. (029) 6210311 Анатолий</t>
  </si>
  <si>
    <t>37462089</t>
  </si>
  <si>
    <t>Червенский РГС филиал ПУ "Слуцкгаз"</t>
  </si>
  <si>
    <t>ИТОГО</t>
  </si>
  <si>
    <t>ООО " Белалитастрой"</t>
  </si>
  <si>
    <t>210/339</t>
  </si>
  <si>
    <t>4. Ответственность сторон</t>
  </si>
  <si>
    <t>Код банка</t>
  </si>
  <si>
    <t>ДОГОВОР №</t>
  </si>
  <si>
    <t>210/</t>
  </si>
  <si>
    <t>210/93</t>
  </si>
  <si>
    <t>ООО "АРТПРОДУКТ"</t>
  </si>
  <si>
    <t>210/291</t>
  </si>
  <si>
    <t>210/514</t>
  </si>
  <si>
    <t>ИПУП "Актив Шуз"</t>
  </si>
  <si>
    <t>ОДО "МедиаТранс"-экспедиционная компания</t>
  </si>
  <si>
    <t>ЧПТУП "Армапромснаб С"</t>
  </si>
  <si>
    <t>СЗАО "МЕДВАКС"</t>
  </si>
  <si>
    <t>ООО "Сказочный замок"</t>
  </si>
  <si>
    <t>ООО "КрафтТрансЭкспресс"</t>
  </si>
  <si>
    <t>УП "СТРОЙРЕМОНТ"</t>
  </si>
  <si>
    <t>210/302</t>
  </si>
  <si>
    <t>210/502</t>
  </si>
  <si>
    <t>ООО "ТРАДИко"</t>
  </si>
  <si>
    <t>210/709</t>
  </si>
  <si>
    <t>ЧТУП "Милкофф"</t>
  </si>
  <si>
    <t>210/189</t>
  </si>
  <si>
    <t>ГКПУ "Минский зоопарк"</t>
  </si>
  <si>
    <t>210/300</t>
  </si>
  <si>
    <r>
      <t>Внимание !</t>
    </r>
    <r>
      <rPr>
        <b/>
        <i/>
        <sz val="8"/>
        <rFont val="Arial Cyr"/>
        <family val="2"/>
        <charset val="204"/>
      </rPr>
      <t xml:space="preserve">  </t>
    </r>
    <r>
      <rPr>
        <b/>
        <i/>
        <sz val="8"/>
        <color indexed="40"/>
        <rFont val="Arial Cyr"/>
        <family val="2"/>
        <charset val="204"/>
      </rPr>
      <t>Никогда не удаляйте первые три и последнюю строки Базы Данных.</t>
    </r>
  </si>
  <si>
    <t>210/109</t>
  </si>
  <si>
    <t xml:space="preserve">                                                                     </t>
  </si>
  <si>
    <t>ГЛХУ "Червенский лесхоз"</t>
  </si>
  <si>
    <t>ОАО "АЛЕВКУРП"</t>
  </si>
  <si>
    <t>"Унитарное предприятие "СУ №69 ОАО "Минскпромстрой"</t>
  </si>
  <si>
    <t>210/467</t>
  </si>
  <si>
    <t>210/768</t>
  </si>
  <si>
    <t>210/859</t>
  </si>
  <si>
    <t>1. Предмет договора</t>
  </si>
  <si>
    <t>МПУ "Слуцкмежрайгаз"</t>
  </si>
  <si>
    <t>210/685</t>
  </si>
  <si>
    <t>ОАО Автокомбинат №4</t>
  </si>
  <si>
    <t>210/122</t>
  </si>
  <si>
    <t>210/638</t>
  </si>
  <si>
    <t>210/283</t>
  </si>
  <si>
    <t>210/249</t>
  </si>
  <si>
    <t>ЗАО "Автокомбинат №2"</t>
  </si>
  <si>
    <t>ЧТПП "Городской продукт"</t>
  </si>
  <si>
    <t xml:space="preserve">Прицеп с технически допустимой общей массой не более 0,75 тонны </t>
  </si>
  <si>
    <t>ООО "Белтракэндбас"</t>
  </si>
  <si>
    <t>ЧТУП "ЛИНАСТОРГ"</t>
  </si>
  <si>
    <t>ООО "ГНБ-стиль"</t>
  </si>
  <si>
    <t>ЧТУП "БУКЦЕНТР"</t>
  </si>
  <si>
    <t>210/97</t>
  </si>
  <si>
    <t>ООО "Волес Юнион"</t>
  </si>
  <si>
    <t>210/829</t>
  </si>
  <si>
    <t>210/710</t>
  </si>
  <si>
    <t>210/445</t>
  </si>
  <si>
    <t>210/23</t>
  </si>
  <si>
    <t>ЧТУП "ТАТГРУП"</t>
  </si>
  <si>
    <t>Для оптовой торговли.</t>
  </si>
  <si>
    <t>210/310</t>
  </si>
  <si>
    <t>ИЗАО "Белтулс"</t>
  </si>
  <si>
    <t>210/980</t>
  </si>
  <si>
    <t>ООО "Авторефкомпакт"</t>
  </si>
  <si>
    <t>ООО "ДВС-Транслогистик"</t>
  </si>
  <si>
    <t>210/532</t>
  </si>
  <si>
    <t>ООО "АЛЬТЕРтехногрупп"</t>
  </si>
  <si>
    <t>210/486</t>
  </si>
  <si>
    <t>ЧТСУП "Автостроймеханизация"</t>
  </si>
  <si>
    <t>5.1. Ни одна из Сторон не будет нести ответственности за частичное или полное неисполнение обязательств по настоящему договору, если это явилось следствием обстоятельств непреодолимой силы. Сторона, ссылающаяся на такие обстоятельства, обязана проинформировать другую Сторону не позднее 5 (пяти) календарных дней с момента их наступления.</t>
  </si>
  <si>
    <t>ООО Фалькат</t>
  </si>
  <si>
    <t>Легковой автомобиль с двигателем, работающим на дизельном или газовом топливе</t>
  </si>
  <si>
    <t xml:space="preserve"> М.П.                                                                                         </t>
  </si>
  <si>
    <t>ЧПТУП "ДоминоТрэйд"</t>
  </si>
  <si>
    <t xml:space="preserve">                         =ИНДЕКС(Тарифы!$E$5:$E$163;$D45)*F9                                                          </t>
  </si>
  <si>
    <t>ООО "ЖиВ групп"</t>
  </si>
  <si>
    <t>Производственно-торговое унитарное предприятие "Сервисный центр "БМЗ"</t>
  </si>
  <si>
    <t>Автобус с технически допустимой общей массой более 5 тонн</t>
  </si>
  <si>
    <t>ООО"ВАЗСЕРВИС-С"</t>
  </si>
  <si>
    <t>210/614</t>
  </si>
  <si>
    <t>СООО "Ферабокс"</t>
  </si>
  <si>
    <t>210/571</t>
  </si>
  <si>
    <t>210/84</t>
  </si>
  <si>
    <t>ЧТЭУП " БЕЛДОРАВТОТРАНС"</t>
  </si>
  <si>
    <t>210/544</t>
  </si>
  <si>
    <t>ООО "РУАЛ Профит"</t>
  </si>
  <si>
    <t>Ставка НДС, 20%</t>
  </si>
  <si>
    <t>Расчетный счет</t>
  </si>
  <si>
    <t>СООО "Полифас"</t>
  </si>
  <si>
    <t>ООО "Стеклофин"</t>
  </si>
  <si>
    <t>210/263</t>
  </si>
  <si>
    <t>210/110</t>
  </si>
  <si>
    <t>210/944</t>
  </si>
  <si>
    <t>210/1010</t>
  </si>
  <si>
    <t>210/81</t>
  </si>
  <si>
    <t>ПРУП "Минский завод шестерен"</t>
  </si>
  <si>
    <t>ООО "ЭнергоСтройРазвитие"</t>
  </si>
  <si>
    <t>210/763</t>
  </si>
  <si>
    <t>Ф-Л Сельскохозяйственное предприятие " Дубовляны", ОАО "1-я Минская птицефабрика"</t>
  </si>
  <si>
    <t>ЧТУП "Тритрейдглав"</t>
  </si>
  <si>
    <t>Частное предприятие "ПРОМТРЕЙД"</t>
  </si>
  <si>
    <t>ООО "СТЕНОФОН"</t>
  </si>
  <si>
    <t>210/477</t>
  </si>
  <si>
    <t>ЧТУП " ТермоМолТранс"</t>
  </si>
  <si>
    <t>ООО "АНА-БелЛогистик"</t>
  </si>
  <si>
    <t>"Белорусский профессиональный союз работников местной промышленности и коммунально-бытовых предприятий"</t>
  </si>
  <si>
    <t>210/976</t>
  </si>
  <si>
    <t xml:space="preserve">РО УХБ "Церковь Свет Евангелия" </t>
  </si>
  <si>
    <t>ИП "ШАТУХА Г.И."</t>
  </si>
  <si>
    <t>210/993</t>
  </si>
  <si>
    <t>УП " Студия Квадро"</t>
  </si>
  <si>
    <t>ООО "ЭКОСТРОЙДРЕВ"</t>
  </si>
  <si>
    <t xml:space="preserve">Грузовой автомобиль или автомобиль-тягач с технически допустимой общей массой более 3,5 и не более 12 тонн </t>
  </si>
  <si>
    <t>210/99</t>
  </si>
  <si>
    <t>Минский ВГСО</t>
  </si>
  <si>
    <t>ООО "Баклер хаус"</t>
  </si>
  <si>
    <t>210/136</t>
  </si>
  <si>
    <t>ЧТПУП "ТВЛ-строй"</t>
  </si>
  <si>
    <t>Республиканское унитарное предприятие "Национальная киностудия "Беларусфильм"</t>
  </si>
  <si>
    <t>ОАО "УПТК"</t>
  </si>
  <si>
    <t>ОАО "БЕЛРЕСТАВРАЦИЯ" ПРОЕКТНЫЙ ФИЛИАЛ</t>
  </si>
  <si>
    <t>210/3</t>
  </si>
  <si>
    <t>ООО "КарьерСпецТранс"</t>
  </si>
  <si>
    <t>210/299</t>
  </si>
  <si>
    <t>Транспортное Унитарное предприятие "ВАНБЕРГ"</t>
  </si>
  <si>
    <t>ООО "Кулпроект"</t>
  </si>
  <si>
    <t>СООО "ТДФ Экотех"</t>
  </si>
  <si>
    <t>Минская Областная Комплексная Школа Высшего Спортивного Мастерства</t>
  </si>
  <si>
    <t>210/466</t>
  </si>
  <si>
    <t>210/247</t>
  </si>
  <si>
    <t>УП "Автобис"</t>
  </si>
  <si>
    <t>210/410</t>
  </si>
  <si>
    <t>ЗАКАЗЧИК:</t>
  </si>
  <si>
    <t>КФХ "АгроЛайнПлюс"</t>
  </si>
  <si>
    <t>210/1032</t>
  </si>
  <si>
    <t>ООО "Регент-Белавангард"</t>
  </si>
  <si>
    <t>2. Тарифы на услуги по проведению гостехосмотра ТС и отдельные виды контрольно-диагностических работ установлены согласно прейскуранту цен.</t>
  </si>
  <si>
    <t>210/261</t>
  </si>
  <si>
    <t>ООО " ШимановичАвто и КС"</t>
  </si>
  <si>
    <t>ИП НАЗАРОВ В.А.</t>
  </si>
  <si>
    <t>210/457</t>
  </si>
  <si>
    <t>210/239</t>
  </si>
  <si>
    <t>210/46</t>
  </si>
  <si>
    <t>Государственное предприятие "Молочный гостинец"</t>
  </si>
  <si>
    <t>УП "ГРАНУЛИТ"</t>
  </si>
  <si>
    <t>СЧЕТ-ФАКТУРА</t>
  </si>
  <si>
    <t>ЧПТУП "Паутов-торг"</t>
  </si>
  <si>
    <t>ЧТУП "КАЛГЕР"</t>
  </si>
  <si>
    <t>210/20</t>
  </si>
  <si>
    <t>УП "Белпожтехнология"</t>
  </si>
  <si>
    <t>ГУ"Республиканский научно-практический центр психического здоровья"</t>
  </si>
  <si>
    <t>ЧТУП "Альсара"</t>
  </si>
  <si>
    <t>ЧУП по оказанию услуг "ИвенецРемСтрой"</t>
  </si>
  <si>
    <t>210/1103</t>
  </si>
  <si>
    <t>ЗАО "Клин Групп"</t>
  </si>
  <si>
    <t>СООО "СЛАВФУД"</t>
  </si>
  <si>
    <t>ОДО "ЭКСИМ ПЛАСТИК ГРУПП"</t>
  </si>
  <si>
    <t>210/326</t>
  </si>
  <si>
    <t>210/319</t>
  </si>
  <si>
    <t>210/856</t>
  </si>
  <si>
    <t>210/226</t>
  </si>
  <si>
    <t>УП "Строительно-монтажное управление "Подъем"</t>
  </si>
  <si>
    <t>Счет-фактура по НДС(формы СФ-1) выписывается в течении 60(шестидесяти) дней после подписания акта выполненых работ.</t>
  </si>
  <si>
    <t>210/658</t>
  </si>
  <si>
    <t>ЧТУП"ТрансСалон"</t>
  </si>
  <si>
    <t>Легковой автомобиль с двигателем, работающим на бензине</t>
  </si>
  <si>
    <t>Частное предприятие "СафКаргоТранс"</t>
  </si>
  <si>
    <t>ООО "РЕМСТРОЙПРОМ"</t>
  </si>
  <si>
    <t>ЧТУП " МД Торг"</t>
  </si>
  <si>
    <t>210/357</t>
  </si>
  <si>
    <t>ООО "Патио Плюс"</t>
  </si>
  <si>
    <t>ИООО"Логистический ценр Прилесье"</t>
  </si>
  <si>
    <t>210/160</t>
  </si>
  <si>
    <t>210/665</t>
  </si>
  <si>
    <t>ООО "АНАСТАН"</t>
  </si>
  <si>
    <t>210/482</t>
  </si>
  <si>
    <t>ЧУП По оказанию услуг "Лайт Трэк"</t>
  </si>
  <si>
    <t>ЧТУП "АнборАвто"</t>
  </si>
  <si>
    <t>210/625</t>
  </si>
  <si>
    <t>ООО "Теплостройинвест"</t>
  </si>
  <si>
    <t>210/743</t>
  </si>
  <si>
    <t>Для собственного потребления.</t>
  </si>
  <si>
    <t>ООО "ТСТ-Транс"</t>
  </si>
  <si>
    <t>ЧТУП "КосТрансКорп"</t>
  </si>
  <si>
    <t>210/931</t>
  </si>
  <si>
    <t>210/547</t>
  </si>
  <si>
    <t>210/33</t>
  </si>
  <si>
    <t>НП ООО "Бикад-С"</t>
  </si>
  <si>
    <t>210/88</t>
  </si>
  <si>
    <t>ООО "Вера"</t>
  </si>
  <si>
    <t>Замер токсичности отработавших газов</t>
  </si>
  <si>
    <t>210/169</t>
  </si>
  <si>
    <t>ООО "Топлидер"</t>
  </si>
  <si>
    <t>Для переработки на давальческих условиях.</t>
  </si>
  <si>
    <t>210/528</t>
  </si>
  <si>
    <t>210/868</t>
  </si>
  <si>
    <t>ООО "Лоде на Лепельщине"</t>
  </si>
  <si>
    <t>210/409</t>
  </si>
  <si>
    <t>УО " МГПТК кулинарии"</t>
  </si>
  <si>
    <t>№</t>
  </si>
  <si>
    <t>210/863</t>
  </si>
  <si>
    <t>210/229</t>
  </si>
  <si>
    <t>ООО "СМЦ АРМИН"</t>
  </si>
  <si>
    <t xml:space="preserve"> М.П.</t>
  </si>
  <si>
    <t>№ дог./сч.ф.</t>
  </si>
  <si>
    <t>Дата сч./ф.</t>
  </si>
  <si>
    <t>ИП ОЛЕШКЕВИЧ СЕРГЕЙ КУЗЬМИЧ</t>
  </si>
  <si>
    <t>РЦОП парусного спорта</t>
  </si>
  <si>
    <t>ТЧУП "Автобелвика"</t>
  </si>
  <si>
    <t>СП "Софтформ" ООО</t>
  </si>
  <si>
    <t>ООО "ЭКСКОТРАК"</t>
  </si>
  <si>
    <t>ЧТУП"ГОРСПЕЦТРАНС"</t>
  </si>
  <si>
    <t>СП "Бел-Изолит"-ООО</t>
  </si>
  <si>
    <t>210/591</t>
  </si>
  <si>
    <t>210/476</t>
  </si>
  <si>
    <t>210/995</t>
  </si>
  <si>
    <t>ООО "КомплектСтройМаркет"</t>
  </si>
  <si>
    <t>210/355</t>
  </si>
  <si>
    <t>210/483</t>
  </si>
  <si>
    <t>210/513</t>
  </si>
  <si>
    <t>&lt;- не удаляйте и не заполняйте эту строку</t>
  </si>
  <si>
    <t>И Т О Г О:</t>
  </si>
  <si>
    <t>Проверка внешнего вида и комплектации</t>
  </si>
  <si>
    <t>ЧТУП "АВТОДЕЛИВЕР ПЛЮС"</t>
  </si>
  <si>
    <t>ИООО"Логистический центр Прилесье"</t>
  </si>
  <si>
    <t>ЗАО "МиРаДост"</t>
  </si>
  <si>
    <t>210/487</t>
  </si>
  <si>
    <t>210/936</t>
  </si>
  <si>
    <t>210/329</t>
  </si>
  <si>
    <t>210/232</t>
  </si>
  <si>
    <t>210/752</t>
  </si>
  <si>
    <t>ЧТУП "СандерТрансКом"</t>
  </si>
  <si>
    <t>ООО "Викос"</t>
  </si>
  <si>
    <t>ООО "Сервис Пак"</t>
  </si>
  <si>
    <t>ОДО "Автолюкс", Минский район</t>
  </si>
  <si>
    <t>210/102</t>
  </si>
  <si>
    <t>210/200</t>
  </si>
  <si>
    <t>ЧТУП "МАЗАЛЬ ТОВ"</t>
  </si>
  <si>
    <t>ООО "Сэско"</t>
  </si>
  <si>
    <t>210/479</t>
  </si>
  <si>
    <t>210/705</t>
  </si>
  <si>
    <t>ПЧУП " Комплексжгут"</t>
  </si>
  <si>
    <t>210/188</t>
  </si>
  <si>
    <t>ЧПТУП "АЛЬСТА"</t>
  </si>
  <si>
    <t xml:space="preserve"> ОАО "МАЗ"УПРАВЛЯЮЩАЯ КОМПАНИЯ ХОЛДИНГА"БЕЛАВТОМАЗ" (монтажный цех)</t>
  </si>
  <si>
    <t>210/335</t>
  </si>
  <si>
    <t>Представительство МТРК "МИР" В РБ</t>
  </si>
  <si>
    <t>ЧТПУП "ТЕРРА-Л"</t>
  </si>
  <si>
    <t>УП "Садович"</t>
  </si>
  <si>
    <t>210/549</t>
  </si>
  <si>
    <t>Частное Предприятие"СУ № 22 "ОАО Минскпрмстрой"</t>
  </si>
  <si>
    <t>УП  "ЭКСТРАСЕРВИС"</t>
  </si>
  <si>
    <t>ПТЧУП ВЫМПЕКС КРОУН</t>
  </si>
  <si>
    <t xml:space="preserve">                                                                                                                                                                                   </t>
  </si>
  <si>
    <t>210/8</t>
  </si>
  <si>
    <t>210/304</t>
  </si>
  <si>
    <t>ООО " Фабрика пиломатериалов"</t>
  </si>
  <si>
    <t>ООО "Автотирсервис"</t>
  </si>
  <si>
    <t>ООО "РефКомЛогистик"</t>
  </si>
  <si>
    <t>210/518</t>
  </si>
  <si>
    <t>Частное Предприятие"СУ № 22 "ОАО Минскпромстрой"</t>
  </si>
  <si>
    <t>ООО "ЛеоРусТранс"</t>
  </si>
  <si>
    <t>210/972</t>
  </si>
  <si>
    <t>ООО "Алекс Карго"</t>
  </si>
  <si>
    <t>210/388</t>
  </si>
  <si>
    <t>210/520</t>
  </si>
  <si>
    <t>ОАО "Минский завод шестерен"</t>
  </si>
  <si>
    <t>210/799</t>
  </si>
  <si>
    <t>210/686</t>
  </si>
  <si>
    <t>ООО "Корпорация М8"</t>
  </si>
  <si>
    <t>210/842</t>
  </si>
  <si>
    <t>210/196</t>
  </si>
  <si>
    <t>210/314</t>
  </si>
  <si>
    <t>ООО "Спецэлектро Лтд"</t>
  </si>
  <si>
    <t>210/747</t>
  </si>
  <si>
    <t>УП "Реал"</t>
  </si>
  <si>
    <t>210/694</t>
  </si>
  <si>
    <t>210/132</t>
  </si>
  <si>
    <t>РУП "Белпочта" АВТОТРАНСПОРТНОЕ ПРОИЗВОДСТВО</t>
  </si>
  <si>
    <t>ООО "ГЛОВЕРС-К"</t>
  </si>
  <si>
    <t>210/800</t>
  </si>
  <si>
    <t>Ф-л КУП "Минскоблдорстрой"-"ДРСУ№169"</t>
  </si>
  <si>
    <t>ЧП"Доставкин"</t>
  </si>
  <si>
    <t>ИООО "РН-Запад"</t>
  </si>
  <si>
    <t>210/472</t>
  </si>
  <si>
    <t>ЧТУП "ПАРТНЕРТЕХТРАНС"</t>
  </si>
  <si>
    <t>210/852</t>
  </si>
  <si>
    <t>210/210</t>
  </si>
  <si>
    <t>ООО "ИнтерГлассМонтаж"</t>
  </si>
  <si>
    <t>210/828</t>
  </si>
  <si>
    <t xml:space="preserve">Если Вы хотите очистиь какую-либо промежуточную строку Базы Данных, то это можете сделать путем полного удаления этой строки. </t>
  </si>
  <si>
    <t>Для розничной торговли.</t>
  </si>
  <si>
    <t>ЧТУП "Зернотранс"</t>
  </si>
  <si>
    <t>Цена за ед.</t>
  </si>
  <si>
    <t>ПУП "Амкодор-Радиан"</t>
  </si>
  <si>
    <t>ЧУП по оказанию услуг "Старый кит"</t>
  </si>
  <si>
    <t>210/381</t>
  </si>
  <si>
    <t>ООО "Монолит Групп"</t>
  </si>
  <si>
    <t>210/515</t>
  </si>
  <si>
    <t>210/700</t>
  </si>
  <si>
    <t>210/448</t>
  </si>
  <si>
    <t>ЧП "Виал-кас"</t>
  </si>
  <si>
    <t>210/394</t>
  </si>
  <si>
    <t>210/436</t>
  </si>
  <si>
    <t>ТЧУП СТРОЙНОВАЦИЯ</t>
  </si>
  <si>
    <t xml:space="preserve">ЗАО "МТБанк", ЦБУ "Милавица", </t>
  </si>
  <si>
    <t>220094,г.Минск, пр-т Рокоссовского,д.49-319</t>
  </si>
  <si>
    <t>Шелепень Н.Н.</t>
  </si>
  <si>
    <t>Устава</t>
  </si>
  <si>
    <t>т/ф291-19-66, 248-47-62</t>
  </si>
  <si>
    <t xml:space="preserve">6.1. Настоящий договор вступает в силу с момента подписания и действует до «31» декабря 2017 года, а в части расчетов - до полного проведения окончательного расчета. В случае, если до истечения срока окончания настоящего договора ни одна из сторон письменно не выразит желание его расторгнуть, он автоматически пролонгируется на каждый последующий календарный год на тех же условиях.
6.2. Изменения и дополнения к настоящему договору имеют юридическую силу только в письменном виде, подписанные обеими Сторонами.
6.3. Досрочное расторжение настоящего договора допускается по взаимному согласию Сторон, а также по инициативе одной из Сторон с письменным уведомлением об этом другой Стороны не позднее 5 дней до предполагаемой даты расторжения договора. В течение однодневного срока Стороны обязаны осуществить все требуемые расчеты по настоящему договору.
6.4. Настоящий договор составлен в двух экземплярах, имеющих одинаковую юридическую силу, один из которых находится у Заказчика, второй – у Исполнителя.
</t>
  </si>
  <si>
    <t>37569657</t>
  </si>
  <si>
    <t>в ОАО "Банк Москва-Минск"</t>
  </si>
  <si>
    <t>директор</t>
  </si>
  <si>
    <t>220024, г.Минск ,пер.Корженевского,2А</t>
  </si>
  <si>
    <t>Парфенова С.А.</t>
  </si>
  <si>
    <t>т.207-05-35,212-27-70</t>
  </si>
  <si>
    <t>37523750</t>
  </si>
  <si>
    <t xml:space="preserve">Минская обл. Смолевичский р-н, д.Орешники </t>
  </si>
  <si>
    <t xml:space="preserve">В.Ф. Баркун </t>
  </si>
  <si>
    <t>37533961</t>
  </si>
  <si>
    <t>ОАО "Приорбанк" ЦБУ 114 г.Минск, ул. Трудовая,10</t>
  </si>
  <si>
    <t>222223, Минска обл, Смолевичский р-н, д.Станок-Водица, ул.Заводская д.1</t>
  </si>
  <si>
    <t>Лапко А.Н.</t>
  </si>
  <si>
    <t>т.2432115,т/ф 243-16-90, 217-79-60</t>
  </si>
  <si>
    <t>ООО "Теплоэнергозащита"</t>
  </si>
  <si>
    <t>28964780</t>
  </si>
  <si>
    <t>ОАО "Приорбанк", ЦБУ 100 г. Минск, ул. Радиальная, 38 а</t>
  </si>
  <si>
    <t>222823, Минская обл. , Пуховичский р-н, г.п. Свислочь, здание РУП "Экспериментальная  база Свислочь" Национальной Академии Наук Беларуси, ком. № 14</t>
  </si>
  <si>
    <t>Дубовик В.А.</t>
  </si>
  <si>
    <t>344-99-51, 344-99-41</t>
  </si>
  <si>
    <t>210/5</t>
  </si>
  <si>
    <t>РУП "Институт мясо-молочной промышленности"</t>
  </si>
  <si>
    <t>02906526</t>
  </si>
  <si>
    <t>ОАО "Белагропромбанк", г.Минск, ул.Романовская слобода, 8</t>
  </si>
  <si>
    <t>220075, г.Минск, пр-т Партизанский,172</t>
  </si>
  <si>
    <t>Мелещеня А.В.</t>
  </si>
  <si>
    <t>т/ф3443852,3446791</t>
  </si>
  <si>
    <t>14541107</t>
  </si>
  <si>
    <t>в ОАО "Белгазпромбанк", г.Минск, ул.Притыцкого,60/2</t>
  </si>
  <si>
    <t>223021, Минский р-н, Щомыслицкий с/с,30-1, район а/г Озерцо</t>
  </si>
  <si>
    <t>Баховчук М.В.</t>
  </si>
  <si>
    <t>т 5076120, 5076637</t>
  </si>
  <si>
    <t>ГПАСУ "РОСН" МЧС РБ</t>
  </si>
  <si>
    <t>28617311</t>
  </si>
  <si>
    <t>ф-л 511 ОАО "Беларусбанк", г.Минск, ул.Долгобротская,1</t>
  </si>
  <si>
    <t>Начальник отряда</t>
  </si>
  <si>
    <t>220138, г.Минск,ул.Карвата,78</t>
  </si>
  <si>
    <t>Солодкин Р.А.</t>
  </si>
  <si>
    <t>т/ф 2905420, 2905410</t>
  </si>
  <si>
    <t>в ОАО "Белгазпромбанк",г.Минск</t>
  </si>
  <si>
    <t>223831,Минская обл.,Любанский р-н,г/п Уречье</t>
  </si>
  <si>
    <t>Сергеев Г.Ю.</t>
  </si>
  <si>
    <t>8033-677-11-17</t>
  </si>
  <si>
    <t>г.Минск пр.Масюковщина,4,ком.7</t>
  </si>
  <si>
    <t>Кулакович О.М.</t>
  </si>
  <si>
    <t>8 029 305-40-94</t>
  </si>
  <si>
    <t>отд. ОАО "Белагропомбанк" г.Светлогорск</t>
  </si>
  <si>
    <t>210/1027</t>
  </si>
  <si>
    <t>4.1. За неисполнение или ненадлежащее исполнение обязательств по настоящему договору Стороны несут ответственность в соответствии с законодательством Республики Беларусь.</t>
  </si>
  <si>
    <t>_________________</t>
  </si>
  <si>
    <t>ОАО "Новое стекло"</t>
  </si>
  <si>
    <t>210/383</t>
  </si>
  <si>
    <t>ЧУП по оказанию услуг "Волчек Сервис"</t>
  </si>
  <si>
    <t>210/94</t>
  </si>
  <si>
    <t>210/503</t>
  </si>
  <si>
    <t>210/206</t>
  </si>
  <si>
    <t>с одной стороны</t>
  </si>
  <si>
    <t>и</t>
  </si>
  <si>
    <t>210/155</t>
  </si>
  <si>
    <t>210/59</t>
  </si>
  <si>
    <t>210/648</t>
  </si>
  <si>
    <t>ООО"СТИМА"</t>
  </si>
  <si>
    <t>210/286</t>
  </si>
  <si>
    <t>ПК ООО"ИНТЕХМОНТАЖ"</t>
  </si>
  <si>
    <t>ОДО "АВТОБЕТОН"</t>
  </si>
  <si>
    <t>ПС ООО "РАДОЛА"</t>
  </si>
  <si>
    <t>ООО "Бурсетьстрой"</t>
  </si>
  <si>
    <t>210/374</t>
  </si>
  <si>
    <t>УП "АБРАМС ИНЖИНИРИНГ"</t>
  </si>
  <si>
    <t>210/552</t>
  </si>
  <si>
    <t>210/296</t>
  </si>
  <si>
    <t>210/945</t>
  </si>
  <si>
    <t>210/1029</t>
  </si>
  <si>
    <t>Частное предприятие "Фанера Плюс"</t>
  </si>
  <si>
    <t>Частное предприятие "БенниТрансАвто"</t>
  </si>
  <si>
    <t>220030, г.Минск, ул.К.Маркса, 36, комн.033</t>
  </si>
  <si>
    <t>Василенко П.Ю.</t>
  </si>
  <si>
    <t>Гениральный Директор</t>
  </si>
  <si>
    <t>8029-251-61-21</t>
  </si>
  <si>
    <t>ЗАО "Универсам Байкальский"</t>
  </si>
  <si>
    <t>ОАО "Банк БелВЭБ" г.Минск, ул.Мясникова, 32</t>
  </si>
  <si>
    <t>220047, г.Минск, ул.Ангарская, 38/2</t>
  </si>
  <si>
    <t>Хотько Е.А.</t>
  </si>
  <si>
    <t>т.ф. 299-86-51</t>
  </si>
  <si>
    <t>ЧП "РЕНТСТАЙЛ"</t>
  </si>
  <si>
    <t>в ОАО "Белинвестбанк" отд.521,г.Минск,ул.Филатова,12</t>
  </si>
  <si>
    <t>220092,г.Минск,ул.Горовца,д.14,к.1,кв.247</t>
  </si>
  <si>
    <t>Рыбак Н.С.</t>
  </si>
  <si>
    <t>8(029) 174-74-58</t>
  </si>
  <si>
    <t>ф-л №535 ОАО "Белинвестбанк" г.Минск, пр.Партизанский,6А</t>
  </si>
  <si>
    <t>220033 г.Минск.пр.Партизанский,31</t>
  </si>
  <si>
    <t>298-16-10 298-22-47</t>
  </si>
  <si>
    <t>Змушко В.Л.</t>
  </si>
  <si>
    <t>Ген.директор</t>
  </si>
  <si>
    <t>ОАО "Приорбанк" ЦБУ 101, г.Минск, ул.Тимирязева, 65А</t>
  </si>
  <si>
    <t>223039, РБ Минский район, Хатежинский с/с, 1 административно-бытовой корпус, каб.75</t>
  </si>
  <si>
    <t>ООО "ЭНЕРГООПТИК"</t>
  </si>
  <si>
    <t>37563815</t>
  </si>
  <si>
    <t>в ОАО "Технобанк",г.Минск</t>
  </si>
  <si>
    <t>220100,г.Минск,ул.Куйбышева,73а,к.1</t>
  </si>
  <si>
    <t>220116,г.Минск,пр.газеты Звезда 33-202</t>
  </si>
  <si>
    <t>Брызгалин А.И.</t>
  </si>
  <si>
    <t>376-84-39,376-84-42</t>
  </si>
  <si>
    <t>14754274</t>
  </si>
  <si>
    <t>ОАО "БЕЛИНВЕСТБАНК"</t>
  </si>
  <si>
    <t>220138 г. Минск ул. Липковская,9 ком.39</t>
  </si>
  <si>
    <t>Черняк Г.Я.</t>
  </si>
  <si>
    <t>14589611</t>
  </si>
  <si>
    <t>ОАО"БПС-Сбербанк" г.Минск, бул.им.В.Мулявина,6</t>
  </si>
  <si>
    <t>г.Минск, ул.Семенова,35-3т. 220006</t>
  </si>
  <si>
    <t>Галиновский М.Ф.</t>
  </si>
  <si>
    <t>т.ф. 215-00-04</t>
  </si>
  <si>
    <t>ЗАО "Альфа-Банк" по Брестской обл, ул.Советская, 56, г.Брест</t>
  </si>
  <si>
    <t>224025, РБ, г.Брест, ул.Лейтенанта Рябцева, 130</t>
  </si>
  <si>
    <t>Детскин И.Ф.</t>
  </si>
  <si>
    <t>т.ф.8017-362-02-01</t>
  </si>
  <si>
    <t>в филиале №511,ОАО "АСБ Беларусбанк",г.Минск</t>
  </si>
  <si>
    <t>Минский р-н,Новодворский с/с,р-н д.Б.Тростенец,к.2-4</t>
  </si>
  <si>
    <t>Девялтовский С.П.</t>
  </si>
  <si>
    <t>679-69-29</t>
  </si>
  <si>
    <t>299262096</t>
  </si>
  <si>
    <t>Минский р-н, пос.Привольный, ул.Мира,34</t>
  </si>
  <si>
    <t>Домино Н.С.</t>
  </si>
  <si>
    <t>т/ф 501-45-88</t>
  </si>
  <si>
    <t>ОАО "Приорбанк" ЦБУ 100, г. Минск, ул. Радиальная, 38а</t>
  </si>
  <si>
    <t>НАЧ. ТРАНСП. ПОДРОЗДЕЛЕНИЯ</t>
  </si>
  <si>
    <t>220141, г. Минск, ул. Купревича, 1/4-13</t>
  </si>
  <si>
    <t>ЧЕБОНЕНКО К.А.</t>
  </si>
  <si>
    <t>ДОВЕРЕННОСТЬ№30 ОТ 27.03 2014</t>
  </si>
  <si>
    <t>т.237-05-52 (58), т.ф. 237-68-71</t>
  </si>
  <si>
    <t>210/58</t>
  </si>
  <si>
    <t>ПСЧУП "Колосстрой"</t>
  </si>
  <si>
    <t>Отделение №537 в г.Минске ОАО "Белинвестбанк" г.Минск, ул.Могилевская 5</t>
  </si>
  <si>
    <t>223034, г.Заславль, ул.Советская, 124</t>
  </si>
  <si>
    <t>Гальперин А.И.</t>
  </si>
  <si>
    <t>Усьава</t>
  </si>
  <si>
    <t>т.ф.8017-544-20-95</t>
  </si>
  <si>
    <t>37781105000</t>
  </si>
  <si>
    <t>ЗАО "АБСОЛЮТБАНК"</t>
  </si>
  <si>
    <t>223053, Минская обл., Минский р-н, п.Сонечный, ул.Сосновая, 2, пом.151, каб.3.</t>
  </si>
  <si>
    <t>Змушко А.М.</t>
  </si>
  <si>
    <t>т/ф 3462980</t>
  </si>
  <si>
    <t>00114206</t>
  </si>
  <si>
    <t>в отд. №539 ОАО "Белинвестбанк",г.Минск</t>
  </si>
  <si>
    <t>зам.директора</t>
  </si>
  <si>
    <t>220048,г.Минск.ул.Романовская Слобода,5а</t>
  </si>
  <si>
    <t>Клименко И.В.</t>
  </si>
  <si>
    <t>доверенности №2 от 30.03.10г.</t>
  </si>
  <si>
    <t>т/ф 226-53-17,200-59-70</t>
  </si>
  <si>
    <t>210/61</t>
  </si>
  <si>
    <t>379471605000</t>
  </si>
  <si>
    <t>ЗАО "МТБанк",РКЦ №15, г.Минск,Тимирязева, 65</t>
  </si>
  <si>
    <t>222827, д.Цагельня,квартал 1, Пуховического р-на, Минской об-ти</t>
  </si>
  <si>
    <t>Тихонова Н.Ю.</t>
  </si>
  <si>
    <t xml:space="preserve">              Устава</t>
  </si>
  <si>
    <t>т.ф (017)-290-88-92</t>
  </si>
  <si>
    <t>в ЦБУ 422 ОАО "АСБ Беларусбанк", ф-л №402</t>
  </si>
  <si>
    <t>231818,Гродненская обл,Слонимский р-н,д.Чемеры,ул.Грибовская,д.4Б</t>
  </si>
  <si>
    <t>Дулинец Д.В.</t>
  </si>
  <si>
    <t>т.моб.(029)65-06-349 т/ф 801562-48-8-61</t>
  </si>
  <si>
    <t>Иностранное унитарное предприяте "Литана-БелСтрой"</t>
  </si>
  <si>
    <t>ЦБУ 114 "Приорбанк" ОАО г.Минск, ул.Трудовая, 10</t>
  </si>
  <si>
    <t>220118, РБ г.Минск, ул.Машиностроителей, 29-203</t>
  </si>
  <si>
    <t>Кресс А.А.</t>
  </si>
  <si>
    <t>т.ф. 987-01-15</t>
  </si>
  <si>
    <t>Производственное унитарное предприятие "Завод Белкооппрогресс" БЕЛКООПСОЮЗ</t>
  </si>
  <si>
    <t>Ф-л ОАО "Белагропромбанк"Минское областное управление, г.Минск, пр-т Победителей, 91</t>
  </si>
  <si>
    <t>220024, г.Минск, п/у Колядичи, ул.Бабушкина, 64</t>
  </si>
  <si>
    <t>Красовский С.Н.</t>
  </si>
  <si>
    <t>т.ф. 291-93-30, 291-93-28</t>
  </si>
  <si>
    <t>379334885000</t>
  </si>
  <si>
    <t>в ОАО "АСБ "Беларусбанк"г.Минск, ул. Мясникова,32</t>
  </si>
  <si>
    <t xml:space="preserve">Начальник Института </t>
  </si>
  <si>
    <t>220007,г.Минск, ул.Могилевская,45/4</t>
  </si>
  <si>
    <t>Ананьева В.Н.</t>
  </si>
  <si>
    <t>т/ф 219-41-29</t>
  </si>
  <si>
    <t>29022235</t>
  </si>
  <si>
    <t>в АСБ "Беларусбанк" г.Минск,пр.Дзержинского, 18</t>
  </si>
  <si>
    <t xml:space="preserve">.директор </t>
  </si>
  <si>
    <t>210/68</t>
  </si>
  <si>
    <t>в ЗАО "МТБанк", г.Минск, пр-т Партизанский, 6а.</t>
  </si>
  <si>
    <t xml:space="preserve">Директор </t>
  </si>
  <si>
    <t>220024, г.Минск, ул.Асаналиева, 32/кв.176</t>
  </si>
  <si>
    <t>Васюткин Д.В.</t>
  </si>
  <si>
    <t>Государственное предприятие "Минсктранс" филиал "Автобусный парк №6</t>
  </si>
  <si>
    <t>ООО "Белспецагротранс"</t>
  </si>
  <si>
    <t>ОДО "Столс"</t>
  </si>
  <si>
    <t>210/119</t>
  </si>
  <si>
    <t>ООО "Белфарпост"</t>
  </si>
  <si>
    <t>210/241</t>
  </si>
  <si>
    <t>210/725</t>
  </si>
  <si>
    <t>210/354</t>
  </si>
  <si>
    <t>210/475</t>
  </si>
  <si>
    <t>ООО "Мегапак"</t>
  </si>
  <si>
    <t>210/473</t>
  </si>
  <si>
    <t>КСУП "Племптицезавод "Белорусский"</t>
  </si>
  <si>
    <t>210/139</t>
  </si>
  <si>
    <t>210/391</t>
  </si>
  <si>
    <t>210/118</t>
  </si>
  <si>
    <t>210/45</t>
  </si>
  <si>
    <t>ООО " ТРАНСНОРМА"</t>
  </si>
  <si>
    <t>210/154</t>
  </si>
  <si>
    <t>Учреждение "РЦОП по гимнастике художественной"</t>
  </si>
  <si>
    <t xml:space="preserve"> ОАО "МАЗ"УПРАВЛЯЮЩАЯ КОМПАНИЯ ХОЛДИНГА"БЕЛАВТОМАЗ"</t>
  </si>
  <si>
    <t>ООО "Первый номер"</t>
  </si>
  <si>
    <t>210/724</t>
  </si>
  <si>
    <t>ИП "ВАНБЕРГ"</t>
  </si>
  <si>
    <t>210/71</t>
  </si>
  <si>
    <t>СООО "МЕДБИОСАЕНС"</t>
  </si>
  <si>
    <t>ОсООО "Белтехпром"</t>
  </si>
  <si>
    <t>ЧТПУП "Издательство "Антея"</t>
  </si>
  <si>
    <t>Проверка степени светопропускания стекол</t>
  </si>
  <si>
    <t>ООО "Хендэ АвтоГрад"</t>
  </si>
  <si>
    <t>210/948</t>
  </si>
  <si>
    <t>ЧТУП "ПАССАЖТРАНСПОРТ"</t>
  </si>
  <si>
    <t>ЧТУП "Бизнесимпэкс"</t>
  </si>
  <si>
    <t>ЗАО "УНИФАРМ"</t>
  </si>
  <si>
    <t>ЧП "ТрансАвтоГруз"</t>
  </si>
  <si>
    <t>210/819</t>
  </si>
  <si>
    <t>ПЧУП "Комплексжгут"</t>
  </si>
  <si>
    <t>ГП "Ремавтодор Первомайсгоко р-на г.Минска"</t>
  </si>
  <si>
    <t>ООО "РеалТехСтрой"</t>
  </si>
  <si>
    <t>210/406</t>
  </si>
  <si>
    <t>НПОДО "Призма"</t>
  </si>
  <si>
    <t>210/941</t>
  </si>
  <si>
    <t>Сервисное унитарное предприятие "СервисМЛК"</t>
  </si>
  <si>
    <t>210/389</t>
  </si>
  <si>
    <t>ОАО "Белгран"</t>
  </si>
  <si>
    <t>210/184</t>
  </si>
  <si>
    <t>210/4</t>
  </si>
  <si>
    <t>ООО "КивиГрупп"</t>
  </si>
  <si>
    <t>ООО "Вежа-строительные машины"</t>
  </si>
  <si>
    <t>ОДО "Возможность"</t>
  </si>
  <si>
    <t>ЧСУП "Альбена-Строй"</t>
  </si>
  <si>
    <t>210/751</t>
  </si>
  <si>
    <t>ИООО "ИНТЕРФАРМАКС"</t>
  </si>
  <si>
    <t>210/833</t>
  </si>
  <si>
    <t>210/311</t>
  </si>
  <si>
    <t>ГНУ "Объединенный институт энергетических и ядерных исследований-Сосны" НАН Белоруси</t>
  </si>
  <si>
    <t>210/53</t>
  </si>
  <si>
    <t>Мазак В.Н.</t>
  </si>
  <si>
    <t>т/ф 335-01-13,335-01-14</t>
  </si>
  <si>
    <t>ООО "Вольф Групп"</t>
  </si>
  <si>
    <t>380654335000</t>
  </si>
  <si>
    <t>в ЗАО "МТБанк.г.Минск</t>
  </si>
  <si>
    <t>220026.г.Минск.ул.Бехтерева,7,к.21</t>
  </si>
  <si>
    <t>Долголевец А.Н.</t>
  </si>
  <si>
    <t>Устава и договора №1/16 от 21,10,16г.</t>
  </si>
  <si>
    <t>(029) 3131321 Валерий,285-49-09</t>
  </si>
  <si>
    <t>ИП Бондарович Сергей Иванович</t>
  </si>
  <si>
    <t>в ОАО "БНБ-Банк"ЦБУ №3,г.Минск</t>
  </si>
  <si>
    <t>223210,Минская обл,г.Червень,ул.Заслонова,д.32</t>
  </si>
  <si>
    <t>Бондарович С.И.</t>
  </si>
  <si>
    <t>т/ф 344-50-41</t>
  </si>
  <si>
    <t>т.ф. 5002600 (04)</t>
  </si>
  <si>
    <t>37585478</t>
  </si>
  <si>
    <t>в ОАО "Белгазпромбанк" ЦБУ №705,г.Минск</t>
  </si>
  <si>
    <t>220075 г.Минск,пр-т Партизанский д.174.кв.5</t>
  </si>
  <si>
    <t>Порукевич С.А.</t>
  </si>
  <si>
    <t>345-88-44</t>
  </si>
  <si>
    <t>ООО "Профметаллсервис"</t>
  </si>
  <si>
    <t>ОАО " Технобанк", г.Минск,ул.Кропоткина,44</t>
  </si>
  <si>
    <t>220030, г.Минск,ул.Машиностроителей,29 пом.103</t>
  </si>
  <si>
    <t>Пранович В.Г.</t>
  </si>
  <si>
    <t>т/ф 3870250,0173870240</t>
  </si>
  <si>
    <t>Частное унитарное предприятие по оказанию услуг "Литасервис"</t>
  </si>
  <si>
    <t>ЦБУ №206/3 ОАО "БПС-Сбербанк" г.Новолукомль, ул.Энергетиков, 13</t>
  </si>
  <si>
    <t>211162, Витебская обл., г.Новолукомль, ул.Энергетиков, д.9 комн.15</t>
  </si>
  <si>
    <t>Литвинов А.А.</t>
  </si>
  <si>
    <t>т.ф. 8021335-57-78</t>
  </si>
  <si>
    <t>Частное производственно-торговое унитарное предприятие "Защита здоровья"</t>
  </si>
  <si>
    <t xml:space="preserve"> ЗАО "БСБ Банк" ул.Я.Купалы, 25, г.Минск</t>
  </si>
  <si>
    <t>220118, г.Минск, ул.Шишкина, 20, корп. 1 пом. 4Н, каб. 17</t>
  </si>
  <si>
    <t>Власова Я.И.</t>
  </si>
  <si>
    <t>т.ф. 246-94-47</t>
  </si>
  <si>
    <t>в ОАО "БПС-Сбербанк" ЦБУ №701,г.Минск</t>
  </si>
  <si>
    <t>220073,г.Минск,ул.Гусовского,10,каб.307</t>
  </si>
  <si>
    <t>Лученков А.В.</t>
  </si>
  <si>
    <t>316-57-57</t>
  </si>
  <si>
    <t>100230496</t>
  </si>
  <si>
    <t>г.Минск,ул.Сурганова,28</t>
  </si>
  <si>
    <t>О.И.Пигунов</t>
  </si>
  <si>
    <t>т/ф242--73-48</t>
  </si>
  <si>
    <t>ОАО Белинвестбанк,г.Минск</t>
  </si>
  <si>
    <t>Частное преприятие  "ШАТЕ-М ПЛЮС"</t>
  </si>
  <si>
    <t>375586945000</t>
  </si>
  <si>
    <t>в ОАО "Белгазпромбанк" ул. Притыцкого, 60/2, г. Минск</t>
  </si>
  <si>
    <t>223062, Минский р-н, Луговослободской с/с, пос. Привольный, ул. Мира 2а</t>
  </si>
  <si>
    <t>Новик А.Е.</t>
  </si>
  <si>
    <t>Корякина И.П.</t>
  </si>
  <si>
    <t>01279582</t>
  </si>
  <si>
    <t>отд.№527 ОАО"Белинвестбанк" г.Минск, ул.Ленина,16</t>
  </si>
  <si>
    <t>220005 г.Минск, пр. Машерова 16</t>
  </si>
  <si>
    <t>Поплевко Ю.И.</t>
  </si>
  <si>
    <t xml:space="preserve">т/ф 344-69-21, т/ф284-46-17 </t>
  </si>
  <si>
    <t>304263926000</t>
  </si>
  <si>
    <t>Минская обл.,Минский р-н,г.п.Мачулищи,ул.Солнечная,д.6,ком.12</t>
  </si>
  <si>
    <t>344-37-93,344-67-93</t>
  </si>
  <si>
    <t xml:space="preserve">И.О. Ген.директор </t>
  </si>
  <si>
    <t>Журович А.А.</t>
  </si>
  <si>
    <t>28645454</t>
  </si>
  <si>
    <t>ОАО "Приорбанк" ЦБУ 101</t>
  </si>
  <si>
    <t>220002 г. Минск ул. В. Хоружей,31А</t>
  </si>
  <si>
    <t>210/159</t>
  </si>
  <si>
    <t>ООО "БАЙПРИНТ СЕРВИС"</t>
  </si>
  <si>
    <t>210/106</t>
  </si>
  <si>
    <t>210/447</t>
  </si>
  <si>
    <t>210/194</t>
  </si>
  <si>
    <t>КУП "ЗАВОД ЭФФЕКТИВНЫХ ПРОМЫШЛЕННЫХ КОНСТРУКЦИЙ"</t>
  </si>
  <si>
    <t>ООО "ЭлитТиП-строй"</t>
  </si>
  <si>
    <t>Легковой автомобиль с двигателем, работающим на бензине, с колесной формулой 4x4</t>
  </si>
  <si>
    <t>210/27</t>
  </si>
  <si>
    <t>210/121</t>
  </si>
  <si>
    <t>210/576</t>
  </si>
  <si>
    <t xml:space="preserve">    </t>
  </si>
  <si>
    <t>ЗАКАЗЧИК</t>
  </si>
  <si>
    <t>ООО "ПРОМКРАС"</t>
  </si>
  <si>
    <t>210/865</t>
  </si>
  <si>
    <t>ЧТУП "СиТиТранс2013"</t>
  </si>
  <si>
    <t>210/379</t>
  </si>
  <si>
    <t>210/991</t>
  </si>
  <si>
    <t>ЧТУП "Кукертрейд"</t>
  </si>
  <si>
    <t>210/351</t>
  </si>
  <si>
    <t>Учреждение РЦОР по игровым видам спорта</t>
  </si>
  <si>
    <t>ОАО "Белбакалея"</t>
  </si>
  <si>
    <t>Минское отд. "Центральное" ОАО "БанкБелВЭБ" г.Минск</t>
  </si>
  <si>
    <t>223021, Минская обл, Минский р-н, р.д.Богатырево, пз ЧУП "УСВ" каб.19</t>
  </si>
  <si>
    <t>Букштын Ж.М.</t>
  </si>
  <si>
    <t>т.ф, 507-67-78</t>
  </si>
  <si>
    <t>ЗАО "МТБанк", г. Минск, пр. Партизанский , д 6А</t>
  </si>
  <si>
    <t>223053, Минский р-н, д. Плебанцы, здание с инвертарным номером 600/С-468, ком.2</t>
  </si>
  <si>
    <t>Бернат А.М.</t>
  </si>
  <si>
    <t>т/ф 205-40-60</t>
  </si>
  <si>
    <t>3. Стороны признают юридическую силу подписи исполнителя на настоящем счете, переданном по факсимильной связи.</t>
  </si>
  <si>
    <t>ЧТУП "Онератис"</t>
  </si>
  <si>
    <t>210/168</t>
  </si>
  <si>
    <t>210/906</t>
  </si>
  <si>
    <t>210/66</t>
  </si>
  <si>
    <t>Филиал "Специализированное управление №1"РУП "Минскавтодор-Центр"</t>
  </si>
  <si>
    <t>210/818</t>
  </si>
  <si>
    <t>ОАО "Смиловичская валяльно-войлочная фабрика"</t>
  </si>
  <si>
    <t>210/441</t>
  </si>
  <si>
    <t>ООО "МАНТРАНС СИСТЕМ"</t>
  </si>
  <si>
    <t>210/718</t>
  </si>
  <si>
    <t>210/942</t>
  </si>
  <si>
    <t>210/924</t>
  </si>
  <si>
    <t>ООО "Автотехресурс"</t>
  </si>
  <si>
    <t>210/580</t>
  </si>
  <si>
    <t>210/330</t>
  </si>
  <si>
    <t>210/331</t>
  </si>
  <si>
    <t>Адрес организации</t>
  </si>
  <si>
    <t>210/684</t>
  </si>
  <si>
    <t>210/262</t>
  </si>
  <si>
    <t>ЗАВОД КПД-3 ОАО "МАПИД"</t>
  </si>
  <si>
    <t>210/830</t>
  </si>
  <si>
    <t>Частное предприятие "БелСАНавто"</t>
  </si>
  <si>
    <t>ООО " БелВэйТранс"</t>
  </si>
  <si>
    <t>210/157</t>
  </si>
  <si>
    <t>210/493</t>
  </si>
  <si>
    <t>ЧП "Актонал-инвест"</t>
  </si>
  <si>
    <t>ОАО "МИНСКАГРОТРАНС"</t>
  </si>
  <si>
    <t>ООО "СаенСтиль"</t>
  </si>
  <si>
    <t>ЧТУП "Эльгрупп"</t>
  </si>
  <si>
    <t>ИП Космачев В.А.</t>
  </si>
  <si>
    <t>ОДО "СЕРВИСПИЩЕТОРГ"</t>
  </si>
  <si>
    <t>210/794</t>
  </si>
  <si>
    <t xml:space="preserve">СУ №711 ОАО "Стройтрест №7" </t>
  </si>
  <si>
    <t>СООО "РЕМОНДИС Минск"</t>
  </si>
  <si>
    <t>приёмки-сдачи работы, выполненной диагностической станцией УП «Белтехосмотр»</t>
  </si>
  <si>
    <t>210/341</t>
  </si>
  <si>
    <t>210/307</t>
  </si>
  <si>
    <t>210/711</t>
  </si>
  <si>
    <t>210/757</t>
  </si>
  <si>
    <t>ЧТУП"ВиражГруз"</t>
  </si>
  <si>
    <t>210/353</t>
  </si>
  <si>
    <t>210/70</t>
  </si>
  <si>
    <t>210/223</t>
  </si>
  <si>
    <t>210/150</t>
  </si>
  <si>
    <t>ООО "ЕвроТЭС"</t>
  </si>
  <si>
    <t>210/992</t>
  </si>
  <si>
    <t>210/292</t>
  </si>
  <si>
    <t>ООО "БеларисАвто"</t>
  </si>
  <si>
    <t>210/258</t>
  </si>
  <si>
    <t>ООО "СКТБ РИТМ ПРЕМИУМ"</t>
  </si>
  <si>
    <t>210/909</t>
  </si>
  <si>
    <t>ООО "ПОЛФРОСТ-БЕЛ"</t>
  </si>
  <si>
    <t>210/961</t>
  </si>
  <si>
    <t>УП "АДАНИ"</t>
  </si>
  <si>
    <t>УП "МОТШ ДСААФ"</t>
  </si>
  <si>
    <t>ООО "Юнгос"</t>
  </si>
  <si>
    <t>210/315</t>
  </si>
  <si>
    <t>ОДО "ВИТАЛЮР"</t>
  </si>
  <si>
    <t>КПТУП "Изолиткоммунпром"</t>
  </si>
  <si>
    <t>ООО "РэпидВэй"</t>
  </si>
  <si>
    <t>210/105</t>
  </si>
  <si>
    <t>ООО"ОСТТРЕЙД"</t>
  </si>
  <si>
    <t>210/556</t>
  </si>
  <si>
    <t>210/967</t>
  </si>
  <si>
    <t>210/212</t>
  </si>
  <si>
    <t>ОАО "Керамин"</t>
  </si>
  <si>
    <t>Филиал УМ-191 ОАО "Стройтрест №35"</t>
  </si>
  <si>
    <t>210/785</t>
  </si>
  <si>
    <t>ООО "Ферокс"</t>
  </si>
  <si>
    <t>210/186</t>
  </si>
  <si>
    <t>210/91</t>
  </si>
  <si>
    <t>210/90</t>
  </si>
  <si>
    <t>210/172</t>
  </si>
  <si>
    <t>210/124</t>
  </si>
  <si>
    <t>210/6</t>
  </si>
  <si>
    <t>ООО "Желтая линия"</t>
  </si>
  <si>
    <t>210/1082</t>
  </si>
  <si>
    <t>210/1083</t>
  </si>
  <si>
    <t>СООО "Профметаллсервис"</t>
  </si>
  <si>
    <t>210/795</t>
  </si>
  <si>
    <t>ООО "АРШСОЛЬ"</t>
  </si>
  <si>
    <t>210/468</t>
  </si>
  <si>
    <t>210/342</t>
  </si>
  <si>
    <t>ЧПУП "СУПЕЛОКС"</t>
  </si>
  <si>
    <t>210/511</t>
  </si>
  <si>
    <t>ООО "Армтел"</t>
  </si>
  <si>
    <t>ЧПТУП "Летуаль"</t>
  </si>
  <si>
    <t>ПУП "Червенский производственно-пищевой завод"</t>
  </si>
  <si>
    <t>210/39</t>
  </si>
  <si>
    <t>210/360</t>
  </si>
  <si>
    <t>210/1003</t>
  </si>
  <si>
    <t>210/787</t>
  </si>
  <si>
    <t>210/581</t>
  </si>
  <si>
    <t>293294263000</t>
  </si>
  <si>
    <t>ОАО "БПС-Сбербанк" ЦБУ № 333, г. Минск</t>
  </si>
  <si>
    <t>247434, Гомельская область, г. Светлогорск, ул. Заводская, д. 12Д</t>
  </si>
  <si>
    <t>в Дополнительном офисе №704 ОАО"БПС-Сбербанк",г.Минск</t>
  </si>
  <si>
    <t>т/ф 291-27-40,297-46-39,291-29-03-приемная,295-67-96-бух.</t>
  </si>
  <si>
    <t>379638165000</t>
  </si>
  <si>
    <t>ЗАО "Идея Банк" г.Минск, З.Бядули, д.11 220034</t>
  </si>
  <si>
    <t>220021,г.Минск,ул.Центральная,д.6,к.101</t>
  </si>
  <si>
    <t>Щевцов О.В.</t>
  </si>
  <si>
    <t>т.ф. 2462066, тел.2426692</t>
  </si>
  <si>
    <t>УП "ТИСКО"</t>
  </si>
  <si>
    <t>в ЗАО "БелСвиссБанк",г.Минск,пр.Победителей,23,кор.3</t>
  </si>
  <si>
    <t>223035,п.Ратомка,Минский р-н,ул.Дачная,22</t>
  </si>
  <si>
    <t>Тимошенко Л.И.</t>
  </si>
  <si>
    <t>т/ф 502-23-53,(029) 676-26-26</t>
  </si>
  <si>
    <t>ОАО "Белгазпромбанк" 220121 г.Минск, ул.Притыцкого 60/2</t>
  </si>
  <si>
    <t>220125, г.Минск, ул.Городецкая, 15, пом.3Н</t>
  </si>
  <si>
    <t>Ужаков С.Л.</t>
  </si>
  <si>
    <t>т.ф. 510-75-59</t>
  </si>
  <si>
    <t>302019606000</t>
  </si>
  <si>
    <t>в ЗАО "МТБанк",г.Минск,пр-т.Партизанский.6А</t>
  </si>
  <si>
    <t>223049,Минский р-н.д.Малиновка,п/о Щомыслица.ул.Весенняя 9,ком.1-29/1</t>
  </si>
  <si>
    <t>Семашко А.А.</t>
  </si>
  <si>
    <t>т/ф 270-92-62, ,(029) 107-70-17</t>
  </si>
  <si>
    <t>СУ-211 филиал ОАО "Стройтрест №35"</t>
  </si>
  <si>
    <t>153001369</t>
  </si>
  <si>
    <t>Региональная дирекция №700 ОАО "БПС-Банк"</t>
  </si>
  <si>
    <t>220013, г. Минск, ул. Я. Коласа,38</t>
  </si>
  <si>
    <t>А.Э. Лазаренко</t>
  </si>
  <si>
    <t>доверенность №20 от 22.02.11г.</t>
  </si>
  <si>
    <t>т/ф 331-68-29, 285-71-12</t>
  </si>
  <si>
    <t>ОАО "Приорбанк" ЦБУ № 117, г. Минск 220141, г. Минск, пр. Независимости, 172</t>
  </si>
  <si>
    <t>220125, г. Минск, пр. Независимости, 185, пом. 63н. К.1</t>
  </si>
  <si>
    <t>Бобков О.А.</t>
  </si>
  <si>
    <t>т.ф. 283-89-59</t>
  </si>
  <si>
    <t>37564045</t>
  </si>
  <si>
    <t>ЗАО "Цептер Банк" ЦБУ 5,г.Минск,УЛ.Платонова,1Б</t>
  </si>
  <si>
    <t>Зам.директора по маркетингу и логистике</t>
  </si>
  <si>
    <t xml:space="preserve">т.  331-65-46, т.ф. 292-40-74 </t>
  </si>
  <si>
    <t xml:space="preserve"> Королев Андрей Валерьевич</t>
  </si>
  <si>
    <t>ООО "ПетроМоторс"</t>
  </si>
  <si>
    <t>ОАО "БПС-Сбербанк" г.Минск, ул.Сурганова, 39</t>
  </si>
  <si>
    <t>220138, г.Минск, пер.Липковский 12, 1 этаж, к.7</t>
  </si>
  <si>
    <t>Авраменко Ю.Ф.</t>
  </si>
  <si>
    <t>т.ф. 276-05-51, 276-05-54</t>
  </si>
  <si>
    <t>в ОАО "Приорбанк",ЦБУ 119,г.Минск</t>
  </si>
  <si>
    <t>220116,г.Минск,пр.Дзержинского,113,пом.648</t>
  </si>
  <si>
    <t>т/ф 372-35-74(76,78)</t>
  </si>
  <si>
    <t>ООО "Мадиол"</t>
  </si>
  <si>
    <t>Зварико М.В.</t>
  </si>
  <si>
    <t>ЗАО "Белорусский Спутник"</t>
  </si>
  <si>
    <t>ОАО "АСБ"Беларусбанк" г.Минск, пр-т Держинского, 18</t>
  </si>
  <si>
    <t>14608337</t>
  </si>
  <si>
    <t>в Рег.Дир.№700 ОАО "БПС-Сбербанк",г.Минск,пр-т.Машерова 80</t>
  </si>
  <si>
    <t>223056, п.Юбилейный Минс.р-на Минск.обл.,ул.Коммунальная 1В-30</t>
  </si>
  <si>
    <t>Березовский В.Г.</t>
  </si>
  <si>
    <t xml:space="preserve"> Устава</t>
  </si>
  <si>
    <t>т.ф.264-34-61</t>
  </si>
  <si>
    <t>00016805</t>
  </si>
  <si>
    <t>220030,г.Минск,ул.К.Маркса,35</t>
  </si>
  <si>
    <t>Колбанов В.В.</t>
  </si>
  <si>
    <t>327-14-17(приемная),327-78-89(бух.)</t>
  </si>
  <si>
    <t xml:space="preserve">Первый зам.ген. секретаря </t>
  </si>
  <si>
    <t>доверенности №34 от 10,012017г.</t>
  </si>
  <si>
    <t>в Дирекции  ОАО "Белинвестбанк" по г.Минску и Минской обл.</t>
  </si>
  <si>
    <t>ООО "ПРОФИКАРЛАЙН"</t>
  </si>
  <si>
    <t>г.Минск,ул.Западная,11а</t>
  </si>
  <si>
    <t>Конов В.А.</t>
  </si>
  <si>
    <t>8029-122-11-24,т.250-26-70</t>
  </si>
  <si>
    <t>РЦК "10,г.Червень ф-л ОАО "Бел АПБ".г.М.Горка</t>
  </si>
  <si>
    <t>г.Червень</t>
  </si>
  <si>
    <t>Купрович С.В.</t>
  </si>
  <si>
    <t>т/ф 8 01714 55-6-75,(029) 852-73-22</t>
  </si>
  <si>
    <t>РКЦ № 10 ЗАО " БСБ Банк", г. Минск, ул. Логойский тр-т, 15/4</t>
  </si>
  <si>
    <t>Сычик Д.М.</t>
  </si>
  <si>
    <t>8-017-237-50-98, 8-029-6777-927</t>
  </si>
  <si>
    <t>223141, Минская обл., г.Логойск, ул.Я.Купалы, д.15, ком.12Б</t>
  </si>
  <si>
    <t>210/318</t>
  </si>
  <si>
    <t>в Региональной Дирекции №700 ОАО "БПС-Сбербанк",г.Минск</t>
  </si>
  <si>
    <t>нач.управления</t>
  </si>
  <si>
    <t>220014,г.Минск,ул.Минина,д.1</t>
  </si>
  <si>
    <t>Скуратович В.Л.</t>
  </si>
  <si>
    <t>т/ф 328-92-46,207-78-92</t>
  </si>
  <si>
    <t>ООО "АВИДИС ПЛЮС"</t>
  </si>
  <si>
    <t>ОАО "Белагропромбанк" г.Минск, ул.Приитыцкого 60/2</t>
  </si>
  <si>
    <t>Оскирко М.Н.</t>
  </si>
  <si>
    <t>223042, Р.Б.ю Минская обл, Минскийр-н, Папернянский с/с, 23 район вг.Семково</t>
  </si>
  <si>
    <t>г.Минск,проезд Подшибниковый, 9 пом.4 каб.7</t>
  </si>
  <si>
    <t>ЗАО "Альфа-Банк" г.Минск, ул.Сурганова 43-47</t>
  </si>
  <si>
    <t>ЧТУП "ПТМпрофсервис"</t>
  </si>
  <si>
    <t>в ОАО "Белагропромбанк", г.Минск, ул.Ольшевского, 24</t>
  </si>
  <si>
    <t>г.Минск, ул.Плеханова 46/183</t>
  </si>
  <si>
    <t>Цыбулька Н.Н.</t>
  </si>
  <si>
    <t>37389783</t>
  </si>
  <si>
    <t>АСБ " Беларусбанк", ф-л 511, г. Минск, ул. Долгоброцкая, 1</t>
  </si>
  <si>
    <t>220021, г. Минск, пр-т Партизанский, 70а</t>
  </si>
  <si>
    <t>Денинис В.В.</t>
  </si>
  <si>
    <t>295-02-25</t>
  </si>
  <si>
    <t>ЗАО "Альфа-Банк", 220013, г.Минск. ул.Сурганова 43-47</t>
  </si>
  <si>
    <t>Косарева Н.Г.</t>
  </si>
  <si>
    <t>222838, Минская обл, Пуховичский р-н, а/г Новоселки, ул.Ленинская 1А</t>
  </si>
  <si>
    <t>т.ф.8017-388-06-06, 8017-388-20-20, моб.296158134</t>
  </si>
  <si>
    <t>в ф-ле 511 АСБ "Беларусбанк",г.Минск, ул.Долгобродская, 1</t>
  </si>
  <si>
    <t>220102,г.Минск, пр-т Партизанский,146</t>
  </si>
  <si>
    <t>Жарская И.В.</t>
  </si>
  <si>
    <t>029-651-63-91</t>
  </si>
  <si>
    <t>37615469</t>
  </si>
  <si>
    <t>в ЗАО "Альфа-Банк",гМинск,ул.Мясникова,70</t>
  </si>
  <si>
    <t>223060 Минская обл.,Минский р-н,Новодворский с/с/,д.Большой Тростенец,ул.Западная,д.41,ком.12</t>
  </si>
  <si>
    <t>Голынникова Е.В.</t>
  </si>
  <si>
    <t>344-86-16,т/ф 344-86-22,345-53-83,344-71-70</t>
  </si>
  <si>
    <t>379767765000</t>
  </si>
  <si>
    <t>ОАО "Приорбанк", ЦБУ 100 г.Минск, ул.Радиальная,38А</t>
  </si>
  <si>
    <t>220075, г.Минск,пр-т Партизанский, д.178, оф.310</t>
  </si>
  <si>
    <t>Микулевич Д.К.</t>
  </si>
  <si>
    <t>80293448383, т/ф 3458773</t>
  </si>
  <si>
    <t>00227494</t>
  </si>
  <si>
    <t>"Приорбанк" ОАО ЦБУ 100 г.Минск,ул. Радиальная,38а</t>
  </si>
  <si>
    <t>Нач. ТО</t>
  </si>
  <si>
    <t>220118,г.Минск,ул. Машиностроителей 48</t>
  </si>
  <si>
    <t>3409885, т/ф3453339, 6140780 Валерий Иванович</t>
  </si>
  <si>
    <t>довереность №42 от 01,09,2016г.</t>
  </si>
  <si>
    <t>Петрожицкий С.В.</t>
  </si>
  <si>
    <t>доверенности №80 от 28,11,2016г.</t>
  </si>
  <si>
    <t>ОАО "Белинвестбанк" ЦБУ №507,г.Минск,ул.Немига,40</t>
  </si>
  <si>
    <t>223017,Минская обл.,Минский р-н,300 метров западнее п.г.т.Гатово,кор.В/2к.,офис №52</t>
  </si>
  <si>
    <t>Троянова Ю.В.</t>
  </si>
  <si>
    <t>т.245-00-37</t>
  </si>
  <si>
    <t>14557835</t>
  </si>
  <si>
    <t>в отд.№538 ОАО "Белинвестбанк",г.Минск</t>
  </si>
  <si>
    <t>220024,г.Минск,Стебенева,2</t>
  </si>
  <si>
    <t>Кузовлева Т.А.</t>
  </si>
  <si>
    <t>2005770 приемная</t>
  </si>
  <si>
    <t>30176626000</t>
  </si>
  <si>
    <t>в РКЦ "Тростенец " ОАО "Банк БелВЭБ",г.Минск</t>
  </si>
  <si>
    <t>223060,Минская обл.,Новодворский с/с,д.Большой Тростенец,ул.Совхозная,26А</t>
  </si>
  <si>
    <t>Гончарик М.М.</t>
  </si>
  <si>
    <t>8029-244-99-99</t>
  </si>
  <si>
    <t>доверенности № 22-д от 03.01.2017</t>
  </si>
  <si>
    <t>ЗАО "БелСвиссБанк" 220004, г.Минск, пр-т Победителей, 23, корп.3</t>
  </si>
  <si>
    <t>223043, Минская область, Минский район, д.Цнянка ул.Рождественская, д.5, корп А, комн.48В</t>
  </si>
  <si>
    <t>Кукушкин А.Е.</t>
  </si>
  <si>
    <t>т.м. 6100256</t>
  </si>
  <si>
    <t>220021,г.Минск,пер.Бехтерева,7</t>
  </si>
  <si>
    <t>Иванов С.М.</t>
  </si>
  <si>
    <t>доверенности 4/127 от 15.03.2016</t>
  </si>
  <si>
    <t>Филиал КУП "Минскоблдорстрой" -"ДРСУ № 121"</t>
  </si>
  <si>
    <t>03455161</t>
  </si>
  <si>
    <t>ЦБУ № 627 ф-ла 500 МУ АСБ "Беларусбанк", г. Минск</t>
  </si>
  <si>
    <t>223210, Минская обл., г. Червень, ул. Ленинская, 56</t>
  </si>
  <si>
    <t>Урбанович А.Ф.</t>
  </si>
  <si>
    <t>Доверенности № 7-11/775/356 от 06.09.2016</t>
  </si>
  <si>
    <t>8-01714-55-7-35</t>
  </si>
  <si>
    <t>Сухаренко П.С.</t>
  </si>
  <si>
    <t>Т.Ф. 8-02342-40666, т.бухг. 8-02342-37878</t>
  </si>
  <si>
    <t>01279346</t>
  </si>
  <si>
    <t>в Региональной Дирекции №700 ОАО "БПС-Банк", г.Минск,пр-т Машерова,80</t>
  </si>
  <si>
    <t>начальника</t>
  </si>
  <si>
    <t>220013,г.Минск,ул.Я.Колоса,38</t>
  </si>
  <si>
    <t>Процкевич Ю.М.</t>
  </si>
  <si>
    <t>Иностранное унитарное предприятие "Линтера ТехСервис"</t>
  </si>
  <si>
    <t>Филиал "ВОЛАТТРАНССЕРВИС" ОАО "МЗКТ"</t>
  </si>
  <si>
    <t>СП"АОТранс"</t>
  </si>
  <si>
    <t>210/798</t>
  </si>
  <si>
    <t>ИП "ВКТ Констракшн"ООО</t>
  </si>
  <si>
    <t>210/338</t>
  </si>
  <si>
    <t>ООО "Евросклад Сервис"</t>
  </si>
  <si>
    <t>ОАО "МИНСКДРЕВ"</t>
  </si>
  <si>
    <t>ООО "ФЛЭЙМЗ ГРУПП"</t>
  </si>
  <si>
    <t>210/979</t>
  </si>
  <si>
    <t>210/446</t>
  </si>
  <si>
    <t>СУ-222 (УБСР) ОАО Стройтрест №7</t>
  </si>
  <si>
    <t>НПООО "ТЕХНОПРОМСЕРВИС"</t>
  </si>
  <si>
    <t>Строительное унитарное предприятие СУ №71 ОАО "Минскпромстрой"</t>
  </si>
  <si>
    <t>Наименование выполненных работ             (оказанных услуг)               проведение гостехосмотра</t>
  </si>
  <si>
    <t xml:space="preserve"> с другой стороны</t>
  </si>
  <si>
    <t>210/175</t>
  </si>
  <si>
    <t>ИООО "ПЕЙККО БЕЛРУС"</t>
  </si>
  <si>
    <t>210/28</t>
  </si>
  <si>
    <t>ПЧ УП "КАДЖИЯ"</t>
  </si>
  <si>
    <t>210/803</t>
  </si>
  <si>
    <t>210/458</t>
  </si>
  <si>
    <t>210/418</t>
  </si>
  <si>
    <t>Тариф с НДС</t>
  </si>
  <si>
    <t>Производственноу унитарное предприятие "Завод Белкооппрогресс" БЕЛКООПСОЮЗ</t>
  </si>
  <si>
    <t>210/565</t>
  </si>
  <si>
    <t>210/558</t>
  </si>
  <si>
    <t>УО "МГПЛ №9 автомобилестроения"</t>
  </si>
  <si>
    <t>ЧП "Метагромаш"</t>
  </si>
  <si>
    <t>210/530</t>
  </si>
  <si>
    <t xml:space="preserve">________________  от </t>
  </si>
  <si>
    <t>Сумма без НДС, руб.</t>
  </si>
  <si>
    <t>Сумма  НДС, руб.</t>
  </si>
  <si>
    <t>ООО "Вегафрут"</t>
  </si>
  <si>
    <t>ЧТУП "ПРИВАТТРАНС"</t>
  </si>
  <si>
    <t>210/950</t>
  </si>
  <si>
    <t>210/820</t>
  </si>
  <si>
    <t>210/588</t>
  </si>
  <si>
    <t>который вызывется четвертой кнопкой на встроенной панели инструментов.</t>
  </si>
  <si>
    <t>ОКПО</t>
  </si>
  <si>
    <t>Грузовой автомобиль 2-х осный</t>
  </si>
  <si>
    <t>Начальник ДС №210 УП "Белтехосмотр"</t>
  </si>
  <si>
    <t>210/30</t>
  </si>
  <si>
    <t>210/217</t>
  </si>
  <si>
    <t xml:space="preserve"> По результатам проведенного государственного технического осмотра транспортных средств, принадлежащих 
</t>
  </si>
  <si>
    <t>210/744</t>
  </si>
  <si>
    <t>ОДО "Спектртекс"</t>
  </si>
  <si>
    <t>210/294</t>
  </si>
  <si>
    <t>ЧП "Грузовые шины"Дальнобой"</t>
  </si>
  <si>
    <t>210/949</t>
  </si>
  <si>
    <t>ООО "СаВа-Транспорт"</t>
  </si>
  <si>
    <t>210/72</t>
  </si>
  <si>
    <t>ООО "Электроизделие"</t>
  </si>
  <si>
    <t>210/594</t>
  </si>
  <si>
    <t>210/397</t>
  </si>
  <si>
    <t>ООО "АртСистемСервис"</t>
  </si>
  <si>
    <t>Краткое описание работы: проведение государственного технического осмотра транспортных средств и выдача диагностической карты транспортного средства.</t>
  </si>
  <si>
    <t>ООО "Миконг"</t>
  </si>
  <si>
    <t>210/146</t>
  </si>
  <si>
    <t>210/165</t>
  </si>
  <si>
    <t>ОАО "ПМК-8"</t>
  </si>
  <si>
    <t>ООО "Белгруз Карго Мастер"</t>
  </si>
  <si>
    <t>ООО "СМАРТИС"</t>
  </si>
  <si>
    <t>210/264</t>
  </si>
  <si>
    <t>210/860</t>
  </si>
  <si>
    <t>Для собственного производства.</t>
  </si>
  <si>
    <t>ОАО " Современные розничные технологии"</t>
  </si>
  <si>
    <t>Филиал ДЭУ №5 РУП "МИНСКАВТОДОР-ЦЕНТР"</t>
  </si>
  <si>
    <t>Частное предприятие"Гидромеханик"</t>
  </si>
  <si>
    <t>ЧТУП " Цветочный экспресс"</t>
  </si>
  <si>
    <t>Управление сельского хозяйства и продовольствия Червенского района</t>
  </si>
  <si>
    <t>ООО "Атлант-М Сухарево"</t>
  </si>
  <si>
    <t>210/13</t>
  </si>
  <si>
    <t>ОАО "Минобллифт"</t>
  </si>
  <si>
    <t>ОДО "БЕЛТЕХПРОМ"</t>
  </si>
  <si>
    <t>Ь</t>
  </si>
  <si>
    <t>ОДО "ГРАНФЛОР"</t>
  </si>
  <si>
    <t>210/575</t>
  </si>
  <si>
    <t>210/555</t>
  </si>
  <si>
    <t>210/308</t>
  </si>
  <si>
    <t>ООО "МАНАР групп"</t>
  </si>
  <si>
    <t>210/161</t>
  </si>
  <si>
    <t>210/123</t>
  </si>
  <si>
    <t>210/465</t>
  </si>
  <si>
    <t>ООО "Изомат-строй"</t>
  </si>
  <si>
    <t>СООО "АРВИТФУД"</t>
  </si>
  <si>
    <t>210/494</t>
  </si>
  <si>
    <t>ООО "ИнтерТрансПартнер"</t>
  </si>
  <si>
    <t>ООО ТРАНСПОРТНАЯ КОМПАНИЯ "ГРУЗОВОЙ ПАРТНЕР"</t>
  </si>
  <si>
    <t>ЗАО"Стройсантехника"</t>
  </si>
  <si>
    <t>ООО "ПРОМИС АГРО"</t>
  </si>
  <si>
    <t>СЗАО "Эс-Эн-Эй Европа Индастриз Бисов"</t>
  </si>
  <si>
    <t>210/910</t>
  </si>
  <si>
    <t>Филиал МУ-2 ОАО"ПРОМТЕХМОНТАЖ"</t>
  </si>
  <si>
    <t>ООО "Белый тигр"</t>
  </si>
  <si>
    <t>210/376</t>
  </si>
  <si>
    <t>ООО "РОСЧЕРК"</t>
  </si>
  <si>
    <t>ООО "НЕОЛАБ-ВД"</t>
  </si>
  <si>
    <t>210/727</t>
  </si>
  <si>
    <t>ЧТУП "АС экспресс"</t>
  </si>
  <si>
    <t>Минский областной комитет природных ресурсов и охраны окружающей среды</t>
  </si>
  <si>
    <t>ЗАО "Совавто-Строй"</t>
  </si>
  <si>
    <t>210/702</t>
  </si>
  <si>
    <t>ЧТУП "ЧАЛЕЙ ТРАНС"</t>
  </si>
  <si>
    <t>ОДО "Мельзапчасть"</t>
  </si>
  <si>
    <t>210/816</t>
  </si>
  <si>
    <t>ЧИУП "Геоизмерение"</t>
  </si>
  <si>
    <t>ООО "ИВАТРАНС"</t>
  </si>
  <si>
    <t>210/242</t>
  </si>
  <si>
    <t>ЧП "СВ-Сержтранс"</t>
  </si>
  <si>
    <t>210/120</t>
  </si>
  <si>
    <t>210/416</t>
  </si>
  <si>
    <t>210/796</t>
  </si>
  <si>
    <t>ОАО "Белпромимпэкс"</t>
  </si>
  <si>
    <t>ООО "ПЕРЕГОН-СЕРВИС"</t>
  </si>
  <si>
    <t>210/624</t>
  </si>
  <si>
    <t>210/178</t>
  </si>
  <si>
    <t>Цена оказываемой услуги, 
руб.</t>
  </si>
  <si>
    <t>ЗАО "СОВАВТО-МИНСК"</t>
  </si>
  <si>
    <t>210/934</t>
  </si>
  <si>
    <t>ОДО"ФАРМАКОН"</t>
  </si>
  <si>
    <t>210/407</t>
  </si>
  <si>
    <t>Иностранное унитарное предприятие "Литера ТехСервис"</t>
  </si>
  <si>
    <t>210/526</t>
  </si>
  <si>
    <t>210/996</t>
  </si>
  <si>
    <t>210/966</t>
  </si>
  <si>
    <t>к платежному поручению:</t>
  </si>
  <si>
    <t>210/237</t>
  </si>
  <si>
    <t>210/273</t>
  </si>
  <si>
    <t>210/508</t>
  </si>
  <si>
    <t>210/177</t>
  </si>
  <si>
    <t>ООО "КАН-терм Бел"</t>
  </si>
  <si>
    <t>БЕЛОРУССКОЕ ОБЩЕСТВО КРАСНОГО КРЕСТА</t>
  </si>
  <si>
    <t>210/49</t>
  </si>
  <si>
    <t>210/316</t>
  </si>
  <si>
    <t>210/884</t>
  </si>
  <si>
    <t>ТЧУП "БЕЛТРАНССЕРВИС"</t>
  </si>
  <si>
    <t>210/141</t>
  </si>
  <si>
    <t>УП "ПАРТИЗАНСКОЕ"</t>
  </si>
  <si>
    <t>210/559</t>
  </si>
  <si>
    <t>ООО "ТрансКонтейнерСервис"</t>
  </si>
  <si>
    <t>210/826</t>
  </si>
  <si>
    <t>210/399</t>
  </si>
  <si>
    <t>210/52</t>
  </si>
  <si>
    <t>ОАО "Макродор"</t>
  </si>
  <si>
    <t>210/87</t>
  </si>
  <si>
    <t>210/471</t>
  </si>
  <si>
    <t>ЧУП "БелЕвроВестТранс"</t>
  </si>
  <si>
    <t>210/837</t>
  </si>
  <si>
    <t>ООО "АВИКОЙЛ инвест"</t>
  </si>
  <si>
    <t>ООО "Караван XXI век"</t>
  </si>
  <si>
    <t>210/285</t>
  </si>
  <si>
    <t>ЧУП "АИРСЕРВИС"</t>
  </si>
  <si>
    <t>Для собственного производства и/или потребления.</t>
  </si>
  <si>
    <t>210/366</t>
  </si>
  <si>
    <t>210/674</t>
  </si>
  <si>
    <t>ЧТУП" ЗЕЗ-спорт"</t>
  </si>
  <si>
    <t>210/540</t>
  </si>
  <si>
    <t>210/179</t>
  </si>
  <si>
    <t>ОАО "РЫБХОЗ "ВОЛМА"</t>
  </si>
  <si>
    <t>УЧЕБНЫЙ ЦЕНТР "МЕТРОСТРОИТЕЛЬ"</t>
  </si>
  <si>
    <t>210/411</t>
  </si>
  <si>
    <t>210/632</t>
  </si>
  <si>
    <t>Частное предприятие "Мадиол"</t>
  </si>
  <si>
    <t>210/677</t>
  </si>
  <si>
    <t>210/469</t>
  </si>
  <si>
    <t>210/731</t>
  </si>
  <si>
    <t>210/149</t>
  </si>
  <si>
    <t>ООО "Свиксо"</t>
  </si>
  <si>
    <t>210/430</t>
  </si>
  <si>
    <t>210/225</t>
  </si>
  <si>
    <t>300748236000</t>
  </si>
  <si>
    <t>в ОАО"Приорбанк" ЦБУ 115</t>
  </si>
  <si>
    <t>223062,Минская обл,,Минский р-н,Луговослободской с/с п.Привольный,ул.Мира,д.20а,ком.5</t>
  </si>
  <si>
    <t>Русакович С.Б.</t>
  </si>
  <si>
    <t>501-46-19</t>
  </si>
  <si>
    <t>ЧТУП "ГОРСПЕЦТРАНС"</t>
  </si>
  <si>
    <t>00995017</t>
  </si>
  <si>
    <t>отд. ОАО "Белагртпромбанк" в г.Марьина Горка</t>
  </si>
  <si>
    <t>и.о.директора</t>
  </si>
  <si>
    <t>223232,г.Червень,ул.Луначарского,29</t>
  </si>
  <si>
    <t>Галковский А.Н.</t>
  </si>
  <si>
    <t>т/ф 8-01717-544-57,521-15</t>
  </si>
  <si>
    <t>факс 3139111,327-38-22,5060459</t>
  </si>
  <si>
    <t>300863296000</t>
  </si>
  <si>
    <t>Минская область. Червенкий район, г.п.Смиловичи, ул. Первомайская 14-3.</t>
  </si>
  <si>
    <t>Радьков А.В.</t>
  </si>
  <si>
    <t>т.ф.8 (017) 345-52-04</t>
  </si>
  <si>
    <t>в фил.№500 ОАО "АСБ Беларусбанк",г.Минск</t>
  </si>
  <si>
    <t>382112255000</t>
  </si>
  <si>
    <t>в "ОАО "Приорбанк" ЦБУ 100,г.Минск,ул.Радиальная,38а</t>
  </si>
  <si>
    <t>220028,г.Минск,ул.Селицкого,9,пом.316</t>
  </si>
  <si>
    <t>Герасимович В.А.</t>
  </si>
  <si>
    <t>т/ф 344-63-63</t>
  </si>
  <si>
    <t>377386745000</t>
  </si>
  <si>
    <t>ЗАО "МТБанк" ЦБУ №3 г.Минск, ул.Короля,51.2-ой эт., оф.1</t>
  </si>
  <si>
    <t>220040,г.Минск, ул.Некрасова,27-115</t>
  </si>
  <si>
    <t>Чалей С.К.</t>
  </si>
  <si>
    <t>506-21-41</t>
  </si>
  <si>
    <t>17,01,2017</t>
  </si>
  <si>
    <t>ОДО "ОГНЕСТОП"</t>
  </si>
  <si>
    <t>г.Минск,ОАО "Белинвестбанк""</t>
  </si>
  <si>
    <t>г.Минск, ул.Селицкого,31</t>
  </si>
  <si>
    <t>341-21-23, т/ф 345-51-68</t>
  </si>
  <si>
    <t>28666189</t>
  </si>
  <si>
    <t>отделение №507 ОАО "Белинвестбанк" г.Минск, ул.Немига,40</t>
  </si>
  <si>
    <t>г.Минск, ул.Кропоткина, 93А, ком.17</t>
  </si>
  <si>
    <t>Паус Б.П.</t>
  </si>
  <si>
    <t>т.ф.3451299</t>
  </si>
  <si>
    <t>ООО "ХИМПРОМЭКСПОРТ"</t>
  </si>
  <si>
    <t>в ЗАО "МТБанк",г.Минск</t>
  </si>
  <si>
    <t>г.Минск,ул.Скрыганова,6-208А</t>
  </si>
  <si>
    <t>Хроль М.Н.</t>
  </si>
  <si>
    <t>т/ф 3-444-999</t>
  </si>
  <si>
    <t>ООО "БеКоТранс"</t>
  </si>
  <si>
    <t>379042745000</t>
  </si>
  <si>
    <t>222201,г.Смолевичи.ул.Торговая,14В</t>
  </si>
  <si>
    <t>Белоголов В.М.</t>
  </si>
  <si>
    <t>(029) 603-40-00,(029) 888-89-85</t>
  </si>
  <si>
    <t>ЗАО "Альфа-Банк, г.Минск</t>
  </si>
  <si>
    <t>ЗАО "МТБанк", г.Минск, пр-т Партизанский, 6А</t>
  </si>
  <si>
    <t>г.Минск, ул.Машиностроителей, дом 7А, 4-ый этаж, комн.4</t>
  </si>
  <si>
    <t>Самохвал С.А.</t>
  </si>
  <si>
    <t>т.ф. 340-94-94</t>
  </si>
  <si>
    <t>377026715</t>
  </si>
  <si>
    <t>в ЦБУ №702 ОАО "БПС-Сбербанк",г.Минск,ул.Сурганова,39</t>
  </si>
  <si>
    <t>220102,г.Минск,пр-т Партизанский,146А,к.10</t>
  </si>
  <si>
    <t xml:space="preserve"> 273-72-29,273-72-36(37,38), т/ф 511-98-14</t>
  </si>
  <si>
    <t>управляющий</t>
  </si>
  <si>
    <t>Мальцев Р.Л.</t>
  </si>
  <si>
    <t>284-64-00</t>
  </si>
  <si>
    <t>в ЗАО "Альфа-Банк",г.Минск</t>
  </si>
  <si>
    <t>БелНИИТ "ТРАНСТЕХНИКА"</t>
  </si>
  <si>
    <t>г.Минск, ул.Платонова, 22, 220005</t>
  </si>
  <si>
    <t>210/496</t>
  </si>
  <si>
    <t>210/762</t>
  </si>
  <si>
    <t>ООО "ЮД-Транс"</t>
  </si>
  <si>
    <t>210/922</t>
  </si>
  <si>
    <t>210/574</t>
  </si>
  <si>
    <t>ООО "Смартон"</t>
  </si>
  <si>
    <t>210/968</t>
  </si>
  <si>
    <t>ИСПОЛНИТЕЛЬ</t>
  </si>
  <si>
    <t>ООО "ЕвроХимРесурс"</t>
  </si>
  <si>
    <t>210/95</t>
  </si>
  <si>
    <t>210/48</t>
  </si>
  <si>
    <t>ООО "Важная бумага"</t>
  </si>
  <si>
    <t>210/567</t>
  </si>
  <si>
    <t>"Государственное предприятие"Управление делами НАН БЕЛАРУСИ"</t>
  </si>
  <si>
    <t>210/35</t>
  </si>
  <si>
    <t>210/778</t>
  </si>
  <si>
    <t>210/729</t>
  </si>
  <si>
    <t>ООО "БС-Прод"</t>
  </si>
  <si>
    <t>ООО "Белспецэффект"</t>
  </si>
  <si>
    <t>ГНПО порошковой металлургии</t>
  </si>
  <si>
    <t>ООО "Строительная компания "Строй 34"</t>
  </si>
  <si>
    <t>210/894</t>
  </si>
  <si>
    <t>РУП "Минскэнерго" филиал "Минские электрические сети"</t>
  </si>
  <si>
    <t>210/83</t>
  </si>
  <si>
    <t>210/432</t>
  </si>
  <si>
    <t>210/668</t>
  </si>
  <si>
    <t>ЧТПУП "Алдиолантекс"</t>
  </si>
  <si>
    <t>210/64</t>
  </si>
  <si>
    <t xml:space="preserve">   кол-во шт.</t>
  </si>
  <si>
    <t xml:space="preserve">Проверка герметичности агрегатов и систем  </t>
  </si>
  <si>
    <t>ООО "ВЛАДТУРСТРОЙ"</t>
  </si>
  <si>
    <t>ЧТУП "КАНДАЛОВЪ"</t>
  </si>
  <si>
    <t>210/713</t>
  </si>
  <si>
    <t>ООО "БелЭлектроВит"</t>
  </si>
  <si>
    <t>210/336</t>
  </si>
  <si>
    <t>ООО "ЭлектроКонтинент"</t>
  </si>
  <si>
    <t>СООО "Стекольная Компания"</t>
  </si>
  <si>
    <t>Цель приобретения товара:</t>
  </si>
  <si>
    <t>210/887</t>
  </si>
  <si>
    <t>210/413</t>
  </si>
  <si>
    <t>210/77</t>
  </si>
  <si>
    <t>210/244</t>
  </si>
  <si>
    <t>ТЧУП "Альфамед"</t>
  </si>
  <si>
    <t>210/537</t>
  </si>
  <si>
    <t>ФЫ</t>
  </si>
  <si>
    <t>ЧУП"Труша-Транс"</t>
  </si>
  <si>
    <t>ООО " Фруктовая компания"</t>
  </si>
  <si>
    <t>ОАО "МИНОБЛАВТОТРАНС" Филиал "Автомобильнвый парк №15"</t>
  </si>
  <si>
    <t>210/749</t>
  </si>
  <si>
    <t>ДУП "ПМК-237" УП Минскоблсельстрой</t>
  </si>
  <si>
    <t>ООО "Паритетгидстрой"</t>
  </si>
  <si>
    <t>210/204</t>
  </si>
  <si>
    <t>ООО "Велес-Мит"</t>
  </si>
  <si>
    <t>ЧТУП "СИЛОВЫЕ ПЕРЕДАЧИ"</t>
  </si>
  <si>
    <t>223010, Минскй район, п.Юбилейный, ул.Коммунистическая, д.1В, К.55</t>
  </si>
  <si>
    <t>Федосик И.Г.</t>
  </si>
  <si>
    <t>дов.№1 от 11.01.2017г.</t>
  </si>
  <si>
    <t>201-99-57</t>
  </si>
  <si>
    <t>ЧУП "САНДИТА"</t>
  </si>
  <si>
    <t>РКЦ №49, ОАО "Белагропромбанк", г.Марьина Горка</t>
  </si>
  <si>
    <t>220047,г.Марьина Горка, ул.Последовича, 4а</t>
  </si>
  <si>
    <t>Пронский Д.М.</t>
  </si>
  <si>
    <t>37643069</t>
  </si>
  <si>
    <t>в ЗАО "Альфа-Банк", г.Минск, ул.Мясникова,70</t>
  </si>
  <si>
    <t>220002,г.Минск, ул.В.Хоружей, 31, литерА, 1/К,встроен.,1-й эт.</t>
  </si>
  <si>
    <t>Стома О.В.</t>
  </si>
  <si>
    <t>387-02-05-(06,07,07) т/ф 387-02-09</t>
  </si>
  <si>
    <t>Ген.Директор</t>
  </si>
  <si>
    <t>Совместное Предприятие "Промекс" ООО</t>
  </si>
  <si>
    <t>14801985</t>
  </si>
  <si>
    <t>ЦБУ №537 ОАО "Белинвестбанк" в г.Минске, ул.Могилевская, д.5</t>
  </si>
  <si>
    <t>220007, г.Минск, ул.Авакяна, 19, пом.198, к.1</t>
  </si>
  <si>
    <t>Мусин Р.Р.</t>
  </si>
  <si>
    <t>т.ф. 2205004</t>
  </si>
  <si>
    <t>ООО "Центр экологического инжиниринга и нормирования"</t>
  </si>
  <si>
    <t>378775255000</t>
  </si>
  <si>
    <t>в ОАО "Приорбанк" ЦБУ 115, г.Минск, ул.Кропоткина,д.91</t>
  </si>
  <si>
    <t>220088, г.Минск, ул.Первомайская, д.24/2, офис 120</t>
  </si>
  <si>
    <t>Дражденюк И. А.</t>
  </si>
  <si>
    <t>295074296000</t>
  </si>
  <si>
    <t>Минский р-н, пос.Привольный, ул.Мира,д.12,ком.31а</t>
  </si>
  <si>
    <t>Ядков Е.Д..</t>
  </si>
  <si>
    <t>(029)133-87-79</t>
  </si>
  <si>
    <t>14545507</t>
  </si>
  <si>
    <t>в ОАО "Банк Москва-Минск",г.Минск</t>
  </si>
  <si>
    <t>Шевчик А.И.</t>
  </si>
  <si>
    <t>Устава, договор б/н от 22.06.2015г.</t>
  </si>
  <si>
    <t>г.Минск, ул.Мичурина д.3,эт 3</t>
  </si>
  <si>
    <t>т/ф 345-75-88 (94)</t>
  </si>
  <si>
    <t>301970696000</t>
  </si>
  <si>
    <t>Дубень Д.А.</t>
  </si>
  <si>
    <t>ЗАО "Банк Москва-Минск", г.Минск,улКоммунистическая,д.49,пом.1</t>
  </si>
  <si>
    <t>222219, Минская обл,Смолевичский р-н,Озерицко-Слободской с/с,д.6/1вблизи д.Домашаны,ком.1А</t>
  </si>
  <si>
    <t>т/ф 513-24-17,8029-372-38-21,8029(344-54-54</t>
  </si>
  <si>
    <t>Унитарное предприятие "ВЕЛКОМ"</t>
  </si>
  <si>
    <t>37522963</t>
  </si>
  <si>
    <r>
      <t>"</t>
    </r>
    <r>
      <rPr>
        <sz val="8"/>
        <rFont val="Arial Cyr"/>
        <charset val="204"/>
      </rPr>
      <t>Приорбанк" ОАО ЦБУ 115,г. Минск</t>
    </r>
  </si>
  <si>
    <t>нач. управления</t>
  </si>
  <si>
    <t>220030, г. Минскул. Интернациональная, 36-2</t>
  </si>
  <si>
    <t>Палещук П.В.</t>
  </si>
  <si>
    <t>Доверенности №2-2010 от 05.01.2010</t>
  </si>
  <si>
    <t>вел. 6151773</t>
  </si>
  <si>
    <t>Зам.Директора по транспорту</t>
  </si>
  <si>
    <t>Доверености №102 от 03,09,2016г.</t>
  </si>
  <si>
    <t>500-66-00,501-06-20</t>
  </si>
  <si>
    <t>в ЗАО "МТБанк" г. Минск.</t>
  </si>
  <si>
    <t>220015,г.Минск,ул.Одоевского 115а, пом.273, к-та3.</t>
  </si>
  <si>
    <t>Ждан И.В.</t>
  </si>
  <si>
    <t>31,03,2017г.</t>
  </si>
  <si>
    <t>ИУП "ШУЛЬЦИНТЕРНАЦИОНАЛЬ"</t>
  </si>
  <si>
    <t>Иностранное общество с ограниченной ответственностью "Ю-строй"</t>
  </si>
  <si>
    <t>210/377</t>
  </si>
  <si>
    <t>210/450</t>
  </si>
  <si>
    <t>ООО "ТехПромМонтаж-Сервис"</t>
  </si>
  <si>
    <t>210/167</t>
  </si>
  <si>
    <t>210/74</t>
  </si>
  <si>
    <t>210/65</t>
  </si>
  <si>
    <t>ОДО "Белпромстрой"</t>
  </si>
  <si>
    <t>ООО "Теплотерра"</t>
  </si>
  <si>
    <t>ООО"РИТМ ВЕКА"</t>
  </si>
  <si>
    <t>ООО "НПП ЭнергоНефтеХим"</t>
  </si>
  <si>
    <t>210/112</t>
  </si>
  <si>
    <t>ЧТТУП "ОрионТопТранс"</t>
  </si>
  <si>
    <t>210/730</t>
  </si>
  <si>
    <t>210/415</t>
  </si>
  <si>
    <t>ИП "Холодинтернешнл Плюс"</t>
  </si>
  <si>
    <t>210/108</t>
  </si>
  <si>
    <t>210/679</t>
  </si>
  <si>
    <t>210/573</t>
  </si>
  <si>
    <t>210/736</t>
  </si>
  <si>
    <t>210/385</t>
  </si>
  <si>
    <t>210/892</t>
  </si>
  <si>
    <t>ООО "ЭНДОТРАНС"</t>
  </si>
  <si>
    <t>210/187</t>
  </si>
  <si>
    <t>210/812</t>
  </si>
  <si>
    <t>210/387</t>
  </si>
  <si>
    <t>Ассоциация "БЕЛАСДОР"</t>
  </si>
  <si>
    <t>КУП "Минскоблдорстрой" - "ДРСУ №735"</t>
  </si>
  <si>
    <t>ООО "Мовик-строй"</t>
  </si>
  <si>
    <t>210/117</t>
  </si>
  <si>
    <t>210/180</t>
  </si>
  <si>
    <t>210/719</t>
  </si>
  <si>
    <t>Начальник ДС №210</t>
  </si>
  <si>
    <t>Доверенности №126-д от 18.12.2010г.</t>
  </si>
  <si>
    <t>т/ф 285-65-96, 285-78-80</t>
  </si>
  <si>
    <t>ЗАО "БСБ-Банк", г. Минск, пр-т Победителей, 23</t>
  </si>
  <si>
    <t>220002, г.Минск, ул.Сторожевская, 8, ком.4</t>
  </si>
  <si>
    <t>Табольский Н.Э.</t>
  </si>
  <si>
    <t>ООО "ОП НИИ ПКД"</t>
  </si>
  <si>
    <t>ОАО "Приорбанк" ЦБУ 100, г.Минск, ул.Радиальная, 38А</t>
  </si>
  <si>
    <t>220026, г.Минск, ул.Бехтерева, 7, комн.216</t>
  </si>
  <si>
    <t>т.ф.294-95-97, 294-95-95</t>
  </si>
  <si>
    <t>ООО "Эмсе групп"</t>
  </si>
  <si>
    <t>380490905000</t>
  </si>
  <si>
    <t>3012101120007</t>
  </si>
  <si>
    <t>в ОАО "Банк БэлВЭБ" РКЦ "Луч"</t>
  </si>
  <si>
    <t>220138,г.Минск.ул.Геологическая,59,кор.3,общежитие 1</t>
  </si>
  <si>
    <t>Семенюк М.В.</t>
  </si>
  <si>
    <t>т/ф 287-57-56</t>
  </si>
  <si>
    <t>ЦБУ 114 ОАО "Приорбанк", г.Минск, ул. Трудовая, 10</t>
  </si>
  <si>
    <t>220073, РБ, г.Минск, ул. Ольшевского, д.10, к.601</t>
  </si>
  <si>
    <t>Коробка Е.В.</t>
  </si>
  <si>
    <t>тел/факс (017) 2014480, 2014495</t>
  </si>
  <si>
    <t>т.ф. 5-101-101 факс 5-101-105</t>
  </si>
  <si>
    <t>37423333</t>
  </si>
  <si>
    <t>Минское отделение 2, ОАО БелВЭБ"</t>
  </si>
  <si>
    <t>Минский р-н, пос.Ждановичи,ул.Линейная,3А</t>
  </si>
  <si>
    <t>Полывян И.А.</t>
  </si>
  <si>
    <t>613-39-38(вел.)</t>
  </si>
  <si>
    <t>ООО "ТрансАвтоСурВит"</t>
  </si>
  <si>
    <t>3012029317017</t>
  </si>
  <si>
    <t>ОАО "Приорбанк" г.Минск, ул.В.Хоружей, 31А</t>
  </si>
  <si>
    <t>Байкова В.А.</t>
  </si>
  <si>
    <t>т.ф.336-41-66</t>
  </si>
  <si>
    <t>223216, Минская обл, Червенский р-н, г.п. Смиловичи, ул.М.Горького д.4, ком.5</t>
  </si>
  <si>
    <t>14560895</t>
  </si>
  <si>
    <t>ф-л 500-Минское упр. ОАО"АСБ Беларусбанк",г.Минск,пр. Держинккого 69/1</t>
  </si>
  <si>
    <t>Минская обл., Минский р-н,пос. Привольный,ул. Мира 22,  к. 1</t>
  </si>
  <si>
    <t>Блин С,В.</t>
  </si>
  <si>
    <t>29119106000</t>
  </si>
  <si>
    <t>ЦБУ №605 ф-ла №500-Минского управления ОАО АСБ "Беларусбанк",г.Воложин</t>
  </si>
  <si>
    <t>222365,Минская обл.,Воложинский р-н,д.Раков,ул.Советская,9а</t>
  </si>
  <si>
    <t>Радкевич В.В.</t>
  </si>
  <si>
    <t>801772 52-3-66</t>
  </si>
  <si>
    <t>304552646000</t>
  </si>
  <si>
    <t>222001,Минская обл,г.Крупки,ул.Ленинская,д.17,ком.4</t>
  </si>
  <si>
    <t>Горбунов А.А.</t>
  </si>
  <si>
    <t>8029-104-08-88,8029-776-26-99,8029-112-18-00</t>
  </si>
  <si>
    <t>Унитарное предприятие   " Неотрейд логистик"</t>
  </si>
  <si>
    <t>37398598</t>
  </si>
  <si>
    <t>ОАО "Приорбанк"ЦБУ 100</t>
  </si>
  <si>
    <t>220026,г.Минск,ул.Социалистическая,26-30</t>
  </si>
  <si>
    <t>С.Е. Серикова</t>
  </si>
  <si>
    <t>т/ф3103946,(029)6963092</t>
  </si>
  <si>
    <t>в ЗАО "БСБ Банк",РКЦ №9,г.Минск</t>
  </si>
  <si>
    <t>220028,г.Минск,ул.Маяковского,115,оф.502</t>
  </si>
  <si>
    <t>Рудаковский Л.И.</t>
  </si>
  <si>
    <t>т/ф 316-58-89,301-12-47,320-11-32,276-36-91,393-42-24</t>
  </si>
  <si>
    <t>ООО "ГрузЛихт"</t>
  </si>
  <si>
    <t>30128576919</t>
  </si>
  <si>
    <t>в ООО "Паритетбанк",г.Минск</t>
  </si>
  <si>
    <t>Минская обл.,Логойский р-н .д.Ковалевщина,ООО ПТБ "Чистый двор",пом.4</t>
  </si>
  <si>
    <t>Грудз Е.Р</t>
  </si>
  <si>
    <t>8029-636-51-06</t>
  </si>
  <si>
    <t>в ЦБУ №539 ОАО "Белинвестбанк",г.Минск,ул.Коллекторная,11</t>
  </si>
  <si>
    <t>Зам. Начальника управления</t>
  </si>
  <si>
    <t>220037,г.Минск.ул.Козлова,26/8</t>
  </si>
  <si>
    <t>283-68-63,т/ф 294-=67-49</t>
  </si>
  <si>
    <t>Станишевский В.В.</t>
  </si>
  <si>
    <t>Доверенности №47/20-04/325 от 10,02,2017г.</t>
  </si>
  <si>
    <t>28616524</t>
  </si>
  <si>
    <t>31,05,2017г.</t>
  </si>
  <si>
    <t>г.Минск,проезд Подшибниковый,9,пом.4/7</t>
  </si>
  <si>
    <t>г.Минск,проезд Подшибниковый,9.пом.4/7</t>
  </si>
  <si>
    <t>03371613</t>
  </si>
  <si>
    <t>отд. №535 г.Минск ОАО "Белинвестбанк"</t>
  </si>
  <si>
    <t>220006 г.Минск, ул.Полевая,24</t>
  </si>
  <si>
    <t>Строк Н.Н.</t>
  </si>
  <si>
    <t>28 июня2017</t>
  </si>
  <si>
    <t>220066 г.Минск ул.Ташкенская,40</t>
  </si>
  <si>
    <t>Киселев С.С.</t>
  </si>
  <si>
    <t>ОАО "БПС-Сбербанк"  ЦБУ №704,г.Минск</t>
  </si>
  <si>
    <t>т/Ф.3416277,341-62-86</t>
  </si>
  <si>
    <t>в ОАО АСБ "Беларусбанк",г.Волковыск</t>
  </si>
  <si>
    <t>231800,г.Слоним,ул.Барановичская,41/1</t>
  </si>
  <si>
    <t>Столбунов А.Н.</t>
  </si>
  <si>
    <t>0829-377-23-64</t>
  </si>
  <si>
    <t>ООО "УНИСПЕКТРУМ"</t>
  </si>
  <si>
    <t>3012008769003</t>
  </si>
  <si>
    <t>2200024,г.Минск,ул.Бабушкина 54-415</t>
  </si>
  <si>
    <t>Белый Г.П.</t>
  </si>
  <si>
    <t>8029-368-64-21</t>
  </si>
  <si>
    <t>ЗАО "БелСвисБанк" ,г.Минск</t>
  </si>
  <si>
    <t>ОДО "Вибробетон"</t>
  </si>
  <si>
    <t>377126755</t>
  </si>
  <si>
    <t>в ЗАО "МТБанк"г.Минск,,пр-т Партизанский,6а</t>
  </si>
  <si>
    <t>223034,г.Заславль,ул.Загородная,1</t>
  </si>
  <si>
    <t>Крутолевич С.Н.</t>
  </si>
  <si>
    <t>т/ф 544-28-05,541-06-70 ,510-29-58</t>
  </si>
  <si>
    <t>ООО "Территория бетона"</t>
  </si>
  <si>
    <t>3012455930023</t>
  </si>
  <si>
    <t>в ЦБУ 500 ОАО "Белинвестбанк",г.Минск</t>
  </si>
  <si>
    <t>Пивоварчик Е.А.</t>
  </si>
  <si>
    <t>8029-115-01-44,8029-664-25-85</t>
  </si>
  <si>
    <t>223034,Минская обл.,Минский р-н,г.Заславль,ул.Советская,д.133,оф.5</t>
  </si>
  <si>
    <t>3012114040007</t>
  </si>
  <si>
    <t>ЗАО "БСБ банк" г.Минск, пр.Победителей, 23, корп.3</t>
  </si>
  <si>
    <t>д.Михановичи, Минский р-н, эдание ООО "Гуртовня" комн. 10/30</t>
  </si>
  <si>
    <t>Мемус С.С.</t>
  </si>
  <si>
    <t>т.ф. 389-72-96</t>
  </si>
  <si>
    <t>29 июня2017</t>
  </si>
  <si>
    <t>РКЦ №7, ЗАО "Белсвиссбанк"</t>
  </si>
  <si>
    <t>223040, РБ, Минск. Обл., п. Лесной, ул. Фабричная, д. 2а, пом. 5/1</t>
  </si>
  <si>
    <t>Ланденок О.В.</t>
  </si>
  <si>
    <t>т.ф. 242-50-93, т.моб. 650-95-84</t>
  </si>
  <si>
    <t>01 июля 2017</t>
  </si>
  <si>
    <t>BY73TECN30120119600000000000</t>
  </si>
  <si>
    <t>в ОАО "Технобанк", г.Минск, 220002, ул.Кропоткина,44</t>
  </si>
  <si>
    <t>TECNBY22</t>
  </si>
  <si>
    <t>г.Минск,пер.Войсковой,12-30</t>
  </si>
  <si>
    <t>Рингель Л.З.</t>
  </si>
  <si>
    <t>6998393(вел),т/ф 283-19-05,283-19-06</t>
  </si>
  <si>
    <t>02 июля 2017</t>
  </si>
  <si>
    <t>BY76BLBB30120100301806001001</t>
  </si>
  <si>
    <t>BLBBBY2X</t>
  </si>
  <si>
    <t>2236321 мех.участок,235-05-27 т/ф 285-18-32</t>
  </si>
  <si>
    <t>BY22PJCB30120224241000000933</t>
  </si>
  <si>
    <t>PJCBBY2X</t>
  </si>
  <si>
    <t>100008077 код ф-ла 9003</t>
  </si>
  <si>
    <t>BY39AKBB30124520150146600000</t>
  </si>
  <si>
    <t>AKBBBY21633</t>
  </si>
  <si>
    <t>ЦБУ №615 ф-ла №633 ОАО АСБ"Беларусбанк"</t>
  </si>
  <si>
    <t>т/ф 8-01795-2-76-52,2-76-53,2-76-38</t>
  </si>
  <si>
    <t>BY39PJCB30120031881000000933</t>
  </si>
  <si>
    <t>BY38AKBB30120028950075600000</t>
  </si>
  <si>
    <t>AKBBBY21614</t>
  </si>
  <si>
    <t>в ОАО "АСБ Беларусбанк" ф-л №614,г.Минск</t>
  </si>
  <si>
    <t>BY46BELB30120050360080226000</t>
  </si>
  <si>
    <t>BELBBY2X</t>
  </si>
  <si>
    <t>ОАО "Банк БелВЭБ", ЦБУ "Колядичи"</t>
  </si>
  <si>
    <t>т/ф 391-14-89,391-14-91</t>
  </si>
  <si>
    <t>BY71OLMP30120000455230000933</t>
  </si>
  <si>
    <t>OLMPBY2X</t>
  </si>
  <si>
    <t>т/ф 229-94-00,229-94-11</t>
  </si>
  <si>
    <t>ОАО "Банк БелВЭБ" Минское отделение 2, 220004, г.Минска, пр. Победителей, 29</t>
  </si>
  <si>
    <t>BY24BELB30120000760050226000</t>
  </si>
  <si>
    <t>т/ф 267 37 11 .267-11-37</t>
  </si>
  <si>
    <t>BY94OLMP30120000686980000933</t>
  </si>
  <si>
    <t>BY03BPSB30121052530139330000</t>
  </si>
  <si>
    <t>BPSBBY2X</t>
  </si>
  <si>
    <t>BY88POIS30120021810301933002</t>
  </si>
  <si>
    <t>POISBY2X</t>
  </si>
  <si>
    <t>BY67BPSB30121079640109330000</t>
  </si>
  <si>
    <t>BY96MTBK30120001093300061012</t>
  </si>
  <si>
    <t>MTBKBY22</t>
  </si>
  <si>
    <t>BY25UNBS30120003500030000933</t>
  </si>
  <si>
    <t>UNBSBY2X</t>
  </si>
  <si>
    <t>BY90RSHN30126821400100000000</t>
  </si>
  <si>
    <t>RSHNBY2X</t>
  </si>
  <si>
    <t>03419538</t>
  </si>
  <si>
    <t>в ЦБУ №705 ОАО "БПС-Сбербанк",г.Минск, ул.О.Кошевого,9</t>
  </si>
  <si>
    <t>г.Минск, ул.Селицкого.21/1</t>
  </si>
  <si>
    <t>Салей В.А.</t>
  </si>
  <si>
    <t>т.344-21-12,344-26-46</t>
  </si>
  <si>
    <t>05 июля 2017</t>
  </si>
  <si>
    <t>Частное предприятие"СТАРБУСТРЭВЕЛ"</t>
  </si>
  <si>
    <t>BY44PJCB30120284221000000933</t>
  </si>
  <si>
    <t>37602863</t>
  </si>
  <si>
    <t>220138, г. Минск, ул. Карвата, д.75, пом. 2</t>
  </si>
  <si>
    <t>Щуро А.Л.</t>
  </si>
  <si>
    <t>290-53-04(05)</t>
  </si>
  <si>
    <t>в РКЦ "ЛУЧ" ОАО "Банк БелВЭБ",г.Минск</t>
  </si>
  <si>
    <t>BY35BELB30121065610070226000</t>
  </si>
  <si>
    <t>06 июля 2017</t>
  </si>
  <si>
    <t>BLNBBY2X</t>
  </si>
  <si>
    <t>BY04BLNB30120000013560003643</t>
  </si>
  <si>
    <t>в ОАО "Белорусский Национальный Банк",г.Минск</t>
  </si>
  <si>
    <t>220030,г.Минск,ул.Октябрьская,19,ком.4</t>
  </si>
  <si>
    <t>Хачатрян Р.С.</t>
  </si>
  <si>
    <t>т/ф 327-20-27,(044)599-28-17 Алексей</t>
  </si>
  <si>
    <t>BY12BLNB30120000008047000933</t>
  </si>
  <si>
    <t>УП "СТАРТ"</t>
  </si>
  <si>
    <t>00966843</t>
  </si>
  <si>
    <t>BY17BPSB30121022270139330000</t>
  </si>
  <si>
    <t>ЦБУ №706 ОАО "БПС-Ббербанк",г.Минск</t>
  </si>
  <si>
    <t>220075,г.Минск,ул.Селицкого,27,к.1,ком.204</t>
  </si>
  <si>
    <t>Слепченко В.И.</t>
  </si>
  <si>
    <t>345-87-98</t>
  </si>
  <si>
    <t>ЦБУ №7 ЗАО "АКБ "Белросбанк",г.Минск,ул.Красная,7</t>
  </si>
  <si>
    <t>223043,Минский р-н,агрогородок Большевик,ул.Промышленная,д.3,каб.43</t>
  </si>
  <si>
    <t>Лагун Н.Е.</t>
  </si>
  <si>
    <t>т/ф 327-36-83,(029) 684-76-12</t>
  </si>
  <si>
    <t>07 июля 2017</t>
  </si>
  <si>
    <t>ООО "Транспортный полюс"</t>
  </si>
  <si>
    <t>BY05BELB30120075630030226000</t>
  </si>
  <si>
    <t>220036,г.Минск,ул.Карла Либкнехта,д.68,оф.806</t>
  </si>
  <si>
    <t>Неделько Р.С</t>
  </si>
  <si>
    <t>т/ф 286-18-42,390-05-97(98)</t>
  </si>
  <si>
    <t>Благотворительный фонд помощи воинам интернационалистам "Память Афгана"</t>
  </si>
  <si>
    <t>37568296</t>
  </si>
  <si>
    <t>BY72PJCB30150361601000000933</t>
  </si>
  <si>
    <t>ЦБУ 102 ОАО "Приорбанк",г.Минск</t>
  </si>
  <si>
    <t>Метла А.М.</t>
  </si>
  <si>
    <t>8017-512-13-31</t>
  </si>
  <si>
    <t>Минская обл.,Минский р-н,Лошанский с/с,Р28.31 км.1</t>
  </si>
  <si>
    <t>BY91PJCB30120101431000000933</t>
  </si>
  <si>
    <t>BY95AKBB30120199000815200000</t>
  </si>
  <si>
    <t>AKBBBY21511</t>
  </si>
  <si>
    <t>BY53PJCB30120243151000000933</t>
  </si>
  <si>
    <t>ООО "БЕЛСОТРА"</t>
  </si>
  <si>
    <t>BY10BLBB30120100049068001001</t>
  </si>
  <si>
    <t>Дирекции ОАО "Белинвестбанк" по  г.Минску и Минской области по адресу: г.Минск, ул.Коллекторная, 11</t>
  </si>
  <si>
    <t>РБ, 220100, г.Минск, ул.Кульман, 21А</t>
  </si>
  <si>
    <t>Герасимович А.Н.</t>
  </si>
  <si>
    <t>т.ф. 217-46-21</t>
  </si>
  <si>
    <t>12 июля 2017</t>
  </si>
  <si>
    <t>Государственное Зрелищное Учреждение "БЕЛОРУССКИЙ ГОСУДАРСТВЕННЫЙ ЦИРК"</t>
  </si>
  <si>
    <t>02174201</t>
  </si>
  <si>
    <t>АСБ "Беларусбанк", Филиал 510, г.Минск, ул.Куйбышева, 18</t>
  </si>
  <si>
    <t>220030, г.Минск, пр-т Независимости, 32</t>
  </si>
  <si>
    <t>т.ф. 226-17-84</t>
  </si>
  <si>
    <t>AKBBBY21510</t>
  </si>
  <si>
    <t>BY26AKBB30120000087685100000</t>
  </si>
  <si>
    <t>Зам.Директора</t>
  </si>
  <si>
    <t>Босякова О.М.</t>
  </si>
  <si>
    <t>Доверенности №22 от 22.04.2017г.</t>
  </si>
  <si>
    <t>BY73AKBB30126019400075400000</t>
  </si>
  <si>
    <t>AKBBY21527</t>
  </si>
  <si>
    <t>СЗАО "АГРОЛИНК"</t>
  </si>
  <si>
    <t>BY68SLAN30124765800120000000</t>
  </si>
  <si>
    <t xml:space="preserve">в Региональной дирекции №200 ЗАО "Банк ВТБ" </t>
  </si>
  <si>
    <t>SLANBY22</t>
  </si>
  <si>
    <t>213320.Могилевская обл, г.Быхов, пер.Авиационный,1</t>
  </si>
  <si>
    <t>Захаревич А.Я.</t>
  </si>
  <si>
    <t>т.ф. 80223157451</t>
  </si>
  <si>
    <t>37669821</t>
  </si>
  <si>
    <t>отд.№526 ОАО "Белинвестбанк" г. Минск</t>
  </si>
  <si>
    <t>223141 г. Логойск, ул. Победы,102 к.1</t>
  </si>
  <si>
    <t>Д.Н. Борушко</t>
  </si>
  <si>
    <t>268 56 97т\ф</t>
  </si>
  <si>
    <t>13 июля 2017</t>
  </si>
  <si>
    <t>BY81POIS30120021178401933001</t>
  </si>
  <si>
    <t>ОАО "Паритетбанк" 220013, г.Минск, пр.Независимости, 77</t>
  </si>
  <si>
    <t>г.Минск, ул.Уручская, 27</t>
  </si>
  <si>
    <t>Игнатович А.В.</t>
  </si>
  <si>
    <t>доверенности №56 от 27.09.2016г.</t>
  </si>
  <si>
    <t>Главного инженера</t>
  </si>
  <si>
    <t>РУП "ТОРГОВЫЙ ДОМ ВОСТОЧНЫЙ"</t>
  </si>
  <si>
    <t>BY17PJCB30120103821000000933</t>
  </si>
  <si>
    <t>BY76MMBN30120339500109330000</t>
  </si>
  <si>
    <t>MMBNBY22</t>
  </si>
  <si>
    <t xml:space="preserve">3.1. Тарифы на работы (услуги) по проведению гостехосмотра устанавливаются согласно прейскуранту, утверждаемому Исполнителем, и действующему на день выполнения работ (оказания услуг). В случае изменения тарифов на момент выполнения работ (оказания услуг) Заказчик обязан по требованию Исполнителя доплатить разницу в их стоимости.
Общая стоимость работ (услуг) определяется исходя из действующих тарифов, количества представляемых ТС и их категории.
3.2. Если при проведении гостехосмотра установлены несоответствия ТС требованиям технических нормативных правовых актов, то повторное проведение гостехосмотра проводится не позднее 20 календарных дней. При этом стоимость работ определяется по тарифам на отдельные виды контрольно-диагностических работ.
</t>
  </si>
  <si>
    <t>37628940</t>
  </si>
  <si>
    <t>АСБ "Беларусбанк",ул.Ангарская,40</t>
  </si>
  <si>
    <t>220118 г.Минск ул.Машиностроителей,15</t>
  </si>
  <si>
    <t>доверенности от 25.05.2009г. №116</t>
  </si>
  <si>
    <t>т/ф 341-71-55</t>
  </si>
  <si>
    <t>Дановский В.И.</t>
  </si>
  <si>
    <t>191409119</t>
  </si>
  <si>
    <t>в Рег.Дир. №200 ОАО "БПС-Сбербанк",г.Витебск,ул.Ленина,26/2</t>
  </si>
  <si>
    <t>220006,г.Минск,ул.Маяковского.д.15,кв.41</t>
  </si>
  <si>
    <t>Космачев В.А.</t>
  </si>
  <si>
    <t>8029-619-22-04</t>
  </si>
  <si>
    <t>ООО "МосВикТранс"</t>
  </si>
  <si>
    <t>377654015000</t>
  </si>
  <si>
    <t>ЗАО "МТБанк" ЦБУ №5 г.Минск, пр.Партизанский, 6А</t>
  </si>
  <si>
    <t>220019, г.Минск, ул.Скрыпникова, д.16, ком. 11 А</t>
  </si>
  <si>
    <t>Мосол В.А.</t>
  </si>
  <si>
    <t>т.ф. 206-99-11</t>
  </si>
  <si>
    <t>01796679</t>
  </si>
  <si>
    <t>РКЦ №10 в г..Червень отд. ОАО "Белагропромбанк",г.Марьина Горка,г.Червень,ул.Луначарского,29</t>
  </si>
  <si>
    <t>председатель</t>
  </si>
  <si>
    <t>223210,г.Червень,ул.Ленинская,32</t>
  </si>
  <si>
    <t>Вераксо С.В.</t>
  </si>
  <si>
    <t>т/ф 55567,55882</t>
  </si>
  <si>
    <t>378254975000</t>
  </si>
  <si>
    <t>220015.ул.Пономаренко,д.35А,пом.108</t>
  </si>
  <si>
    <t>Волколовский И.С.</t>
  </si>
  <si>
    <t>ЧТЭУП "АДМ Логистик"</t>
  </si>
  <si>
    <t>202-76-19,380-30-72,8029-176-72-10 -Игорь</t>
  </si>
  <si>
    <t>в ОАО"Банк Москва-Минск",г.Минск,ул.Коммунистическая,49/1</t>
  </si>
  <si>
    <t>220007, г.Минск, ул.Бакинская, 16-144а.</t>
  </si>
  <si>
    <t>Медведьев И.В.</t>
  </si>
  <si>
    <t>т.ф. 256-04-60, 222-54-62</t>
  </si>
  <si>
    <t>в Дополнительном офисе №701 на Чкалова Рег.Дир.№700 по Минску иМинской обл. ОАО "БПС-СберБанк" г.Минск</t>
  </si>
  <si>
    <t>210/137</t>
  </si>
  <si>
    <t>ЦБУ №527 ОАО "Белинвестбанк",г.Минск</t>
  </si>
  <si>
    <t>220075,г.Минск,пр-т Партизанский,178/2,пом.38</t>
  </si>
  <si>
    <t>Новочадов В.В.</t>
  </si>
  <si>
    <t>т.330-52-03</t>
  </si>
  <si>
    <t>37571542</t>
  </si>
  <si>
    <t>38000474500</t>
  </si>
  <si>
    <t>в ОАО "Белинвестбанк", отд. №521, г.Минск, ул.Филатова,12</t>
  </si>
  <si>
    <t>220116, г.Минск, пр-т Дзежинского, 104-1101</t>
  </si>
  <si>
    <t>Окшесяк А.С.</t>
  </si>
  <si>
    <t>т. 271-23-88, 271-37-83, 8-029-6404413</t>
  </si>
  <si>
    <t>Иностранное унитарное предприятие "Еврокран"</t>
  </si>
  <si>
    <t>в ОАО "Приторбанк" ЦБУ-113,г.Минск</t>
  </si>
  <si>
    <t>223141,Минская обл..г.Логойск,ул.Победы,д.102,ком.201-С</t>
  </si>
  <si>
    <t>Соболь А.А.</t>
  </si>
  <si>
    <t xml:space="preserve">8044-781-70-07 </t>
  </si>
  <si>
    <t>00024795000</t>
  </si>
  <si>
    <t>АСБ "Беларусбанк",г.Минск</t>
  </si>
  <si>
    <t>г.Минск, ул.Платонова,41</t>
  </si>
  <si>
    <t xml:space="preserve">Ген.директора </t>
  </si>
  <si>
    <t>Ильющенко А.Ф</t>
  </si>
  <si>
    <t>290-04-83</t>
  </si>
  <si>
    <t>ГОПЕРУ ОАО "Белинвестбанк",г. Минск, пр. Машерова, 29</t>
  </si>
  <si>
    <t>220075,г. Минск ул. Промышленная,8А</t>
  </si>
  <si>
    <t>Ю.В. Вислоус</t>
  </si>
  <si>
    <t>299 65 47,299 65 44</t>
  </si>
  <si>
    <t>ЧТУП "Домит"</t>
  </si>
  <si>
    <t>ОАО "Белагропромбанк" г.Минск</t>
  </si>
  <si>
    <t>223027, Минский р-н, д.Королев Стан, ул.Школьная, 36Б, каб.303</t>
  </si>
  <si>
    <t>В.И.Бакунович</t>
  </si>
  <si>
    <t>т.8017511-50-27</t>
  </si>
  <si>
    <t>УНИТАРНОЕ ПРЕДПРИЯТИЕ ПО ОКАЗАНИЮ УСЛУГ "ДЕТСКИЕ ПУТЕШЕСТВИЯ"</t>
  </si>
  <si>
    <t>ось 1</t>
  </si>
  <si>
    <t>ЧТУП "Юнитэйп сервис"</t>
  </si>
  <si>
    <t>Тип транспортного средства</t>
  </si>
  <si>
    <t>Тариф без НДС</t>
  </si>
  <si>
    <t xml:space="preserve">                                 </t>
  </si>
  <si>
    <t>ООО "Вилэр"</t>
  </si>
  <si>
    <t>210/889</t>
  </si>
  <si>
    <t>ООО "Стройвест-гср"</t>
  </si>
  <si>
    <t>Иностранное унитарное предприятие"Соудал"</t>
  </si>
  <si>
    <t>ЗАО "СПОРТМЕДСИСТЕМ"</t>
  </si>
  <si>
    <t>ООО "Еврозапчасть"</t>
  </si>
  <si>
    <t>ЗАО "Вольна"</t>
  </si>
  <si>
    <t>Без НДС</t>
  </si>
  <si>
    <t>210/881</t>
  </si>
  <si>
    <t>ГУ "Червенская СДЮШОР"</t>
  </si>
  <si>
    <t>ООО "МАРМЕЛАДЕ ТРАНС"</t>
  </si>
  <si>
    <t>210/630</t>
  </si>
  <si>
    <t>ООО "АДАЛИН-М"</t>
  </si>
  <si>
    <t>ЧТУП "БИЗНЕС-БЕТОН"</t>
  </si>
  <si>
    <t>210/427</t>
  </si>
  <si>
    <t>ООО "К-спейс"</t>
  </si>
  <si>
    <t>ООО "АЛИСТЭЙ"</t>
  </si>
  <si>
    <t>ООО "Эконом Энерго Снаб"</t>
  </si>
  <si>
    <t>210/622</t>
  </si>
  <si>
    <t>ИСПОЛНИТЕЛЬ:</t>
  </si>
  <si>
    <t>210/499</t>
  </si>
  <si>
    <t>Сумма с НДС, руб.</t>
  </si>
  <si>
    <t>210/742</t>
  </si>
  <si>
    <t>РУП "КРИПТОТЕХ" Гознака</t>
  </si>
  <si>
    <t>ООО "ЯНКОМТРАНС"</t>
  </si>
  <si>
    <t>Лицензия</t>
  </si>
  <si>
    <t>210/40</t>
  </si>
  <si>
    <t>210/831</t>
  </si>
  <si>
    <t>210/47</t>
  </si>
  <si>
    <t>ЧУП "АРТИОЛ"</t>
  </si>
  <si>
    <t>ПЧУП ТКАТОН</t>
  </si>
  <si>
    <t>ООО "Профимоторс"</t>
  </si>
  <si>
    <t>С.А. Булатовский</t>
  </si>
  <si>
    <t>от</t>
  </si>
  <si>
    <t>210/403</t>
  </si>
  <si>
    <t>210/207</t>
  </si>
  <si>
    <t>ООО "СТАНКОМАШ КОМПЛЕКС"</t>
  </si>
  <si>
    <t>Прицеп или полуприцеп с технически допустимой общей массой более 10 тонн</t>
  </si>
  <si>
    <t>М.П.</t>
  </si>
  <si>
    <t>ООО "КРАНТЕХНИКА"</t>
  </si>
  <si>
    <t>210/548</t>
  </si>
  <si>
    <t>ООО "СЛАВФУД"</t>
  </si>
  <si>
    <t>Сумма с НДС прописью:</t>
  </si>
  <si>
    <t>210/417</t>
  </si>
  <si>
    <t>ЗАО "Корэкс"</t>
  </si>
  <si>
    <t>ЧТУП "Олвит-с"</t>
  </si>
  <si>
    <t>Минский филиал ГП "Миноблтопливо"</t>
  </si>
  <si>
    <t>210/324</t>
  </si>
  <si>
    <t>СООО "Белтрансвейс"</t>
  </si>
  <si>
    <t>ООО "Мирный центр"</t>
  </si>
  <si>
    <t>210/878</t>
  </si>
  <si>
    <t>210/756</t>
  </si>
  <si>
    <t>210/235</t>
  </si>
  <si>
    <t xml:space="preserve"> т/ф 8017-76 63-4-82</t>
  </si>
  <si>
    <t>BY53BPSB3012153951019330000</t>
  </si>
  <si>
    <t>BY10BLBB30120190634264001001</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</si>
</sst>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_-* #,##0.00_р_._-;\-* #,##0.00_р_._-;_-* &quot;-&quot;??_р_._-;_-@_-"/>
    <numFmt numFmtId="165" formatCode="[$-F800]dddd\,\ mmmm\ dd\,\ yyyy"/>
    <numFmt numFmtId="166" formatCode="0000\-000000\-000"/>
    <numFmt numFmtId="167" formatCode="00000"/>
    <numFmt numFmtId="168" formatCode="000000"/>
    <numFmt numFmtId="169" formatCode="[$-FC19]dd\ mmmm\ yyyy\ \г\.;@"/>
    <numFmt numFmtId="170" formatCode="0.00_)"/>
    <numFmt numFmtId="171" formatCode="00"/>
    <numFmt numFmtId="172" formatCode="&quot;№ &quot;"/>
    <numFmt numFmtId="173" formatCode="d\ mmmm\,\ yyyy"/>
    <numFmt numFmtId="174" formatCode="[=0]&quot;-&quot;;[&gt;0]0.0%;General"/>
    <numFmt numFmtId="175" formatCode="#,##0.00\ _₽"/>
  </numFmts>
  <fonts count="71" x14ac:knownFonts="1">
    <font>
      <sz val="10"/>
      <name val="Arial Cyr"/>
      <charset val="204"/>
    </font>
    <font>
      <sz val="10"/>
      <name val="Arial Cyr"/>
      <charset val="204"/>
    </font>
    <font>
      <b/>
      <sz val="12"/>
      <name val="Times New Roman"/>
      <family val="1"/>
      <charset val="204"/>
    </font>
    <font>
      <sz val="12"/>
      <name val="Times New Roman"/>
      <family val="1"/>
      <charset val="204"/>
    </font>
    <font>
      <b/>
      <u/>
      <sz val="12"/>
      <name val="Times New Roman"/>
      <family val="1"/>
      <charset val="204"/>
    </font>
    <font>
      <sz val="10"/>
      <name val="Times New Roman"/>
      <family val="1"/>
      <charset val="204"/>
    </font>
    <font>
      <b/>
      <sz val="8"/>
      <color indexed="12"/>
      <name val="Arial CYR"/>
      <family val="2"/>
      <charset val="204"/>
    </font>
    <font>
      <b/>
      <sz val="8"/>
      <color indexed="12"/>
      <name val="Arial"/>
      <family val="2"/>
      <charset val="204"/>
    </font>
    <font>
      <sz val="8"/>
      <name val="Arial Cyr"/>
      <charset val="204"/>
    </font>
    <font>
      <b/>
      <sz val="8"/>
      <name val="Arial CYR"/>
      <family val="2"/>
      <charset val="204"/>
    </font>
    <font>
      <b/>
      <sz val="8"/>
      <name val="Arial"/>
      <family val="2"/>
      <charset val="204"/>
    </font>
    <font>
      <b/>
      <sz val="8"/>
      <color indexed="10"/>
      <name val="Arial CYR"/>
      <family val="2"/>
      <charset val="204"/>
    </font>
    <font>
      <b/>
      <i/>
      <sz val="8"/>
      <color indexed="10"/>
      <name val="Arial Cyr"/>
      <family val="2"/>
      <charset val="204"/>
    </font>
    <font>
      <b/>
      <i/>
      <sz val="8"/>
      <name val="Arial Cyr"/>
      <family val="2"/>
      <charset val="204"/>
    </font>
    <font>
      <b/>
      <i/>
      <sz val="8"/>
      <color indexed="40"/>
      <name val="Arial Cyr"/>
      <family val="2"/>
      <charset val="204"/>
    </font>
    <font>
      <b/>
      <i/>
      <sz val="8"/>
      <color indexed="13"/>
      <name val="Arial Cyr"/>
      <charset val="204"/>
    </font>
    <font>
      <b/>
      <i/>
      <sz val="8"/>
      <color indexed="44"/>
      <name val="Arial Cyr"/>
      <charset val="204"/>
    </font>
    <font>
      <b/>
      <i/>
      <sz val="8"/>
      <color indexed="14"/>
      <name val="Arial Cyr"/>
      <charset val="204"/>
    </font>
    <font>
      <b/>
      <i/>
      <sz val="8"/>
      <color indexed="81"/>
      <name val="Tahoma"/>
      <family val="2"/>
      <charset val="204"/>
    </font>
    <font>
      <sz val="8"/>
      <color indexed="81"/>
      <name val="Tahoma"/>
      <family val="2"/>
      <charset val="204"/>
    </font>
    <font>
      <b/>
      <i/>
      <sz val="10"/>
      <name val="Arial"/>
      <family val="2"/>
      <charset val="204"/>
    </font>
    <font>
      <sz val="12"/>
      <name val="Arial Cyr"/>
      <charset val="204"/>
    </font>
    <font>
      <b/>
      <sz val="8"/>
      <name val="Arial Cyr"/>
      <charset val="204"/>
    </font>
    <font>
      <b/>
      <sz val="10"/>
      <name val="Arial"/>
      <family val="2"/>
      <charset val="204"/>
    </font>
    <font>
      <sz val="10"/>
      <color indexed="18"/>
      <name val="Arial Cyr"/>
      <charset val="204"/>
    </font>
    <font>
      <b/>
      <u/>
      <sz val="10"/>
      <color indexed="18"/>
      <name val="Arial Cyr"/>
      <charset val="204"/>
    </font>
    <font>
      <b/>
      <u/>
      <sz val="10"/>
      <name val="Arial Cyr"/>
      <charset val="204"/>
    </font>
    <font>
      <sz val="10"/>
      <color indexed="9"/>
      <name val="Arial Cyr"/>
      <charset val="204"/>
    </font>
    <font>
      <b/>
      <sz val="8"/>
      <color indexed="81"/>
      <name val="Tahoma"/>
      <family val="2"/>
      <charset val="204"/>
    </font>
    <font>
      <sz val="11"/>
      <name val="Times New Roman"/>
      <family val="1"/>
      <charset val="204"/>
    </font>
    <font>
      <sz val="20"/>
      <color indexed="10"/>
      <name val="Times New Roman"/>
      <family val="1"/>
      <charset val="204"/>
    </font>
    <font>
      <sz val="10"/>
      <name val="Arial"/>
      <family val="2"/>
      <charset val="204"/>
    </font>
    <font>
      <b/>
      <sz val="10"/>
      <name val="Arial"/>
      <family val="2"/>
      <charset val="204"/>
    </font>
    <font>
      <sz val="10"/>
      <color indexed="10"/>
      <name val="Arial Cyr"/>
      <charset val="204"/>
    </font>
    <font>
      <sz val="10"/>
      <color indexed="12"/>
      <name val="Arial"/>
      <family val="2"/>
      <charset val="204"/>
    </font>
    <font>
      <b/>
      <sz val="10"/>
      <name val="Arial Cyr"/>
      <charset val="204"/>
    </font>
    <font>
      <b/>
      <sz val="12"/>
      <name val="Arial Cyr"/>
      <charset val="204"/>
    </font>
    <font>
      <sz val="8"/>
      <name val="Arial"/>
      <family val="2"/>
      <charset val="204"/>
    </font>
    <font>
      <sz val="8"/>
      <color indexed="8"/>
      <name val="Arial"/>
      <family val="2"/>
      <charset val="204"/>
    </font>
    <font>
      <sz val="13"/>
      <name val="Times New Roman"/>
      <family val="1"/>
      <charset val="204"/>
    </font>
    <font>
      <sz val="10"/>
      <color indexed="9"/>
      <name val="Arial"/>
      <family val="2"/>
      <charset val="204"/>
    </font>
    <font>
      <b/>
      <sz val="13"/>
      <name val="Times New Roman"/>
      <family val="1"/>
      <charset val="204"/>
    </font>
    <font>
      <b/>
      <sz val="10"/>
      <color indexed="9"/>
      <name val="Arial Cyr"/>
      <family val="2"/>
      <charset val="204"/>
    </font>
    <font>
      <sz val="10"/>
      <color indexed="52"/>
      <name val="Arial Cyr"/>
      <charset val="204"/>
    </font>
    <font>
      <b/>
      <sz val="10"/>
      <name val="Arial Cyr"/>
      <family val="2"/>
      <charset val="204"/>
    </font>
    <font>
      <sz val="9"/>
      <name val="Arial"/>
      <family val="2"/>
      <charset val="204"/>
    </font>
    <font>
      <i/>
      <sz val="9"/>
      <name val="Arial Cyr"/>
      <charset val="204"/>
    </font>
    <font>
      <i/>
      <sz val="9"/>
      <name val="Arial"/>
      <family val="2"/>
      <charset val="204"/>
    </font>
    <font>
      <b/>
      <sz val="11"/>
      <name val="Arial"/>
      <family val="2"/>
      <charset val="204"/>
    </font>
    <font>
      <sz val="9"/>
      <name val="Arial Cyr"/>
      <charset val="204"/>
    </font>
    <font>
      <b/>
      <sz val="7"/>
      <name val="Arial"/>
      <family val="2"/>
      <charset val="204"/>
    </font>
    <font>
      <sz val="8"/>
      <color indexed="8"/>
      <name val="Arial Cyr"/>
      <family val="2"/>
      <charset val="204"/>
    </font>
    <font>
      <sz val="8"/>
      <color indexed="10"/>
      <name val="Arial Cyr"/>
      <family val="2"/>
      <charset val="204"/>
    </font>
    <font>
      <sz val="8"/>
      <color indexed="12"/>
      <name val="Arial"/>
      <family val="2"/>
      <charset val="204"/>
    </font>
    <font>
      <b/>
      <i/>
      <sz val="8"/>
      <name val="Arial"/>
      <family val="2"/>
      <charset val="204"/>
    </font>
    <font>
      <b/>
      <sz val="9"/>
      <name val="Arial"/>
      <family val="2"/>
      <charset val="204"/>
    </font>
    <font>
      <b/>
      <i/>
      <sz val="9"/>
      <name val="Arial"/>
      <family val="2"/>
      <charset val="204"/>
    </font>
    <font>
      <b/>
      <sz val="9"/>
      <name val="Arial CYR"/>
      <charset val="204"/>
    </font>
    <font>
      <i/>
      <sz val="8"/>
      <name val="Arial"/>
      <family val="2"/>
      <charset val="204"/>
    </font>
    <font>
      <b/>
      <u/>
      <sz val="10"/>
      <name val="Arial"/>
      <family val="2"/>
      <charset val="204"/>
    </font>
    <font>
      <b/>
      <u/>
      <sz val="8"/>
      <name val="Arial"/>
      <family val="2"/>
      <charset val="204"/>
    </font>
    <font>
      <i/>
      <sz val="8"/>
      <color indexed="81"/>
      <name val="Tahoma"/>
      <family val="2"/>
      <charset val="204"/>
    </font>
    <font>
      <b/>
      <sz val="11"/>
      <name val="Arial Cyr"/>
      <charset val="204"/>
    </font>
    <font>
      <sz val="10"/>
      <color indexed="8"/>
      <name val="Arial Cyr"/>
      <charset val="204"/>
    </font>
    <font>
      <sz val="10"/>
      <name val="Times New Roman"/>
      <family val="1"/>
    </font>
    <font>
      <sz val="10"/>
      <name val="Arial Cyr"/>
      <charset val="204"/>
    </font>
    <font>
      <sz val="10"/>
      <name val="Arial Cyr"/>
      <charset val="204"/>
    </font>
    <font>
      <sz val="8"/>
      <color indexed="8"/>
      <name val="Arial Cyr"/>
      <charset val="204"/>
    </font>
    <font>
      <sz val="8"/>
      <name val="Times New Roman"/>
      <family val="1"/>
      <charset val="204"/>
    </font>
    <font>
      <sz val="9"/>
      <name val="Times New Roman"/>
      <family val="1"/>
      <charset val="204"/>
    </font>
    <font>
      <i/>
      <sz val="8"/>
      <name val="Arial Cyr"/>
      <charset val="204"/>
    </font>
  </fonts>
  <fills count="15">
    <fill>
      <patternFill patternType="none"/>
    </fill>
    <fill>
      <patternFill patternType="gray125"/>
    </fill>
    <fill>
      <patternFill patternType="solid">
        <fgColor indexed="41"/>
        <bgColor indexed="64"/>
      </patternFill>
    </fill>
    <fill>
      <patternFill patternType="solid">
        <fgColor indexed="8"/>
        <bgColor indexed="64"/>
      </patternFill>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50"/>
        <bgColor indexed="64"/>
      </patternFill>
    </fill>
    <fill>
      <patternFill patternType="solid">
        <fgColor indexed="63"/>
        <bgColor indexed="64"/>
      </patternFill>
    </fill>
    <fill>
      <patternFill patternType="solid">
        <fgColor indexed="51"/>
        <bgColor indexed="64"/>
      </patternFill>
    </fill>
    <fill>
      <patternFill patternType="solid">
        <fgColor indexed="26"/>
        <bgColor indexed="64"/>
      </patternFill>
    </fill>
    <fill>
      <patternFill patternType="solid">
        <fgColor indexed="45"/>
        <bgColor indexed="64"/>
      </patternFill>
    </fill>
    <fill>
      <patternFill patternType="solid">
        <fgColor indexed="13"/>
        <bgColor indexed="64"/>
      </patternFill>
    </fill>
    <fill>
      <patternFill patternType="solid">
        <fgColor indexed="23"/>
        <bgColor indexed="64"/>
      </patternFill>
    </fill>
    <fill>
      <patternFill patternType="solid">
        <fgColor indexed="43"/>
        <bgColor indexed="64"/>
      </patternFill>
    </fill>
  </fills>
  <borders count="55">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diagonal/>
    </border>
    <border>
      <left style="hair">
        <color indexed="64"/>
      </left>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medium">
        <color indexed="64"/>
      </right>
      <top/>
      <bottom/>
      <diagonal/>
    </border>
    <border>
      <left style="hair">
        <color indexed="64"/>
      </left>
      <right/>
      <top style="hair">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thin">
        <color indexed="64"/>
      </top>
      <bottom/>
      <diagonal/>
    </border>
    <border>
      <left/>
      <right style="hair">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xf numFmtId="0" fontId="1" fillId="0" borderId="0"/>
    <xf numFmtId="164" fontId="1" fillId="0" borderId="0" applyFont="0" applyFill="0" applyBorder="0" applyAlignment="0" applyProtection="0"/>
  </cellStyleXfs>
  <cellXfs count="553">
    <xf numFmtId="0" fontId="0" fillId="0" borderId="0" xfId="0"/>
    <xf numFmtId="0" fontId="3" fillId="0" borderId="0" xfId="0" applyFont="1" applyAlignment="1">
      <alignment horizontal="right"/>
    </xf>
    <xf numFmtId="0" fontId="3" fillId="0" borderId="0" xfId="0" applyFont="1"/>
    <xf numFmtId="0" fontId="2" fillId="0" borderId="0" xfId="0" applyFont="1"/>
    <xf numFmtId="0" fontId="3" fillId="0" borderId="0" xfId="0" applyFont="1" applyAlignment="1"/>
    <xf numFmtId="0" fontId="6" fillId="2" borderId="1" xfId="2" applyNumberFormat="1" applyFont="1" applyFill="1" applyBorder="1" applyAlignment="1">
      <alignment horizontal="left" vertical="center" wrapText="1"/>
    </xf>
    <xf numFmtId="0" fontId="6" fillId="2" borderId="1" xfId="2" applyNumberFormat="1" applyFont="1" applyFill="1" applyBorder="1" applyAlignment="1">
      <alignment horizontal="center" vertical="center" wrapText="1"/>
    </xf>
    <xf numFmtId="49" fontId="6" fillId="2" borderId="1" xfId="2" applyNumberFormat="1" applyFont="1" applyFill="1" applyBorder="1" applyAlignment="1">
      <alignment horizontal="center" vertical="center" wrapText="1"/>
    </xf>
    <xf numFmtId="0" fontId="7" fillId="2" borderId="1" xfId="2" applyNumberFormat="1" applyFont="1" applyFill="1" applyBorder="1" applyAlignment="1">
      <alignment horizontal="center" vertical="center" wrapText="1"/>
    </xf>
    <xf numFmtId="0" fontId="7" fillId="2" borderId="1" xfId="2" quotePrefix="1" applyNumberFormat="1" applyFont="1" applyFill="1" applyBorder="1" applyAlignment="1">
      <alignment horizontal="center" vertical="center" wrapText="1"/>
    </xf>
    <xf numFmtId="167" fontId="7" fillId="2" borderId="1" xfId="2" applyNumberFormat="1" applyFont="1" applyFill="1" applyBorder="1" applyAlignment="1">
      <alignment horizontal="center" vertical="center" wrapText="1"/>
    </xf>
    <xf numFmtId="0" fontId="7" fillId="2" borderId="2" xfId="2" applyNumberFormat="1" applyFont="1" applyFill="1" applyBorder="1" applyAlignment="1">
      <alignment horizontal="left" vertical="center" wrapText="1"/>
    </xf>
    <xf numFmtId="0" fontId="7" fillId="0" borderId="2" xfId="2" applyNumberFormat="1" applyFont="1" applyFill="1" applyBorder="1" applyAlignment="1">
      <alignment horizontal="center" vertical="center" wrapText="1"/>
    </xf>
    <xf numFmtId="0" fontId="8" fillId="3" borderId="0" xfId="2" applyNumberFormat="1" applyFont="1" applyFill="1" applyAlignment="1">
      <alignment horizontal="center" vertical="center" wrapText="1"/>
    </xf>
    <xf numFmtId="0" fontId="6" fillId="3" borderId="3" xfId="2" applyNumberFormat="1" applyFont="1" applyFill="1" applyBorder="1" applyAlignment="1">
      <alignment horizontal="center" vertical="center" wrapText="1"/>
    </xf>
    <xf numFmtId="0" fontId="6" fillId="3" borderId="3" xfId="2" applyNumberFormat="1" applyFont="1" applyFill="1" applyBorder="1" applyAlignment="1">
      <alignment horizontal="left" vertical="center" wrapText="1"/>
    </xf>
    <xf numFmtId="49" fontId="6" fillId="3" borderId="3" xfId="2" applyNumberFormat="1" applyFont="1" applyFill="1" applyBorder="1" applyAlignment="1">
      <alignment horizontal="center" vertical="center" wrapText="1"/>
    </xf>
    <xf numFmtId="166" fontId="7" fillId="3" borderId="3" xfId="2" quotePrefix="1" applyNumberFormat="1" applyFont="1" applyFill="1" applyBorder="1" applyAlignment="1">
      <alignment horizontal="center" vertical="center" wrapText="1"/>
    </xf>
    <xf numFmtId="0" fontId="7" fillId="3" borderId="3" xfId="2" quotePrefix="1" applyNumberFormat="1" applyFont="1" applyFill="1" applyBorder="1" applyAlignment="1">
      <alignment horizontal="center" vertical="center" wrapText="1"/>
    </xf>
    <xf numFmtId="167"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left" vertical="center" wrapText="1"/>
    </xf>
    <xf numFmtId="0" fontId="9" fillId="4" borderId="1" xfId="2" applyNumberFormat="1" applyFont="1" applyFill="1" applyBorder="1" applyAlignment="1">
      <alignment horizontal="center" vertical="center" wrapText="1"/>
    </xf>
    <xf numFmtId="0" fontId="9" fillId="4" borderId="1" xfId="2" quotePrefix="1" applyNumberFormat="1" applyFont="1" applyFill="1" applyBorder="1" applyAlignment="1">
      <alignment horizontal="center" vertical="center" wrapText="1"/>
    </xf>
    <xf numFmtId="49" fontId="9" fillId="4" borderId="1" xfId="2" applyNumberFormat="1" applyFont="1" applyFill="1" applyBorder="1" applyAlignment="1">
      <alignment horizontal="center" vertical="center" wrapText="1"/>
    </xf>
    <xf numFmtId="166" fontId="10" fillId="4" borderId="1" xfId="2" quotePrefix="1" applyNumberFormat="1" applyFont="1" applyFill="1" applyBorder="1" applyAlignment="1">
      <alignment horizontal="center" vertical="center" wrapText="1"/>
    </xf>
    <xf numFmtId="0" fontId="10" fillId="4" borderId="1" xfId="2" quotePrefix="1" applyNumberFormat="1" applyFont="1" applyFill="1" applyBorder="1" applyAlignment="1">
      <alignment horizontal="center" vertical="center" wrapText="1"/>
    </xf>
    <xf numFmtId="167" fontId="10" fillId="4" borderId="1" xfId="2" applyNumberFormat="1" applyFont="1" applyFill="1" applyBorder="1" applyAlignment="1">
      <alignment horizontal="center" vertical="center" wrapText="1"/>
    </xf>
    <xf numFmtId="0" fontId="10" fillId="4" borderId="1" xfId="2" applyNumberFormat="1" applyFont="1" applyFill="1" applyBorder="1" applyAlignment="1">
      <alignment horizontal="center" vertical="center" wrapText="1"/>
    </xf>
    <xf numFmtId="0" fontId="11" fillId="3" borderId="0" xfId="0" applyFont="1" applyFill="1" applyAlignment="1">
      <alignment horizontal="center" vertical="center" wrapText="1"/>
    </xf>
    <xf numFmtId="0" fontId="8" fillId="5" borderId="1" xfId="2" applyNumberFormat="1" applyFont="1" applyFill="1" applyBorder="1" applyAlignment="1" applyProtection="1">
      <alignment horizontal="center" vertical="center" wrapText="1"/>
      <protection locked="0"/>
    </xf>
    <xf numFmtId="0" fontId="8" fillId="5" borderId="1" xfId="2" applyNumberFormat="1" applyFont="1" applyFill="1" applyBorder="1" applyAlignment="1" applyProtection="1">
      <alignment horizontal="left" vertical="center" wrapText="1"/>
      <protection locked="0"/>
    </xf>
    <xf numFmtId="49" fontId="8" fillId="5" borderId="1" xfId="2" applyNumberFormat="1" applyFont="1" applyFill="1" applyBorder="1" applyAlignment="1" applyProtection="1">
      <alignment horizontal="center" vertical="center" wrapText="1"/>
      <protection locked="0"/>
    </xf>
    <xf numFmtId="166" fontId="8" fillId="5" borderId="1" xfId="2" applyNumberFormat="1" applyFont="1" applyFill="1" applyBorder="1" applyAlignment="1" applyProtection="1">
      <alignment horizontal="center" vertical="center" wrapText="1"/>
      <protection locked="0"/>
    </xf>
    <xf numFmtId="167" fontId="8" fillId="5" borderId="1" xfId="2" applyNumberFormat="1" applyFont="1" applyFill="1" applyBorder="1" applyAlignment="1" applyProtection="1">
      <alignment horizontal="center" vertical="center" wrapText="1"/>
      <protection locked="0"/>
    </xf>
    <xf numFmtId="0" fontId="8" fillId="5" borderId="2" xfId="2" applyNumberFormat="1" applyFont="1" applyFill="1" applyBorder="1" applyAlignment="1" applyProtection="1">
      <alignment horizontal="left" vertical="center" wrapText="1"/>
      <protection locked="0"/>
    </xf>
    <xf numFmtId="0" fontId="8" fillId="5" borderId="2"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left" vertical="center" wrapText="1"/>
      <protection locked="0"/>
    </xf>
    <xf numFmtId="49" fontId="8" fillId="0" borderId="1" xfId="2" applyNumberFormat="1" applyFont="1" applyFill="1" applyBorder="1" applyAlignment="1" applyProtection="1">
      <alignment horizontal="center" vertical="center" wrapText="1"/>
      <protection locked="0"/>
    </xf>
    <xf numFmtId="166" fontId="8" fillId="0" borderId="1" xfId="2" applyNumberFormat="1" applyFont="1" applyFill="1" applyBorder="1" applyAlignment="1" applyProtection="1">
      <alignment horizontal="center" vertical="center" wrapText="1"/>
      <protection locked="0"/>
    </xf>
    <xf numFmtId="167" fontId="8" fillId="0" borderId="1"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left" vertical="center" wrapText="1"/>
      <protection locked="0"/>
    </xf>
    <xf numFmtId="0" fontId="8" fillId="0" borderId="2" xfId="2" applyNumberFormat="1" applyFont="1" applyFill="1" applyBorder="1" applyAlignment="1" applyProtection="1">
      <alignment horizontal="center" vertical="center" wrapText="1"/>
      <protection locked="0"/>
    </xf>
    <xf numFmtId="0" fontId="8" fillId="0" borderId="0" xfId="2" applyNumberFormat="1" applyFont="1" applyFill="1" applyAlignment="1" applyProtection="1">
      <alignment horizontal="center" vertical="center" wrapText="1"/>
      <protection locked="0"/>
    </xf>
    <xf numFmtId="0" fontId="8" fillId="3" borderId="0" xfId="2" applyNumberFormat="1" applyFont="1" applyFill="1" applyBorder="1" applyAlignment="1">
      <alignment horizontal="center" vertical="center" wrapText="1"/>
    </xf>
    <xf numFmtId="0" fontId="7" fillId="3" borderId="0" xfId="2" applyNumberFormat="1" applyFont="1" applyFill="1" applyBorder="1" applyAlignment="1">
      <alignment horizontal="center" vertical="center" wrapText="1"/>
    </xf>
    <xf numFmtId="0" fontId="12" fillId="3" borderId="0" xfId="1" quotePrefix="1" applyFont="1" applyFill="1" applyBorder="1" applyAlignment="1">
      <alignment horizontal="left" vertical="center"/>
    </xf>
    <xf numFmtId="0" fontId="8" fillId="3" borderId="0" xfId="2" applyNumberFormat="1" applyFont="1" applyFill="1" applyAlignment="1">
      <alignment horizontal="left" vertical="center" wrapText="1"/>
    </xf>
    <xf numFmtId="49" fontId="8" fillId="3" borderId="0" xfId="2" applyNumberFormat="1" applyFont="1" applyFill="1" applyAlignment="1">
      <alignment horizontal="center" vertical="center" wrapText="1"/>
    </xf>
    <xf numFmtId="166" fontId="8" fillId="3" borderId="0" xfId="2" applyNumberFormat="1" applyFont="1" applyFill="1" applyAlignment="1">
      <alignment horizontal="center" vertical="center" wrapText="1"/>
    </xf>
    <xf numFmtId="167" fontId="8" fillId="3" borderId="0" xfId="2" applyNumberFormat="1" applyFont="1" applyFill="1" applyAlignment="1">
      <alignment horizontal="center" vertical="center" wrapText="1"/>
    </xf>
    <xf numFmtId="0" fontId="15" fillId="3" borderId="0" xfId="1" quotePrefix="1" applyFont="1" applyFill="1" applyBorder="1" applyAlignment="1">
      <alignment horizontal="left" vertical="center"/>
    </xf>
    <xf numFmtId="0" fontId="15" fillId="3" borderId="0" xfId="0" quotePrefix="1" applyFont="1" applyFill="1" applyAlignment="1">
      <alignment horizontal="left" vertical="center"/>
    </xf>
    <xf numFmtId="0" fontId="15" fillId="3" borderId="0" xfId="0" applyFont="1" applyFill="1" applyAlignment="1">
      <alignment horizontal="left" vertical="center"/>
    </xf>
    <xf numFmtId="0" fontId="0" fillId="0" borderId="0" xfId="0" applyProtection="1">
      <protection locked="0"/>
    </xf>
    <xf numFmtId="0" fontId="8" fillId="0" borderId="0" xfId="0" applyFont="1" applyFill="1" applyBorder="1" applyAlignment="1"/>
    <xf numFmtId="169" fontId="20" fillId="5" borderId="0" xfId="0" quotePrefix="1" applyNumberFormat="1" applyFont="1" applyFill="1" applyBorder="1" applyAlignment="1" applyProtection="1">
      <alignment horizontal="center"/>
      <protection locked="0"/>
    </xf>
    <xf numFmtId="0" fontId="21" fillId="0" borderId="0" xfId="0" applyFont="1" applyFill="1" applyBorder="1" applyAlignment="1"/>
    <xf numFmtId="0" fontId="1" fillId="0" borderId="0" xfId="0" applyFont="1" applyFill="1" applyBorder="1" applyAlignment="1"/>
    <xf numFmtId="0" fontId="22" fillId="6" borderId="4" xfId="0" applyFont="1" applyFill="1" applyBorder="1" applyAlignment="1">
      <alignment horizontal="center" vertical="center" wrapText="1"/>
    </xf>
    <xf numFmtId="170" fontId="10" fillId="6" borderId="4" xfId="0" applyNumberFormat="1" applyFont="1" applyFill="1" applyBorder="1" applyAlignment="1" applyProtection="1">
      <alignment horizontal="center" vertical="center" wrapText="1"/>
    </xf>
    <xf numFmtId="0" fontId="9" fillId="6" borderId="4" xfId="0" quotePrefix="1" applyFont="1" applyFill="1" applyBorder="1" applyAlignment="1">
      <alignment horizontal="center" vertical="center" wrapText="1"/>
    </xf>
    <xf numFmtId="0" fontId="9" fillId="6" borderId="5" xfId="0" quotePrefix="1" applyFont="1" applyFill="1" applyBorder="1" applyAlignment="1">
      <alignment horizontal="center" vertical="center" wrapText="1"/>
    </xf>
    <xf numFmtId="0" fontId="9" fillId="6" borderId="6" xfId="0" applyFont="1" applyFill="1" applyBorder="1" applyAlignment="1">
      <alignment horizontal="center" vertical="center" wrapText="1"/>
    </xf>
    <xf numFmtId="9" fontId="8" fillId="0" borderId="0" xfId="0" applyNumberFormat="1" applyFont="1" applyAlignment="1" applyProtection="1">
      <alignment horizontal="center"/>
      <protection hidden="1"/>
    </xf>
    <xf numFmtId="14" fontId="0" fillId="0" borderId="0" xfId="0" applyNumberFormat="1"/>
    <xf numFmtId="0" fontId="24" fillId="6" borderId="0" xfId="0" applyFont="1" applyFill="1"/>
    <xf numFmtId="0" fontId="24" fillId="6" borderId="0" xfId="0" applyFont="1" applyFill="1" applyProtection="1">
      <protection hidden="1"/>
    </xf>
    <xf numFmtId="0" fontId="26" fillId="0" borderId="0" xfId="0" applyFont="1"/>
    <xf numFmtId="0" fontId="27" fillId="0" borderId="0" xfId="0" applyFont="1" applyFill="1" applyBorder="1"/>
    <xf numFmtId="0" fontId="0" fillId="0" borderId="7" xfId="0" applyFill="1" applyBorder="1"/>
    <xf numFmtId="0" fontId="0" fillId="0" borderId="8" xfId="0" applyFill="1" applyBorder="1"/>
    <xf numFmtId="0" fontId="0" fillId="0" borderId="0" xfId="0" applyFill="1"/>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0" borderId="0" xfId="0" applyFill="1" applyBorder="1" applyAlignment="1">
      <alignment vertical="center"/>
    </xf>
    <xf numFmtId="0" fontId="29" fillId="0" borderId="6" xfId="0" applyFont="1" applyBorder="1" applyAlignment="1">
      <alignment vertical="top" wrapText="1"/>
    </xf>
    <xf numFmtId="0" fontId="29" fillId="0" borderId="10" xfId="0" applyFont="1" applyBorder="1" applyAlignment="1">
      <alignment vertical="top" wrapText="1"/>
    </xf>
    <xf numFmtId="3" fontId="29" fillId="0" borderId="11" xfId="0" applyNumberFormat="1" applyFont="1" applyBorder="1" applyAlignment="1">
      <alignment horizontal="center" vertical="top" wrapText="1"/>
    </xf>
    <xf numFmtId="0" fontId="0" fillId="0" borderId="0" xfId="0" applyBorder="1"/>
    <xf numFmtId="0" fontId="30" fillId="0" borderId="0" xfId="0" applyFont="1" applyBorder="1" applyAlignment="1">
      <alignment horizontal="center" vertical="top" wrapText="1"/>
    </xf>
    <xf numFmtId="3" fontId="3" fillId="0" borderId="0" xfId="0" applyNumberFormat="1" applyFont="1" applyBorder="1" applyAlignment="1">
      <alignment horizontal="center" vertical="center"/>
    </xf>
    <xf numFmtId="0" fontId="29" fillId="0" borderId="12" xfId="0" applyFont="1" applyFill="1" applyBorder="1" applyAlignment="1">
      <alignment vertical="top" wrapText="1"/>
    </xf>
    <xf numFmtId="0" fontId="29" fillId="0" borderId="13" xfId="0" applyFont="1" applyBorder="1"/>
    <xf numFmtId="0" fontId="29" fillId="0" borderId="14" xfId="0" applyFont="1" applyBorder="1"/>
    <xf numFmtId="0" fontId="37" fillId="5" borderId="15" xfId="0" quotePrefix="1" applyFont="1" applyFill="1" applyBorder="1" applyAlignment="1" applyProtection="1">
      <alignment horizontal="center" vertical="center" wrapText="1"/>
    </xf>
    <xf numFmtId="0" fontId="37" fillId="5" borderId="15" xfId="0" applyFont="1" applyFill="1" applyBorder="1" applyAlignment="1" applyProtection="1">
      <alignment horizontal="center" vertical="center" wrapText="1"/>
    </xf>
    <xf numFmtId="170" fontId="37" fillId="5" borderId="15" xfId="0" quotePrefix="1" applyNumberFormat="1" applyFont="1" applyFill="1" applyBorder="1" applyAlignment="1" applyProtection="1">
      <alignment horizontal="center" vertical="center" wrapText="1"/>
    </xf>
    <xf numFmtId="0" fontId="8" fillId="5" borderId="15" xfId="0" quotePrefix="1" applyFont="1" applyFill="1" applyBorder="1" applyAlignment="1">
      <alignment horizontal="center" vertical="center" wrapText="1"/>
    </xf>
    <xf numFmtId="3" fontId="37" fillId="5" borderId="15" xfId="0" applyNumberFormat="1" applyFont="1" applyFill="1" applyBorder="1" applyAlignment="1" applyProtection="1">
      <alignment horizontal="center" vertical="center"/>
      <protection locked="0"/>
    </xf>
    <xf numFmtId="3" fontId="37" fillId="5" borderId="15" xfId="0" applyNumberFormat="1" applyFont="1" applyFill="1" applyBorder="1" applyAlignment="1" applyProtection="1">
      <alignment horizontal="center" vertical="center"/>
    </xf>
    <xf numFmtId="9" fontId="8" fillId="5" borderId="15" xfId="0" applyNumberFormat="1" applyFont="1" applyFill="1" applyBorder="1" applyAlignment="1" applyProtection="1">
      <alignment horizontal="center" vertical="center"/>
    </xf>
    <xf numFmtId="0" fontId="0" fillId="5" borderId="0" xfId="0" applyFill="1"/>
    <xf numFmtId="0" fontId="42" fillId="8" borderId="0" xfId="0" applyFont="1" applyFill="1" applyProtection="1">
      <protection locked="0"/>
    </xf>
    <xf numFmtId="0" fontId="44" fillId="8" borderId="0" xfId="0" applyFont="1" applyFill="1" applyAlignment="1">
      <alignment vertical="center"/>
    </xf>
    <xf numFmtId="0" fontId="0" fillId="8" borderId="0" xfId="0" applyFill="1"/>
    <xf numFmtId="0" fontId="0" fillId="8" borderId="0" xfId="0" quotePrefix="1" applyFill="1" applyAlignment="1">
      <alignment horizontal="left" vertical="center"/>
    </xf>
    <xf numFmtId="0" fontId="0" fillId="8" borderId="0" xfId="0" quotePrefix="1" applyFill="1" applyAlignment="1">
      <alignment horizontal="left"/>
    </xf>
    <xf numFmtId="0" fontId="0" fillId="3" borderId="0" xfId="0" applyFill="1" applyProtection="1">
      <protection hidden="1"/>
    </xf>
    <xf numFmtId="0" fontId="31" fillId="3" borderId="0" xfId="0" applyFont="1" applyFill="1" applyProtection="1">
      <protection hidden="1"/>
    </xf>
    <xf numFmtId="165" fontId="33" fillId="3" borderId="0" xfId="0" applyNumberFormat="1" applyFont="1" applyFill="1" applyProtection="1">
      <protection hidden="1"/>
    </xf>
    <xf numFmtId="172" fontId="45" fillId="5" borderId="16" xfId="0" applyNumberFormat="1" applyFont="1" applyFill="1" applyBorder="1" applyAlignment="1" applyProtection="1">
      <alignment horizontal="left"/>
      <protection hidden="1"/>
    </xf>
    <xf numFmtId="0" fontId="0" fillId="3" borderId="0" xfId="0" applyFill="1" applyAlignment="1" applyProtection="1">
      <alignment vertical="center"/>
      <protection hidden="1"/>
    </xf>
    <xf numFmtId="0" fontId="10" fillId="5" borderId="17" xfId="0" quotePrefix="1" applyFont="1" applyFill="1" applyBorder="1" applyAlignment="1" applyProtection="1">
      <alignment horizontal="center" vertical="center" wrapText="1"/>
      <protection hidden="1"/>
    </xf>
    <xf numFmtId="0" fontId="10" fillId="5" borderId="17" xfId="0" applyFont="1" applyFill="1" applyBorder="1" applyAlignment="1" applyProtection="1">
      <alignment horizontal="center" vertical="center" wrapText="1"/>
      <protection hidden="1"/>
    </xf>
    <xf numFmtId="170" fontId="10" fillId="5" borderId="18" xfId="0" quotePrefix="1" applyNumberFormat="1" applyFont="1" applyFill="1" applyBorder="1" applyAlignment="1" applyProtection="1">
      <alignment horizontal="center" vertical="center" wrapText="1"/>
      <protection hidden="1"/>
    </xf>
    <xf numFmtId="170" fontId="10" fillId="5" borderId="19" xfId="0" applyNumberFormat="1" applyFont="1" applyFill="1" applyBorder="1" applyAlignment="1" applyProtection="1">
      <alignment horizontal="center" vertical="center" wrapText="1"/>
      <protection hidden="1"/>
    </xf>
    <xf numFmtId="0" fontId="9" fillId="5" borderId="18" xfId="0" quotePrefix="1" applyFont="1" applyFill="1" applyBorder="1" applyAlignment="1" applyProtection="1">
      <alignment horizontal="center" vertical="center" wrapText="1"/>
      <protection hidden="1"/>
    </xf>
    <xf numFmtId="0" fontId="9" fillId="5" borderId="17" xfId="0" quotePrefix="1" applyFont="1" applyFill="1" applyBorder="1" applyAlignment="1" applyProtection="1">
      <alignment horizontal="center" vertical="center" wrapText="1"/>
      <protection hidden="1"/>
    </xf>
    <xf numFmtId="0" fontId="9" fillId="5" borderId="20" xfId="0" quotePrefix="1" applyFont="1" applyFill="1" applyBorder="1" applyAlignment="1" applyProtection="1">
      <alignment horizontal="center" vertical="center" wrapText="1"/>
      <protection hidden="1"/>
    </xf>
    <xf numFmtId="0" fontId="37" fillId="5" borderId="1" xfId="0" applyFont="1" applyFill="1" applyBorder="1" applyAlignment="1" applyProtection="1">
      <alignment horizontal="center" vertical="center"/>
      <protection hidden="1"/>
    </xf>
    <xf numFmtId="3" fontId="37" fillId="5" borderId="21" xfId="0" applyNumberFormat="1" applyFont="1" applyFill="1" applyBorder="1" applyAlignment="1" applyProtection="1">
      <alignment horizontal="center" vertical="center"/>
      <protection hidden="1"/>
    </xf>
    <xf numFmtId="3" fontId="38" fillId="5" borderId="1" xfId="0" applyNumberFormat="1" applyFont="1" applyFill="1" applyBorder="1" applyAlignment="1" applyProtection="1">
      <alignment vertical="center"/>
      <protection hidden="1"/>
    </xf>
    <xf numFmtId="174" fontId="8" fillId="5" borderId="1" xfId="3" applyNumberFormat="1" applyFont="1" applyFill="1" applyBorder="1" applyAlignment="1" applyProtection="1">
      <alignment horizontal="center" vertical="center" wrapText="1"/>
      <protection hidden="1"/>
    </xf>
    <xf numFmtId="9" fontId="8" fillId="5" borderId="1" xfId="0" applyNumberFormat="1" applyFont="1" applyFill="1" applyBorder="1" applyAlignment="1" applyProtection="1">
      <alignment horizontal="center" vertical="center"/>
      <protection hidden="1"/>
    </xf>
    <xf numFmtId="0" fontId="51" fillId="3" borderId="0" xfId="0" quotePrefix="1" applyFont="1" applyFill="1" applyAlignment="1" applyProtection="1">
      <alignment horizontal="left" vertical="center"/>
      <protection hidden="1"/>
    </xf>
    <xf numFmtId="0" fontId="52" fillId="3" borderId="0" xfId="0" quotePrefix="1" applyFont="1" applyFill="1" applyAlignment="1" applyProtection="1">
      <alignment horizontal="left" vertical="center"/>
      <protection hidden="1"/>
    </xf>
    <xf numFmtId="0" fontId="45" fillId="5" borderId="22" xfId="0" applyFont="1" applyFill="1" applyBorder="1" applyAlignment="1" applyProtection="1">
      <alignment horizontal="right"/>
      <protection hidden="1"/>
    </xf>
    <xf numFmtId="0" fontId="37" fillId="5" borderId="23" xfId="0" applyFont="1" applyFill="1" applyBorder="1" applyAlignment="1" applyProtection="1">
      <alignment horizontal="right"/>
      <protection hidden="1"/>
    </xf>
    <xf numFmtId="0" fontId="53" fillId="5" borderId="23" xfId="0" applyFont="1" applyFill="1" applyBorder="1" applyAlignment="1" applyProtection="1">
      <alignment horizontal="right"/>
      <protection hidden="1"/>
    </xf>
    <xf numFmtId="0" fontId="53" fillId="5" borderId="23" xfId="0" applyFont="1" applyFill="1" applyBorder="1" applyAlignment="1" applyProtection="1">
      <alignment horizontal="center"/>
      <protection hidden="1"/>
    </xf>
    <xf numFmtId="3" fontId="53" fillId="5" borderId="23" xfId="0" applyNumberFormat="1" applyFont="1" applyFill="1" applyBorder="1" applyAlignment="1" applyProtection="1">
      <alignment horizontal="center"/>
      <protection hidden="1"/>
    </xf>
    <xf numFmtId="3" fontId="53" fillId="5" borderId="24" xfId="0" applyNumberFormat="1" applyFont="1" applyFill="1" applyBorder="1" applyAlignment="1" applyProtection="1">
      <alignment horizontal="center"/>
      <protection hidden="1"/>
    </xf>
    <xf numFmtId="3" fontId="22" fillId="5" borderId="25" xfId="0" applyNumberFormat="1" applyFont="1" applyFill="1" applyBorder="1" applyAlignment="1" applyProtection="1">
      <alignment horizontal="center"/>
      <protection hidden="1"/>
    </xf>
    <xf numFmtId="0" fontId="54" fillId="5" borderId="26" xfId="0" applyFont="1" applyFill="1" applyBorder="1" applyAlignment="1" applyProtection="1">
      <alignment horizontal="left" vertical="center"/>
      <protection hidden="1"/>
    </xf>
    <xf numFmtId="0" fontId="54" fillId="5" borderId="27" xfId="0" applyFont="1" applyFill="1" applyBorder="1" applyAlignment="1" applyProtection="1">
      <alignment horizontal="left" vertical="center"/>
      <protection hidden="1"/>
    </xf>
    <xf numFmtId="0" fontId="55" fillId="5" borderId="0" xfId="0" applyFont="1" applyFill="1" applyBorder="1" applyAlignment="1" applyProtection="1">
      <alignment horizontal="left" vertical="center"/>
      <protection hidden="1"/>
    </xf>
    <xf numFmtId="0" fontId="55" fillId="5" borderId="0" xfId="0" quotePrefix="1" applyFont="1" applyFill="1" applyBorder="1" applyAlignment="1" applyProtection="1">
      <alignment horizontal="left" vertical="center"/>
      <protection hidden="1"/>
    </xf>
    <xf numFmtId="0" fontId="56" fillId="5" borderId="0" xfId="0" applyFont="1" applyFill="1" applyBorder="1" applyAlignment="1" applyProtection="1">
      <alignment horizontal="left" vertical="center" wrapText="1"/>
      <protection hidden="1"/>
    </xf>
    <xf numFmtId="0" fontId="0" fillId="5" borderId="0" xfId="0" applyFill="1" applyProtection="1">
      <protection hidden="1"/>
    </xf>
    <xf numFmtId="0" fontId="45" fillId="5" borderId="0" xfId="0" quotePrefix="1" applyFont="1" applyFill="1" applyBorder="1" applyAlignment="1" applyProtection="1">
      <alignment horizontal="left"/>
      <protection hidden="1"/>
    </xf>
    <xf numFmtId="0" fontId="58" fillId="5" borderId="0" xfId="0" applyFont="1" applyFill="1" applyBorder="1" applyAlignment="1" applyProtection="1">
      <alignment horizontal="center"/>
      <protection hidden="1"/>
    </xf>
    <xf numFmtId="0" fontId="42" fillId="8" borderId="0" xfId="0" applyFont="1" applyFill="1" applyProtection="1">
      <protection hidden="1"/>
    </xf>
    <xf numFmtId="0" fontId="44" fillId="8" borderId="0" xfId="0" applyFont="1" applyFill="1" applyAlignment="1" applyProtection="1">
      <alignment vertical="center"/>
      <protection hidden="1"/>
    </xf>
    <xf numFmtId="0" fontId="0" fillId="8" borderId="0" xfId="0" applyFill="1" applyProtection="1">
      <protection hidden="1"/>
    </xf>
    <xf numFmtId="0" fontId="0" fillId="8" borderId="0" xfId="0" quotePrefix="1" applyFill="1" applyAlignment="1" applyProtection="1">
      <alignment horizontal="left" vertical="center"/>
      <protection hidden="1"/>
    </xf>
    <xf numFmtId="0" fontId="0" fillId="8" borderId="0" xfId="0" quotePrefix="1" applyFill="1" applyAlignment="1" applyProtection="1">
      <alignment horizontal="left"/>
      <protection hidden="1"/>
    </xf>
    <xf numFmtId="0" fontId="21" fillId="5" borderId="0" xfId="0" applyFont="1" applyFill="1"/>
    <xf numFmtId="0" fontId="1" fillId="5" borderId="0" xfId="0" applyFont="1" applyFill="1"/>
    <xf numFmtId="0" fontId="23" fillId="5" borderId="0" xfId="0" applyFont="1" applyFill="1" applyAlignment="1" applyProtection="1">
      <alignment horizontal="left"/>
    </xf>
    <xf numFmtId="0" fontId="31" fillId="5" borderId="0" xfId="0" applyFont="1" applyFill="1"/>
    <xf numFmtId="0" fontId="32" fillId="5" borderId="0" xfId="0" applyFont="1" applyFill="1" applyAlignment="1" applyProtection="1">
      <alignment horizontal="left"/>
    </xf>
    <xf numFmtId="0" fontId="31" fillId="5" borderId="0" xfId="0" applyFont="1" applyFill="1" applyAlignment="1">
      <alignment horizontal="centerContinuous"/>
    </xf>
    <xf numFmtId="0" fontId="23" fillId="5" borderId="0" xfId="0" quotePrefix="1" applyFont="1" applyFill="1" applyAlignment="1" applyProtection="1">
      <alignment horizontal="left" wrapText="1"/>
    </xf>
    <xf numFmtId="0" fontId="32" fillId="5" borderId="0" xfId="0" applyFont="1" applyFill="1" applyBorder="1" applyAlignment="1">
      <alignment horizontal="left"/>
    </xf>
    <xf numFmtId="0" fontId="31" fillId="5" borderId="0" xfId="0" applyFont="1" applyFill="1" applyBorder="1" applyAlignment="1">
      <alignment horizontal="centerContinuous"/>
    </xf>
    <xf numFmtId="0" fontId="31" fillId="5" borderId="0" xfId="0" applyFont="1" applyFill="1" applyBorder="1" applyAlignment="1"/>
    <xf numFmtId="0" fontId="31" fillId="5" borderId="0" xfId="0" quotePrefix="1" applyFont="1" applyFill="1" applyAlignment="1" applyProtection="1">
      <alignment wrapText="1"/>
    </xf>
    <xf numFmtId="0" fontId="34" fillId="5" borderId="0" xfId="0" applyFont="1" applyFill="1" applyAlignment="1" applyProtection="1">
      <alignment horizontal="left"/>
      <protection locked="0"/>
    </xf>
    <xf numFmtId="49" fontId="23" fillId="5" borderId="0" xfId="0" applyNumberFormat="1" applyFont="1" applyFill="1" applyAlignment="1" applyProtection="1">
      <alignment horizontal="left" wrapText="1"/>
    </xf>
    <xf numFmtId="0" fontId="31" fillId="5" borderId="0" xfId="0" quotePrefix="1" applyFont="1" applyFill="1" applyAlignment="1" applyProtection="1">
      <alignment horizontal="center"/>
    </xf>
    <xf numFmtId="0" fontId="0" fillId="5" borderId="0" xfId="0" applyFill="1" applyAlignment="1">
      <alignment wrapText="1"/>
    </xf>
    <xf numFmtId="0" fontId="31" fillId="5" borderId="0" xfId="0" applyFont="1" applyFill="1" applyBorder="1" applyAlignment="1" applyProtection="1">
      <alignment horizontal="center"/>
    </xf>
    <xf numFmtId="0" fontId="23" fillId="5" borderId="0" xfId="0" quotePrefix="1" applyFont="1" applyFill="1" applyAlignment="1" applyProtection="1">
      <alignment horizontal="left"/>
    </xf>
    <xf numFmtId="0" fontId="31" fillId="5" borderId="0" xfId="0" quotePrefix="1" applyFont="1" applyFill="1" applyAlignment="1" applyProtection="1">
      <alignment horizontal="left" wrapText="1"/>
    </xf>
    <xf numFmtId="0" fontId="35" fillId="5" borderId="0" xfId="0" applyFont="1" applyFill="1"/>
    <xf numFmtId="0" fontId="36" fillId="5" borderId="0" xfId="0" applyFont="1" applyFill="1"/>
    <xf numFmtId="0" fontId="23" fillId="5" borderId="0" xfId="0" applyFont="1" applyFill="1" applyAlignment="1" applyProtection="1">
      <alignment vertical="center" wrapText="1"/>
    </xf>
    <xf numFmtId="0" fontId="31" fillId="5" borderId="0" xfId="0" applyFont="1" applyFill="1" applyBorder="1" applyAlignment="1" applyProtection="1">
      <alignment vertical="center" wrapText="1"/>
    </xf>
    <xf numFmtId="0" fontId="31" fillId="5" borderId="0" xfId="0" applyFont="1" applyFill="1" applyBorder="1"/>
    <xf numFmtId="0" fontId="31" fillId="5" borderId="0" xfId="0" applyFont="1" applyFill="1" applyAlignment="1" applyProtection="1">
      <alignment horizontal="center" vertical="center" wrapText="1"/>
    </xf>
    <xf numFmtId="0" fontId="31" fillId="5" borderId="0" xfId="0" quotePrefix="1" applyFont="1" applyFill="1" applyAlignment="1" applyProtection="1">
      <alignment horizontal="center" vertical="center" wrapText="1"/>
    </xf>
    <xf numFmtId="0" fontId="0" fillId="5" borderId="0" xfId="0" applyFill="1" applyAlignment="1">
      <alignment horizontal="left"/>
    </xf>
    <xf numFmtId="0" fontId="35" fillId="5" borderId="0" xfId="0" applyFont="1" applyFill="1" applyAlignment="1">
      <alignment horizontal="left" vertical="center"/>
    </xf>
    <xf numFmtId="0" fontId="31" fillId="5" borderId="0" xfId="0" applyFont="1" applyFill="1" applyAlignment="1" applyProtection="1">
      <alignment horizontal="left" vertical="center"/>
    </xf>
    <xf numFmtId="0" fontId="31" fillId="5" borderId="0" xfId="0" applyFont="1" applyFill="1" applyAlignment="1" applyProtection="1">
      <alignment horizontal="center" vertical="center"/>
    </xf>
    <xf numFmtId="0" fontId="39" fillId="5" borderId="0" xfId="0" applyFont="1" applyFill="1"/>
    <xf numFmtId="0" fontId="3" fillId="5" borderId="0" xfId="0" applyFont="1" applyFill="1"/>
    <xf numFmtId="1" fontId="23" fillId="5" borderId="0" xfId="0" applyNumberFormat="1" applyFont="1" applyFill="1" applyAlignment="1">
      <alignment horizontal="right"/>
    </xf>
    <xf numFmtId="0" fontId="31" fillId="5" borderId="0" xfId="0" quotePrefix="1" applyFont="1" applyFill="1" applyAlignment="1">
      <alignment horizontal="left"/>
    </xf>
    <xf numFmtId="3" fontId="23" fillId="5" borderId="0" xfId="0" applyNumberFormat="1" applyFont="1" applyFill="1" applyBorder="1" applyAlignment="1">
      <alignment wrapText="1"/>
    </xf>
    <xf numFmtId="0" fontId="39" fillId="5" borderId="28" xfId="0" applyFont="1" applyFill="1" applyBorder="1"/>
    <xf numFmtId="3" fontId="23" fillId="5" borderId="28" xfId="0" applyNumberFormat="1" applyFont="1" applyFill="1" applyBorder="1" applyAlignment="1">
      <alignment wrapText="1"/>
    </xf>
    <xf numFmtId="3" fontId="23" fillId="5" borderId="28" xfId="0" applyNumberFormat="1" applyFont="1" applyFill="1" applyBorder="1" applyAlignment="1">
      <alignment horizontal="center" wrapText="1"/>
    </xf>
    <xf numFmtId="0" fontId="21" fillId="5" borderId="0" xfId="0" applyFont="1" applyFill="1" applyProtection="1">
      <protection hidden="1"/>
    </xf>
    <xf numFmtId="0" fontId="23" fillId="5" borderId="0" xfId="0" applyFont="1" applyFill="1" applyAlignment="1" applyProtection="1">
      <alignment horizontal="left"/>
      <protection hidden="1"/>
    </xf>
    <xf numFmtId="0" fontId="31" fillId="5" borderId="0" xfId="0" applyFont="1" applyFill="1" applyAlignment="1" applyProtection="1">
      <alignment horizontal="left"/>
      <protection hidden="1"/>
    </xf>
    <xf numFmtId="0" fontId="31" fillId="5" borderId="0" xfId="0" applyFont="1" applyFill="1" applyProtection="1">
      <protection hidden="1"/>
    </xf>
    <xf numFmtId="0" fontId="1" fillId="5" borderId="0" xfId="0" applyFont="1" applyFill="1" applyProtection="1">
      <protection hidden="1"/>
    </xf>
    <xf numFmtId="0" fontId="32" fillId="5" borderId="0" xfId="0" applyFont="1" applyFill="1" applyAlignment="1" applyProtection="1">
      <alignment horizontal="left"/>
      <protection hidden="1"/>
    </xf>
    <xf numFmtId="0" fontId="31" fillId="5" borderId="0" xfId="0" applyFont="1" applyFill="1" applyAlignment="1" applyProtection="1">
      <alignment horizontal="centerContinuous"/>
      <protection hidden="1"/>
    </xf>
    <xf numFmtId="0" fontId="32" fillId="5" borderId="0" xfId="0" applyFont="1" applyFill="1" applyAlignment="1" applyProtection="1">
      <alignment horizontal="centerContinuous"/>
      <protection hidden="1"/>
    </xf>
    <xf numFmtId="0" fontId="23"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right"/>
      <protection hidden="1"/>
    </xf>
    <xf numFmtId="0" fontId="32" fillId="5" borderId="0" xfId="0" applyFont="1" applyFill="1" applyBorder="1" applyAlignment="1" applyProtection="1">
      <alignment horizontal="left"/>
      <protection hidden="1"/>
    </xf>
    <xf numFmtId="0" fontId="23" fillId="5" borderId="0" xfId="0" quotePrefix="1" applyFont="1" applyFill="1" applyAlignment="1" applyProtection="1">
      <alignment horizontal="left"/>
      <protection hidden="1"/>
    </xf>
    <xf numFmtId="0" fontId="31" fillId="5" borderId="0" xfId="0" applyFont="1" applyFill="1" applyBorder="1" applyAlignment="1" applyProtection="1">
      <alignment horizontal="centerContinuous"/>
      <protection hidden="1"/>
    </xf>
    <xf numFmtId="0" fontId="31" fillId="5" borderId="0" xfId="0" applyFont="1" applyFill="1" applyBorder="1" applyAlignment="1" applyProtection="1">
      <protection hidden="1"/>
    </xf>
    <xf numFmtId="0" fontId="23" fillId="5" borderId="0" xfId="0" applyFont="1" applyFill="1" applyProtection="1">
      <protection hidden="1"/>
    </xf>
    <xf numFmtId="0" fontId="31" fillId="5" borderId="0" xfId="0" quotePrefix="1" applyFont="1" applyFill="1" applyAlignment="1" applyProtection="1">
      <alignment wrapText="1"/>
      <protection hidden="1"/>
    </xf>
    <xf numFmtId="0" fontId="34" fillId="5" borderId="0" xfId="0" applyFont="1" applyFill="1" applyAlignment="1" applyProtection="1">
      <alignment horizontal="left"/>
      <protection hidden="1"/>
    </xf>
    <xf numFmtId="0" fontId="45" fillId="5" borderId="0" xfId="0" applyFont="1" applyFill="1" applyProtection="1">
      <protection hidden="1"/>
    </xf>
    <xf numFmtId="49" fontId="23" fillId="5" borderId="0" xfId="0" applyNumberFormat="1" applyFont="1" applyFill="1" applyAlignment="1" applyProtection="1">
      <alignment horizontal="left" wrapText="1"/>
      <protection hidden="1"/>
    </xf>
    <xf numFmtId="0" fontId="31" fillId="5" borderId="0" xfId="0" quotePrefix="1" applyFont="1" applyFill="1" applyAlignment="1" applyProtection="1">
      <alignment horizontal="center"/>
      <protection hidden="1"/>
    </xf>
    <xf numFmtId="0" fontId="45" fillId="5" borderId="0" xfId="0" applyFont="1" applyFill="1" applyAlignment="1" applyProtection="1">
      <alignment horizontal="center"/>
      <protection hidden="1"/>
    </xf>
    <xf numFmtId="0" fontId="31" fillId="5" borderId="0" xfId="0" applyFont="1" applyFill="1" applyBorder="1" applyAlignment="1" applyProtection="1">
      <alignment horizontal="center"/>
      <protection hidden="1"/>
    </xf>
    <xf numFmtId="0" fontId="46" fillId="5" borderId="0" xfId="0" applyFont="1" applyFill="1" applyProtection="1">
      <protection hidden="1"/>
    </xf>
    <xf numFmtId="0" fontId="47" fillId="5" borderId="0" xfId="0" applyFont="1" applyFill="1" applyAlignment="1" applyProtection="1">
      <alignment horizontal="left"/>
      <protection hidden="1"/>
    </xf>
    <xf numFmtId="0" fontId="37" fillId="5" borderId="0" xfId="0" applyFont="1" applyFill="1" applyBorder="1" applyAlignment="1" applyProtection="1">
      <alignment horizontal="left"/>
      <protection hidden="1"/>
    </xf>
    <xf numFmtId="0" fontId="31" fillId="5" borderId="0" xfId="0" quotePrefix="1" applyFont="1" applyFill="1" applyAlignment="1" applyProtection="1">
      <alignment horizontal="left"/>
      <protection hidden="1"/>
    </xf>
    <xf numFmtId="0" fontId="37"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left" wrapText="1"/>
      <protection hidden="1"/>
    </xf>
    <xf numFmtId="0" fontId="47" fillId="5" borderId="0" xfId="0" quotePrefix="1" applyFont="1" applyFill="1" applyAlignment="1" applyProtection="1">
      <alignment horizontal="left" vertical="center"/>
      <protection hidden="1"/>
    </xf>
    <xf numFmtId="0" fontId="47" fillId="5" borderId="0" xfId="0" applyFont="1" applyFill="1" applyBorder="1" applyAlignment="1" applyProtection="1">
      <alignment horizontal="left"/>
      <protection hidden="1"/>
    </xf>
    <xf numFmtId="0" fontId="47" fillId="5" borderId="0" xfId="0" applyFont="1" applyFill="1" applyBorder="1" applyAlignment="1" applyProtection="1">
      <alignment horizontal="center"/>
      <protection hidden="1"/>
    </xf>
    <xf numFmtId="0" fontId="47" fillId="5" borderId="0" xfId="0" applyFont="1" applyFill="1" applyProtection="1">
      <protection hidden="1"/>
    </xf>
    <xf numFmtId="0" fontId="47" fillId="5" borderId="0" xfId="0" quotePrefix="1" applyFont="1" applyFill="1" applyAlignment="1" applyProtection="1">
      <alignment horizontal="left" vertical="center" wrapText="1"/>
      <protection hidden="1"/>
    </xf>
    <xf numFmtId="0" fontId="37" fillId="5" borderId="0" xfId="0" applyFont="1" applyFill="1" applyAlignment="1" applyProtection="1">
      <alignment vertical="top"/>
      <protection hidden="1"/>
    </xf>
    <xf numFmtId="0" fontId="31" fillId="5" borderId="0" xfId="0" applyFont="1" applyFill="1" applyAlignment="1" applyProtection="1">
      <alignment vertical="top"/>
      <protection hidden="1"/>
    </xf>
    <xf numFmtId="0" fontId="0" fillId="5" borderId="0" xfId="0" applyFill="1" applyAlignment="1" applyProtection="1">
      <alignment vertical="center"/>
      <protection hidden="1"/>
    </xf>
    <xf numFmtId="0" fontId="49" fillId="5" borderId="0" xfId="0" applyFont="1" applyFill="1" applyBorder="1" applyAlignment="1" applyProtection="1">
      <alignment vertical="center"/>
      <protection hidden="1"/>
    </xf>
    <xf numFmtId="3" fontId="0" fillId="5" borderId="0" xfId="0" applyNumberFormat="1" applyFill="1" applyBorder="1" applyAlignment="1" applyProtection="1">
      <protection hidden="1"/>
    </xf>
    <xf numFmtId="3" fontId="0" fillId="5" borderId="0" xfId="0" applyNumberFormat="1" applyFill="1" applyBorder="1" applyAlignment="1" applyProtection="1">
      <alignment vertical="center"/>
      <protection hidden="1"/>
    </xf>
    <xf numFmtId="3" fontId="0" fillId="5" borderId="0" xfId="0" applyNumberFormat="1" applyFill="1" applyBorder="1" applyAlignment="1" applyProtection="1">
      <alignment horizontal="centerContinuous" vertical="center"/>
      <protection hidden="1"/>
    </xf>
    <xf numFmtId="3" fontId="8" fillId="5" borderId="0" xfId="0" applyNumberFormat="1" applyFont="1" applyFill="1" applyBorder="1" applyAlignment="1" applyProtection="1">
      <alignment vertical="center"/>
      <protection hidden="1"/>
    </xf>
    <xf numFmtId="0" fontId="55" fillId="5" borderId="0" xfId="0" applyFont="1" applyFill="1" applyBorder="1" applyAlignment="1" applyProtection="1">
      <alignment horizontal="left"/>
      <protection hidden="1"/>
    </xf>
    <xf numFmtId="0" fontId="55" fillId="5" borderId="0" xfId="0" quotePrefix="1" applyFont="1" applyFill="1" applyBorder="1" applyAlignment="1" applyProtection="1">
      <alignment horizontal="left"/>
      <protection hidden="1"/>
    </xf>
    <xf numFmtId="0" fontId="55" fillId="5" borderId="0" xfId="0" applyFont="1" applyFill="1" applyBorder="1" applyProtection="1">
      <protection hidden="1"/>
    </xf>
    <xf numFmtId="3" fontId="55" fillId="5" borderId="0" xfId="0" applyNumberFormat="1" applyFont="1" applyFill="1" applyBorder="1" applyProtection="1">
      <protection hidden="1"/>
    </xf>
    <xf numFmtId="3" fontId="57" fillId="5" borderId="0" xfId="0" applyNumberFormat="1" applyFont="1" applyFill="1" applyBorder="1" applyProtection="1">
      <protection hidden="1"/>
    </xf>
    <xf numFmtId="3" fontId="8" fillId="5" borderId="0" xfId="0" applyNumberFormat="1" applyFont="1" applyFill="1" applyBorder="1" applyProtection="1">
      <protection hidden="1"/>
    </xf>
    <xf numFmtId="0" fontId="37" fillId="5" borderId="0" xfId="0" quotePrefix="1" applyFont="1" applyFill="1" applyBorder="1" applyAlignment="1" applyProtection="1">
      <alignment horizontal="left"/>
      <protection hidden="1"/>
    </xf>
    <xf numFmtId="0" fontId="37" fillId="5" borderId="0" xfId="0" applyFont="1" applyFill="1" applyBorder="1" applyProtection="1">
      <protection hidden="1"/>
    </xf>
    <xf numFmtId="3" fontId="37" fillId="5" borderId="0" xfId="0" applyNumberFormat="1" applyFont="1" applyFill="1" applyBorder="1" applyProtection="1">
      <protection hidden="1"/>
    </xf>
    <xf numFmtId="3" fontId="45" fillId="5" borderId="0" xfId="0" applyNumberFormat="1" applyFont="1" applyFill="1" applyBorder="1" applyProtection="1">
      <protection hidden="1"/>
    </xf>
    <xf numFmtId="3" fontId="49" fillId="5" borderId="0" xfId="0" applyNumberFormat="1" applyFont="1" applyFill="1" applyBorder="1" applyProtection="1">
      <protection hidden="1"/>
    </xf>
    <xf numFmtId="0" fontId="45" fillId="5" borderId="0" xfId="0" applyFont="1" applyFill="1" applyBorder="1" applyProtection="1">
      <protection hidden="1"/>
    </xf>
    <xf numFmtId="3" fontId="45" fillId="5" borderId="0" xfId="0" quotePrefix="1" applyNumberFormat="1" applyFont="1" applyFill="1" applyBorder="1" applyAlignment="1" applyProtection="1">
      <alignment horizontal="left"/>
      <protection hidden="1"/>
    </xf>
    <xf numFmtId="0" fontId="59" fillId="5" borderId="0" xfId="0" applyFont="1" applyFill="1" applyBorder="1" applyAlignment="1" applyProtection="1">
      <alignment horizontal="left"/>
      <protection hidden="1"/>
    </xf>
    <xf numFmtId="0" fontId="10" fillId="5" borderId="0" xfId="0" applyFont="1" applyFill="1" applyBorder="1" applyProtection="1">
      <protection hidden="1"/>
    </xf>
    <xf numFmtId="3" fontId="60" fillId="5" borderId="0" xfId="0" applyNumberFormat="1" applyFont="1" applyFill="1" applyBorder="1" applyProtection="1">
      <protection hidden="1"/>
    </xf>
    <xf numFmtId="3" fontId="10" fillId="5" borderId="0" xfId="0" applyNumberFormat="1" applyFont="1" applyFill="1" applyBorder="1" applyProtection="1">
      <protection hidden="1"/>
    </xf>
    <xf numFmtId="3" fontId="22" fillId="5" borderId="0" xfId="0" applyNumberFormat="1" applyFont="1" applyFill="1" applyBorder="1" applyProtection="1">
      <protection hidden="1"/>
    </xf>
    <xf numFmtId="3" fontId="23" fillId="5" borderId="0" xfId="0" applyNumberFormat="1" applyFont="1" applyFill="1" applyBorder="1" applyProtection="1">
      <protection hidden="1"/>
    </xf>
    <xf numFmtId="0" fontId="31" fillId="5" borderId="0" xfId="0" applyFont="1" applyFill="1" applyBorder="1" applyProtection="1">
      <protection hidden="1"/>
    </xf>
    <xf numFmtId="0" fontId="35" fillId="5" borderId="0" xfId="0" applyFont="1" applyFill="1" applyBorder="1" applyProtection="1">
      <protection hidden="1"/>
    </xf>
    <xf numFmtId="0" fontId="58" fillId="5" borderId="0" xfId="0" applyFont="1" applyFill="1" applyAlignment="1" applyProtection="1">
      <alignment horizontal="left" vertical="top" indent="4"/>
      <protection hidden="1"/>
    </xf>
    <xf numFmtId="0" fontId="0" fillId="5" borderId="0" xfId="0" applyFill="1" applyBorder="1" applyProtection="1">
      <protection hidden="1"/>
    </xf>
    <xf numFmtId="0" fontId="37" fillId="5" borderId="0" xfId="0" applyFont="1" applyFill="1" applyProtection="1">
      <protection hidden="1"/>
    </xf>
    <xf numFmtId="49" fontId="37" fillId="5" borderId="0" xfId="0" applyNumberFormat="1" applyFont="1" applyFill="1" applyAlignment="1" applyProtection="1">
      <alignment horizontal="left" wrapText="1"/>
      <protection hidden="1"/>
    </xf>
    <xf numFmtId="0" fontId="8" fillId="5" borderId="0" xfId="0" applyFont="1" applyFill="1" applyBorder="1" applyProtection="1">
      <protection hidden="1"/>
    </xf>
    <xf numFmtId="49" fontId="37" fillId="5" borderId="0" xfId="0" quotePrefix="1" applyNumberFormat="1" applyFont="1" applyFill="1" applyAlignment="1" applyProtection="1">
      <alignment horizontal="left" wrapText="1"/>
      <protection hidden="1"/>
    </xf>
    <xf numFmtId="0" fontId="31" fillId="5" borderId="28" xfId="0" quotePrefix="1" applyFont="1" applyFill="1" applyBorder="1" applyAlignment="1" applyProtection="1">
      <alignment horizontal="left"/>
      <protection hidden="1"/>
    </xf>
    <xf numFmtId="0" fontId="58" fillId="5" borderId="28" xfId="0" applyFont="1" applyFill="1" applyBorder="1" applyAlignment="1" applyProtection="1">
      <alignment horizontal="left" vertical="top" indent="4"/>
      <protection hidden="1"/>
    </xf>
    <xf numFmtId="0" fontId="0" fillId="5" borderId="28" xfId="0" applyFill="1" applyBorder="1" applyProtection="1">
      <protection hidden="1"/>
    </xf>
    <xf numFmtId="0" fontId="35" fillId="8" borderId="0" xfId="0" applyFont="1" applyFill="1"/>
    <xf numFmtId="0" fontId="31" fillId="8" borderId="0" xfId="0" applyFont="1" applyFill="1"/>
    <xf numFmtId="0" fontId="31" fillId="8" borderId="0" xfId="0" quotePrefix="1" applyFont="1" applyFill="1" applyAlignment="1" applyProtection="1">
      <alignment horizontal="left"/>
      <protection locked="0"/>
    </xf>
    <xf numFmtId="3" fontId="23" fillId="8" borderId="0" xfId="0" applyNumberFormat="1" applyFont="1" applyFill="1" applyBorder="1" applyAlignment="1">
      <alignment wrapText="1"/>
    </xf>
    <xf numFmtId="0" fontId="43" fillId="8" borderId="0" xfId="0" applyFont="1" applyFill="1"/>
    <xf numFmtId="0" fontId="31" fillId="3" borderId="0" xfId="0" applyFont="1" applyFill="1" applyBorder="1" applyProtection="1">
      <protection hidden="1"/>
    </xf>
    <xf numFmtId="0" fontId="0" fillId="0" borderId="15" xfId="0" applyBorder="1"/>
    <xf numFmtId="14" fontId="0" fillId="0" borderId="15" xfId="0" applyNumberFormat="1" applyBorder="1"/>
    <xf numFmtId="0" fontId="0" fillId="0" borderId="15" xfId="0" applyBorder="1" applyAlignment="1">
      <alignment wrapText="1"/>
    </xf>
    <xf numFmtId="0" fontId="0" fillId="3" borderId="0" xfId="0" applyFill="1"/>
    <xf numFmtId="0" fontId="3" fillId="3" borderId="0" xfId="0" applyFont="1" applyFill="1"/>
    <xf numFmtId="0" fontId="8" fillId="0" borderId="0" xfId="0" applyFont="1"/>
    <xf numFmtId="0" fontId="0" fillId="0" borderId="15" xfId="0" applyBorder="1" applyAlignment="1">
      <alignment horizontal="center"/>
    </xf>
    <xf numFmtId="0" fontId="62" fillId="9" borderId="29" xfId="0" applyFont="1" applyFill="1" applyBorder="1" applyAlignment="1" applyProtection="1">
      <alignment horizontal="center" vertical="center" wrapText="1"/>
      <protection locked="0"/>
    </xf>
    <xf numFmtId="0" fontId="62" fillId="9" borderId="4" xfId="0" applyFont="1" applyFill="1" applyBorder="1" applyAlignment="1" applyProtection="1">
      <alignment horizontal="center" vertical="center" wrapText="1"/>
      <protection locked="0"/>
    </xf>
    <xf numFmtId="14" fontId="62" fillId="9" borderId="4" xfId="0" applyNumberFormat="1" applyFont="1" applyFill="1" applyBorder="1" applyAlignment="1" applyProtection="1">
      <alignment horizontal="center" vertical="center" wrapText="1"/>
      <protection locked="0"/>
    </xf>
    <xf numFmtId="0" fontId="62" fillId="9" borderId="5" xfId="0" applyFont="1" applyFill="1" applyBorder="1" applyAlignment="1" applyProtection="1">
      <alignment horizontal="center" vertical="center" wrapText="1"/>
      <protection locked="0"/>
    </xf>
    <xf numFmtId="0" fontId="0" fillId="0" borderId="30" xfId="0" applyBorder="1" applyAlignment="1" applyProtection="1">
      <alignment horizontal="left"/>
      <protection locked="0"/>
    </xf>
    <xf numFmtId="0" fontId="0" fillId="0" borderId="30" xfId="0" applyBorder="1" applyAlignment="1" applyProtection="1">
      <alignment horizontal="center"/>
      <protection locked="0"/>
    </xf>
    <xf numFmtId="14" fontId="0" fillId="0" borderId="30" xfId="0" applyNumberFormat="1" applyBorder="1" applyProtection="1">
      <protection locked="0"/>
    </xf>
    <xf numFmtId="0" fontId="0" fillId="0" borderId="30" xfId="0" applyBorder="1" applyProtection="1">
      <protection locked="0"/>
    </xf>
    <xf numFmtId="0" fontId="0" fillId="0" borderId="15" xfId="0" applyBorder="1" applyAlignment="1" applyProtection="1">
      <alignment horizontal="left"/>
      <protection locked="0"/>
    </xf>
    <xf numFmtId="0" fontId="0" fillId="0" borderId="15" xfId="0" applyBorder="1" applyAlignment="1" applyProtection="1">
      <alignment horizontal="center"/>
      <protection locked="0"/>
    </xf>
    <xf numFmtId="14" fontId="0" fillId="0" borderId="15" xfId="0" applyNumberFormat="1" applyBorder="1" applyProtection="1">
      <protection locked="0"/>
    </xf>
    <xf numFmtId="0" fontId="0" fillId="0" borderId="15" xfId="0" applyBorder="1" applyProtection="1">
      <protection locked="0"/>
    </xf>
    <xf numFmtId="0" fontId="0" fillId="3" borderId="0" xfId="0" applyFill="1" applyProtection="1">
      <protection locked="0"/>
    </xf>
    <xf numFmtId="0" fontId="3" fillId="3" borderId="0" xfId="0" applyFont="1" applyFill="1" applyProtection="1">
      <protection locked="0"/>
    </xf>
    <xf numFmtId="0" fontId="0" fillId="0" borderId="15" xfId="0" applyBorder="1" applyAlignment="1">
      <alignment vertical="top"/>
    </xf>
    <xf numFmtId="0" fontId="0" fillId="0" borderId="15" xfId="0" applyBorder="1" applyAlignment="1">
      <alignment vertical="top" wrapText="1"/>
    </xf>
    <xf numFmtId="0" fontId="0" fillId="0" borderId="15" xfId="0" applyBorder="1" applyAlignment="1">
      <alignment horizontal="center" vertical="top"/>
    </xf>
    <xf numFmtId="14" fontId="63" fillId="0" borderId="15" xfId="0" applyNumberFormat="1" applyFont="1" applyBorder="1" applyAlignment="1">
      <alignment vertical="top"/>
    </xf>
    <xf numFmtId="0" fontId="8" fillId="0" borderId="6" xfId="0" applyFont="1" applyFill="1" applyBorder="1" applyAlignment="1">
      <alignment horizontal="center" vertical="center"/>
    </xf>
    <xf numFmtId="0" fontId="0" fillId="0" borderId="15" xfId="0" applyBorder="1" applyAlignment="1">
      <alignment horizontal="center" vertical="center"/>
    </xf>
    <xf numFmtId="14" fontId="63" fillId="0" borderId="15" xfId="0" applyNumberFormat="1" applyFont="1" applyBorder="1"/>
    <xf numFmtId="0" fontId="63" fillId="0" borderId="15" xfId="0" applyFont="1" applyBorder="1" applyAlignment="1">
      <alignment horizontal="center"/>
    </xf>
    <xf numFmtId="0" fontId="2" fillId="0" borderId="0" xfId="0" applyFont="1" applyAlignment="1"/>
    <xf numFmtId="0" fontId="0" fillId="10" borderId="0" xfId="0" applyFill="1" applyAlignment="1" applyProtection="1">
      <alignment horizontal="left" vertical="center"/>
      <protection locked="0"/>
    </xf>
    <xf numFmtId="0" fontId="8" fillId="0" borderId="0" xfId="2" applyNumberFormat="1" applyFont="1" applyFill="1" applyAlignment="1">
      <alignment horizontal="left" vertical="center" wrapText="1"/>
    </xf>
    <xf numFmtId="0" fontId="1" fillId="5" borderId="1" xfId="2" applyNumberFormat="1" applyFont="1" applyFill="1" applyBorder="1" applyAlignment="1" applyProtection="1">
      <alignment horizontal="center" vertical="center" wrapText="1"/>
      <protection locked="0"/>
    </xf>
    <xf numFmtId="0" fontId="66" fillId="3" borderId="0" xfId="2" applyNumberFormat="1" applyFont="1" applyFill="1" applyAlignment="1">
      <alignment horizontal="center" vertical="center" wrapText="1"/>
    </xf>
    <xf numFmtId="0" fontId="64" fillId="5" borderId="15" xfId="0" applyFont="1" applyFill="1" applyBorder="1"/>
    <xf numFmtId="49" fontId="65" fillId="5" borderId="1" xfId="2" applyNumberFormat="1" applyFont="1" applyFill="1" applyBorder="1" applyAlignment="1" applyProtection="1">
      <alignment horizontal="center" vertical="center" wrapText="1"/>
      <protection locked="0"/>
    </xf>
    <xf numFmtId="0" fontId="1" fillId="3" borderId="0" xfId="2" applyNumberFormat="1" applyFont="1" applyFill="1" applyAlignment="1">
      <alignment horizontal="center" vertical="center" wrapText="1"/>
    </xf>
    <xf numFmtId="0" fontId="3" fillId="0" borderId="0" xfId="0" applyFont="1" applyAlignment="1">
      <alignment horizontal="justify" vertical="top" wrapText="1"/>
    </xf>
    <xf numFmtId="0" fontId="35" fillId="5" borderId="0" xfId="0" applyFont="1" applyFill="1" applyAlignment="1" applyProtection="1">
      <alignment horizontal="center"/>
      <protection hidden="1"/>
    </xf>
    <xf numFmtId="0" fontId="35" fillId="5" borderId="0" xfId="0" applyFont="1" applyFill="1" applyAlignment="1" applyProtection="1">
      <protection hidden="1"/>
    </xf>
    <xf numFmtId="0" fontId="35" fillId="5" borderId="0" xfId="0" applyFont="1" applyFill="1" applyAlignment="1" applyProtection="1">
      <alignment horizontal="right"/>
      <protection hidden="1"/>
    </xf>
    <xf numFmtId="165" fontId="35" fillId="5" borderId="0" xfId="0" applyNumberFormat="1" applyFont="1" applyFill="1" applyAlignment="1" applyProtection="1">
      <alignment horizontal="left"/>
      <protection hidden="1"/>
    </xf>
    <xf numFmtId="14" fontId="35" fillId="5" borderId="0" xfId="0" applyNumberFormat="1" applyFont="1" applyFill="1" applyAlignment="1" applyProtection="1">
      <alignment horizontal="right"/>
      <protection hidden="1"/>
    </xf>
    <xf numFmtId="0" fontId="24" fillId="0" borderId="0" xfId="0" applyFont="1" applyFill="1"/>
    <xf numFmtId="0" fontId="24" fillId="0" borderId="0" xfId="0" applyFont="1" applyFill="1" applyProtection="1">
      <protection hidden="1"/>
    </xf>
    <xf numFmtId="0" fontId="27" fillId="11" borderId="0" xfId="0" applyFont="1" applyFill="1" applyBorder="1"/>
    <xf numFmtId="0" fontId="24" fillId="11" borderId="0" xfId="0" applyFont="1" applyFill="1"/>
    <xf numFmtId="0" fontId="24" fillId="11" borderId="0" xfId="0" applyFont="1" applyFill="1" applyProtection="1">
      <protection hidden="1"/>
    </xf>
    <xf numFmtId="0" fontId="29" fillId="0" borderId="12" xfId="0" applyFont="1" applyBorder="1" applyAlignment="1">
      <alignment vertical="top" wrapText="1"/>
    </xf>
    <xf numFmtId="0" fontId="29" fillId="0" borderId="13" xfId="0" applyFont="1" applyBorder="1" applyAlignment="1">
      <alignment vertical="top" wrapText="1"/>
    </xf>
    <xf numFmtId="0" fontId="29" fillId="0" borderId="14" xfId="0" applyFont="1" applyBorder="1" applyAlignment="1">
      <alignment vertical="top" wrapText="1"/>
    </xf>
    <xf numFmtId="0" fontId="31" fillId="5" borderId="28" xfId="0" applyFont="1" applyFill="1" applyBorder="1" applyProtection="1">
      <protection hidden="1"/>
    </xf>
    <xf numFmtId="172" fontId="45" fillId="5" borderId="0" xfId="0" applyNumberFormat="1" applyFont="1" applyFill="1" applyBorder="1" applyAlignment="1" applyProtection="1">
      <alignment horizontal="left"/>
      <protection hidden="1"/>
    </xf>
    <xf numFmtId="0" fontId="45" fillId="5" borderId="0" xfId="0" applyFont="1" applyFill="1" applyBorder="1" applyAlignment="1" applyProtection="1">
      <alignment horizontal="center"/>
      <protection hidden="1"/>
    </xf>
    <xf numFmtId="0" fontId="55" fillId="5" borderId="0" xfId="0" applyFont="1" applyFill="1" applyProtection="1">
      <protection hidden="1"/>
    </xf>
    <xf numFmtId="3" fontId="8" fillId="0" borderId="2" xfId="2" applyNumberFormat="1" applyFont="1" applyFill="1" applyBorder="1" applyAlignment="1" applyProtection="1">
      <alignment horizontal="left" vertical="center" wrapText="1"/>
      <protection locked="0"/>
    </xf>
    <xf numFmtId="3" fontId="29" fillId="0" borderId="0" xfId="0" applyNumberFormat="1" applyFont="1" applyBorder="1" applyAlignment="1">
      <alignment horizontal="center" vertical="top" wrapText="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7" fillId="5" borderId="0" xfId="0" applyFont="1" applyFill="1" applyAlignment="1" applyProtection="1">
      <alignment horizontal="left" vertical="center" wrapText="1"/>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protection hidden="1"/>
    </xf>
    <xf numFmtId="3" fontId="29" fillId="0" borderId="35" xfId="0" applyNumberFormat="1" applyFont="1" applyFill="1" applyBorder="1" applyAlignment="1">
      <alignment horizontal="center" vertical="top" wrapText="1"/>
    </xf>
    <xf numFmtId="0" fontId="8" fillId="0" borderId="1" xfId="2" applyNumberFormat="1" applyFont="1" applyFill="1" applyBorder="1" applyAlignment="1" applyProtection="1">
      <alignment vertical="center" wrapText="1"/>
      <protection locked="0"/>
    </xf>
    <xf numFmtId="0" fontId="47" fillId="5" borderId="0" xfId="0" applyFont="1" applyFill="1" applyAlignment="1" applyProtection="1">
      <alignment horizontal="left" vertical="center"/>
      <protection hidden="1"/>
    </xf>
    <xf numFmtId="0" fontId="8" fillId="0" borderId="0" xfId="2" applyNumberFormat="1" applyFont="1" applyFill="1" applyBorder="1" applyAlignment="1">
      <alignment horizontal="center" vertical="center" wrapText="1"/>
    </xf>
    <xf numFmtId="0" fontId="8" fillId="0" borderId="0" xfId="2" applyNumberFormat="1" applyFont="1" applyFill="1" applyBorder="1" applyAlignment="1">
      <alignment horizontal="left" vertical="center" wrapText="1"/>
    </xf>
    <xf numFmtId="0" fontId="8" fillId="0" borderId="2" xfId="2" applyNumberFormat="1" applyFont="1" applyFill="1" applyBorder="1" applyAlignment="1">
      <alignment horizontal="left" vertical="center" wrapText="1"/>
    </xf>
    <xf numFmtId="0" fontId="8" fillId="0" borderId="2" xfId="2" applyNumberFormat="1" applyFont="1" applyFill="1" applyBorder="1" applyAlignment="1">
      <alignment horizontal="center" vertical="center" wrapText="1"/>
    </xf>
    <xf numFmtId="49" fontId="8" fillId="0" borderId="2" xfId="2" applyNumberFormat="1" applyFont="1" applyFill="1" applyBorder="1" applyAlignment="1">
      <alignment horizontal="center" vertical="center" wrapText="1"/>
    </xf>
    <xf numFmtId="167" fontId="8" fillId="0" borderId="2" xfId="2" applyNumberFormat="1" applyFont="1" applyFill="1" applyBorder="1" applyAlignment="1">
      <alignment horizontal="center" vertical="center" wrapText="1"/>
    </xf>
    <xf numFmtId="0" fontId="8" fillId="0" borderId="25" xfId="2" applyNumberFormat="1" applyFont="1" applyFill="1" applyBorder="1" applyAlignment="1">
      <alignment horizontal="left" vertical="center" wrapText="1"/>
    </xf>
    <xf numFmtId="0" fontId="8" fillId="0" borderId="25" xfId="2" applyNumberFormat="1" applyFont="1" applyFill="1" applyBorder="1" applyAlignment="1">
      <alignment horizontal="center" vertical="center" wrapText="1"/>
    </xf>
    <xf numFmtId="49" fontId="8" fillId="0" borderId="25" xfId="2" applyNumberFormat="1" applyFont="1" applyFill="1" applyBorder="1" applyAlignment="1">
      <alignment horizontal="center" vertical="center" wrapText="1"/>
    </xf>
    <xf numFmtId="166" fontId="8" fillId="0" borderId="25" xfId="2" applyNumberFormat="1" applyFont="1" applyFill="1" applyBorder="1" applyAlignment="1">
      <alignment horizontal="center" vertical="center" wrapText="1"/>
    </xf>
    <xf numFmtId="167" fontId="8" fillId="0" borderId="25" xfId="2" applyNumberFormat="1" applyFont="1" applyFill="1" applyBorder="1" applyAlignment="1">
      <alignment horizontal="center" vertical="center" wrapText="1"/>
    </xf>
    <xf numFmtId="0" fontId="8" fillId="0" borderId="36" xfId="2" applyNumberFormat="1" applyFont="1" applyFill="1" applyBorder="1" applyAlignment="1">
      <alignment horizontal="left" vertical="center" wrapText="1"/>
    </xf>
    <xf numFmtId="0" fontId="8" fillId="0" borderId="1" xfId="2" applyNumberFormat="1" applyFont="1" applyFill="1" applyBorder="1" applyAlignment="1">
      <alignment horizontal="center" vertical="center" wrapText="1"/>
    </xf>
    <xf numFmtId="0" fontId="67" fillId="5" borderId="0" xfId="2" applyNumberFormat="1" applyFont="1" applyFill="1" applyAlignment="1">
      <alignment horizontal="center" vertical="center" wrapText="1"/>
    </xf>
    <xf numFmtId="0" fontId="8" fillId="3" borderId="0" xfId="0" applyNumberFormat="1" applyFont="1" applyFill="1" applyBorder="1" applyAlignment="1" applyProtection="1">
      <alignment horizontal="center" vertical="center" wrapText="1"/>
    </xf>
    <xf numFmtId="0" fontId="8" fillId="5" borderId="1" xfId="0" applyNumberFormat="1" applyFont="1" applyFill="1" applyBorder="1" applyAlignment="1" applyProtection="1">
      <alignment horizontal="center" vertical="center" wrapText="1"/>
      <protection locked="0"/>
    </xf>
    <xf numFmtId="49" fontId="8" fillId="0" borderId="1" xfId="0" applyNumberFormat="1" applyFont="1" applyFill="1" applyBorder="1" applyAlignment="1" applyProtection="1">
      <alignment horizontal="center" vertical="center" wrapText="1"/>
      <protection locked="0"/>
    </xf>
    <xf numFmtId="0" fontId="7" fillId="0" borderId="2" xfId="0" applyNumberFormat="1" applyFont="1" applyFill="1" applyBorder="1" applyAlignment="1" applyProtection="1">
      <alignment horizontal="center" vertical="center" wrapText="1"/>
    </xf>
    <xf numFmtId="166" fontId="8" fillId="5" borderId="1" xfId="0" applyNumberFormat="1" applyFont="1" applyFill="1" applyBorder="1" applyAlignment="1" applyProtection="1">
      <alignment horizontal="center" vertical="center" wrapText="1"/>
      <protection locked="0"/>
    </xf>
    <xf numFmtId="167" fontId="8" fillId="5" borderId="1" xfId="0" applyNumberFormat="1" applyFont="1" applyFill="1" applyBorder="1" applyAlignment="1" applyProtection="1">
      <alignment horizontal="center" vertical="center" wrapText="1"/>
      <protection locked="0"/>
    </xf>
    <xf numFmtId="0" fontId="8" fillId="5" borderId="2" xfId="0"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center" vertical="center" wrapText="1"/>
      <protection locked="0"/>
    </xf>
    <xf numFmtId="0" fontId="9" fillId="12" borderId="1" xfId="2" applyNumberFormat="1" applyFont="1" applyFill="1" applyBorder="1" applyAlignment="1">
      <alignment horizontal="center" vertical="center" wrapText="1"/>
    </xf>
    <xf numFmtId="0" fontId="0" fillId="0" borderId="15" xfId="0" applyBorder="1" applyAlignment="1">
      <alignment horizontal="left"/>
    </xf>
    <xf numFmtId="0" fontId="0" fillId="0" borderId="15" xfId="0" applyBorder="1" applyAlignment="1">
      <alignment horizontal="left" wrapText="1"/>
    </xf>
    <xf numFmtId="14" fontId="0" fillId="0" borderId="15" xfId="0" applyNumberFormat="1" applyBorder="1" applyAlignment="1">
      <alignment horizontal="right"/>
    </xf>
    <xf numFmtId="14" fontId="0" fillId="0" borderId="15" xfId="0" applyNumberFormat="1" applyBorder="1" applyAlignment="1">
      <alignment horizontal="left"/>
    </xf>
    <xf numFmtId="0" fontId="1" fillId="0" borderId="15" xfId="0" applyFont="1" applyBorder="1" applyAlignment="1" applyProtection="1">
      <alignment horizontal="left"/>
      <protection locked="0"/>
    </xf>
    <xf numFmtId="0" fontId="1" fillId="0" borderId="15" xfId="0" applyFont="1" applyBorder="1" applyAlignment="1" applyProtection="1">
      <alignment horizontal="center"/>
      <protection locked="0"/>
    </xf>
    <xf numFmtId="14" fontId="1" fillId="0" borderId="15" xfId="0" applyNumberFormat="1" applyFont="1" applyBorder="1" applyProtection="1">
      <protection locked="0"/>
    </xf>
    <xf numFmtId="0" fontId="1" fillId="0" borderId="15" xfId="0" applyFont="1" applyBorder="1" applyProtection="1">
      <protection locked="0"/>
    </xf>
    <xf numFmtId="0" fontId="68" fillId="5" borderId="15" xfId="0" applyFont="1" applyFill="1" applyBorder="1"/>
    <xf numFmtId="49" fontId="68" fillId="5" borderId="15" xfId="0" applyNumberFormat="1" applyFont="1" applyFill="1" applyBorder="1" applyAlignment="1">
      <alignment horizontal="right"/>
    </xf>
    <xf numFmtId="0" fontId="69" fillId="5" borderId="15" xfId="0" applyFont="1" applyFill="1" applyBorder="1"/>
    <xf numFmtId="0" fontId="8" fillId="0" borderId="15" xfId="0" applyFont="1" applyBorder="1"/>
    <xf numFmtId="0" fontId="8" fillId="0" borderId="15" xfId="0" applyFont="1" applyBorder="1" applyAlignment="1">
      <alignment horizontal="center"/>
    </xf>
    <xf numFmtId="0" fontId="1" fillId="0" borderId="15" xfId="0" applyFont="1" applyBorder="1" applyAlignment="1">
      <alignment horizontal="center"/>
    </xf>
    <xf numFmtId="0" fontId="0" fillId="13" borderId="0" xfId="0" applyFill="1"/>
    <xf numFmtId="0" fontId="31" fillId="13" borderId="0" xfId="0" applyFont="1" applyFill="1"/>
    <xf numFmtId="165" fontId="33" fillId="13" borderId="0" xfId="0" applyNumberFormat="1" applyFont="1" applyFill="1"/>
    <xf numFmtId="175" fontId="29" fillId="0" borderId="37" xfId="0" applyNumberFormat="1" applyFont="1" applyBorder="1" applyAlignment="1">
      <alignment horizontal="center" vertical="top" wrapText="1"/>
    </xf>
    <xf numFmtId="175" fontId="29" fillId="0" borderId="11" xfId="0" applyNumberFormat="1" applyFont="1" applyBorder="1" applyAlignment="1">
      <alignment horizontal="center" vertical="top" wrapText="1"/>
    </xf>
    <xf numFmtId="175" fontId="0" fillId="0" borderId="0" xfId="0" applyNumberFormat="1" applyBorder="1"/>
    <xf numFmtId="175" fontId="29" fillId="0" borderId="35" xfId="0" applyNumberFormat="1" applyFont="1" applyFill="1" applyBorder="1" applyAlignment="1">
      <alignment horizontal="center" vertical="top" wrapText="1"/>
    </xf>
    <xf numFmtId="4" fontId="38" fillId="5" borderId="15" xfId="0" applyNumberFormat="1" applyFont="1" applyFill="1" applyBorder="1" applyAlignment="1" applyProtection="1">
      <alignment vertical="center"/>
    </xf>
    <xf numFmtId="4" fontId="8" fillId="5" borderId="15" xfId="0" applyNumberFormat="1" applyFont="1" applyFill="1" applyBorder="1" applyAlignment="1">
      <alignment vertical="center"/>
    </xf>
    <xf numFmtId="2" fontId="23" fillId="5" borderId="0" xfId="0" applyNumberFormat="1" applyFont="1" applyFill="1" applyAlignment="1">
      <alignment horizontal="center"/>
    </xf>
    <xf numFmtId="2" fontId="23" fillId="5" borderId="0" xfId="0" applyNumberFormat="1" applyFont="1" applyFill="1" applyAlignment="1">
      <alignment horizontal="right"/>
    </xf>
    <xf numFmtId="2" fontId="29" fillId="0" borderId="38" xfId="0" applyNumberFormat="1" applyFont="1" applyFill="1" applyBorder="1" applyAlignment="1">
      <alignment horizontal="center" vertical="top" wrapText="1"/>
    </xf>
    <xf numFmtId="2" fontId="29" fillId="0" borderId="39" xfId="0" applyNumberFormat="1" applyFont="1" applyFill="1" applyBorder="1" applyAlignment="1">
      <alignment horizontal="center" vertical="top" wrapText="1"/>
    </xf>
    <xf numFmtId="2" fontId="29" fillId="0" borderId="15" xfId="0" applyNumberFormat="1" applyFont="1" applyBorder="1" applyAlignment="1">
      <alignment horizontal="center"/>
    </xf>
    <xf numFmtId="2" fontId="29" fillId="0" borderId="40" xfId="0" applyNumberFormat="1" applyFont="1" applyBorder="1" applyAlignment="1">
      <alignment horizontal="center"/>
    </xf>
    <xf numFmtId="2" fontId="29" fillId="0" borderId="41" xfId="0" applyNumberFormat="1" applyFont="1" applyBorder="1" applyAlignment="1">
      <alignment horizontal="center"/>
    </xf>
    <xf numFmtId="2" fontId="29" fillId="0" borderId="42" xfId="0" applyNumberFormat="1" applyFont="1" applyBorder="1" applyAlignment="1">
      <alignment horizontal="center"/>
    </xf>
    <xf numFmtId="2" fontId="0" fillId="0" borderId="0" xfId="0" applyNumberFormat="1"/>
    <xf numFmtId="2" fontId="29" fillId="0" borderId="38" xfId="0" applyNumberFormat="1" applyFont="1" applyBorder="1" applyAlignment="1">
      <alignment horizontal="center" vertical="top" wrapText="1"/>
    </xf>
    <xf numFmtId="2" fontId="29" fillId="0" borderId="39" xfId="0" applyNumberFormat="1" applyFont="1" applyBorder="1" applyAlignment="1">
      <alignment horizontal="center" vertical="top" wrapText="1"/>
    </xf>
    <xf numFmtId="2" fontId="29" fillId="0" borderId="15" xfId="0" applyNumberFormat="1" applyFont="1" applyBorder="1" applyAlignment="1">
      <alignment horizontal="center" vertical="top" wrapText="1"/>
    </xf>
    <xf numFmtId="2" fontId="29" fillId="0" borderId="40" xfId="0" applyNumberFormat="1" applyFont="1" applyBorder="1" applyAlignment="1">
      <alignment horizontal="center" vertical="top" wrapText="1"/>
    </xf>
    <xf numFmtId="2" fontId="29" fillId="0" borderId="41" xfId="0" applyNumberFormat="1" applyFont="1" applyBorder="1" applyAlignment="1">
      <alignment horizontal="center" vertical="top" wrapText="1"/>
    </xf>
    <xf numFmtId="2" fontId="29" fillId="0" borderId="42" xfId="0" applyNumberFormat="1" applyFont="1" applyBorder="1" applyAlignment="1">
      <alignment horizontal="center" vertical="top" wrapText="1"/>
    </xf>
    <xf numFmtId="2" fontId="62" fillId="9" borderId="4" xfId="0" applyNumberFormat="1" applyFont="1" applyFill="1" applyBorder="1" applyAlignment="1" applyProtection="1">
      <alignment horizontal="center" vertical="center" wrapText="1"/>
      <protection locked="0"/>
    </xf>
    <xf numFmtId="2" fontId="0" fillId="0" borderId="30" xfId="0" applyNumberFormat="1" applyBorder="1" applyAlignment="1" applyProtection="1">
      <alignment wrapText="1"/>
      <protection locked="0"/>
    </xf>
    <xf numFmtId="2" fontId="0" fillId="0" borderId="15" xfId="0" applyNumberFormat="1" applyBorder="1" applyAlignment="1" applyProtection="1">
      <alignment wrapText="1"/>
      <protection locked="0"/>
    </xf>
    <xf numFmtId="2" fontId="1" fillId="0" borderId="15" xfId="0" applyNumberFormat="1" applyFont="1" applyBorder="1" applyAlignment="1" applyProtection="1">
      <alignment wrapText="1"/>
      <protection locked="0"/>
    </xf>
    <xf numFmtId="4" fontId="38" fillId="5" borderId="1" xfId="0" applyNumberFormat="1" applyFont="1" applyFill="1" applyBorder="1" applyAlignment="1" applyProtection="1">
      <alignment vertical="center"/>
      <protection hidden="1"/>
    </xf>
    <xf numFmtId="4" fontId="8" fillId="5" borderId="1" xfId="0" applyNumberFormat="1" applyFont="1" applyFill="1" applyBorder="1" applyAlignment="1" applyProtection="1">
      <alignment vertical="center"/>
      <protection hidden="1"/>
    </xf>
    <xf numFmtId="4" fontId="8" fillId="5" borderId="43" xfId="0" applyNumberFormat="1" applyFont="1" applyFill="1" applyBorder="1" applyAlignment="1" applyProtection="1">
      <alignment vertical="center"/>
      <protection hidden="1"/>
    </xf>
    <xf numFmtId="4" fontId="22" fillId="5" borderId="25" xfId="0" applyNumberFormat="1" applyFont="1" applyFill="1" applyBorder="1" applyAlignment="1" applyProtection="1">
      <alignment horizontal="center"/>
      <protection hidden="1"/>
    </xf>
    <xf numFmtId="4" fontId="22" fillId="5" borderId="44" xfId="0" applyNumberFormat="1" applyFont="1" applyFill="1" applyBorder="1" applyAlignment="1" applyProtection="1">
      <alignment horizontal="center"/>
      <protection hidden="1"/>
    </xf>
    <xf numFmtId="2" fontId="38" fillId="5" borderId="1" xfId="0" applyNumberFormat="1" applyFont="1" applyFill="1" applyBorder="1" applyAlignment="1" applyProtection="1">
      <alignment vertical="center"/>
      <protection hidden="1"/>
    </xf>
    <xf numFmtId="2" fontId="8" fillId="5" borderId="1" xfId="3" applyNumberFormat="1" applyFont="1" applyFill="1" applyBorder="1" applyAlignment="1" applyProtection="1">
      <alignment horizontal="center" vertical="center" wrapText="1"/>
      <protection hidden="1"/>
    </xf>
    <xf numFmtId="2" fontId="23" fillId="0" borderId="0" xfId="0" applyNumberFormat="1" applyFont="1" applyFill="1" applyBorder="1" applyAlignment="1" applyProtection="1">
      <alignment wrapText="1"/>
      <protection hidden="1"/>
    </xf>
    <xf numFmtId="2" fontId="24" fillId="6" borderId="0" xfId="0" applyNumberFormat="1" applyFont="1" applyFill="1" applyProtection="1">
      <protection hidden="1"/>
    </xf>
    <xf numFmtId="2" fontId="25" fillId="6" borderId="0" xfId="0" applyNumberFormat="1" applyFont="1" applyFill="1" applyProtection="1">
      <protection hidden="1"/>
    </xf>
    <xf numFmtId="4" fontId="23" fillId="0" borderId="0" xfId="0" applyNumberFormat="1" applyFont="1" applyFill="1" applyBorder="1" applyAlignment="1" applyProtection="1">
      <alignment wrapText="1"/>
      <protection hidden="1"/>
    </xf>
    <xf numFmtId="4" fontId="25" fillId="6" borderId="0" xfId="0" applyNumberFormat="1" applyFont="1" applyFill="1" applyProtection="1">
      <protection hidden="1"/>
    </xf>
    <xf numFmtId="4" fontId="25" fillId="0" borderId="0" xfId="0" applyNumberFormat="1" applyFont="1" applyFill="1" applyProtection="1">
      <protection hidden="1"/>
    </xf>
    <xf numFmtId="4" fontId="25" fillId="11" borderId="0" xfId="0" applyNumberFormat="1" applyFont="1" applyFill="1" applyProtection="1">
      <protection hidden="1"/>
    </xf>
    <xf numFmtId="2" fontId="24" fillId="0" borderId="0" xfId="0" applyNumberFormat="1" applyFont="1" applyFill="1" applyProtection="1">
      <protection hidden="1"/>
    </xf>
    <xf numFmtId="2" fontId="25" fillId="0" borderId="0" xfId="0" applyNumberFormat="1" applyFont="1" applyFill="1" applyProtection="1">
      <protection hidden="1"/>
    </xf>
    <xf numFmtId="2" fontId="24" fillId="11" borderId="0" xfId="0" applyNumberFormat="1" applyFont="1" applyFill="1" applyProtection="1">
      <protection hidden="1"/>
    </xf>
    <xf numFmtId="2" fontId="25" fillId="11" borderId="0" xfId="0" applyNumberFormat="1" applyFont="1" applyFill="1" applyProtection="1">
      <protection hidden="1"/>
    </xf>
    <xf numFmtId="14" fontId="0" fillId="0" borderId="15" xfId="0" applyNumberFormat="1" applyBorder="1" applyAlignment="1">
      <alignment horizontal="center"/>
    </xf>
    <xf numFmtId="0" fontId="3" fillId="5" borderId="15" xfId="0" applyFont="1" applyFill="1" applyBorder="1"/>
    <xf numFmtId="0" fontId="65" fillId="0" borderId="15" xfId="0" applyFont="1" applyBorder="1" applyAlignment="1">
      <alignment horizontal="center"/>
    </xf>
    <xf numFmtId="0" fontId="0" fillId="0" borderId="15" xfId="0" applyBorder="1" applyAlignment="1"/>
    <xf numFmtId="0" fontId="1" fillId="0" borderId="15" xfId="2" applyNumberFormat="1" applyFont="1" applyFill="1" applyBorder="1" applyAlignment="1" applyProtection="1">
      <alignment horizontal="center" vertical="center" wrapText="1"/>
      <protection locked="0"/>
    </xf>
    <xf numFmtId="0" fontId="65" fillId="0" borderId="15" xfId="2" applyNumberFormat="1" applyFont="1" applyFill="1" applyBorder="1" applyAlignment="1" applyProtection="1">
      <alignment horizontal="center" vertical="center" wrapText="1"/>
      <protection locked="0"/>
    </xf>
    <xf numFmtId="0" fontId="1" fillId="0" borderId="15" xfId="2" applyNumberFormat="1" applyFont="1" applyFill="1" applyBorder="1" applyAlignment="1" applyProtection="1">
      <alignment horizontal="left" vertical="center" wrapText="1"/>
      <protection locked="0"/>
    </xf>
    <xf numFmtId="49" fontId="1" fillId="0" borderId="15" xfId="2" applyNumberFormat="1" applyFont="1" applyFill="1" applyBorder="1" applyAlignment="1" applyProtection="1">
      <alignment horizontal="center" vertical="center" wrapText="1"/>
      <protection locked="0"/>
    </xf>
    <xf numFmtId="0" fontId="8" fillId="0" borderId="15" xfId="2" applyNumberFormat="1" applyFont="1" applyFill="1" applyBorder="1" applyAlignment="1" applyProtection="1">
      <alignment horizontal="center" vertical="center" wrapText="1"/>
      <protection locked="0"/>
    </xf>
    <xf numFmtId="0" fontId="0" fillId="0" borderId="15" xfId="2" applyNumberFormat="1" applyFont="1" applyFill="1" applyBorder="1" applyAlignment="1" applyProtection="1">
      <alignment horizontal="left" vertical="center" wrapText="1"/>
      <protection locked="0"/>
    </xf>
    <xf numFmtId="0" fontId="0" fillId="0" borderId="15" xfId="0" applyFill="1" applyBorder="1" applyAlignment="1">
      <alignment wrapText="1"/>
    </xf>
    <xf numFmtId="0" fontId="65" fillId="0" borderId="15" xfId="2" applyNumberFormat="1" applyFont="1" applyFill="1" applyBorder="1" applyAlignment="1" applyProtection="1">
      <alignment horizontal="left" vertical="center" wrapText="1"/>
      <protection locked="0"/>
    </xf>
    <xf numFmtId="0" fontId="8" fillId="0" borderId="0" xfId="2" applyNumberFormat="1" applyFont="1" applyFill="1" applyBorder="1" applyAlignment="1" applyProtection="1">
      <alignment horizontal="center" vertical="center" wrapText="1"/>
      <protection locked="0"/>
    </xf>
    <xf numFmtId="0" fontId="8" fillId="0" borderId="0" xfId="2" applyNumberFormat="1" applyFont="1" applyFill="1" applyBorder="1" applyAlignment="1" applyProtection="1">
      <alignment horizontal="left" vertical="center" wrapText="1"/>
      <protection locked="0"/>
    </xf>
    <xf numFmtId="0" fontId="8" fillId="12" borderId="15" xfId="0" applyFont="1" applyFill="1" applyBorder="1" applyAlignment="1">
      <alignment horizontal="center" vertical="center"/>
    </xf>
    <xf numFmtId="0" fontId="62" fillId="9" borderId="15" xfId="0" applyFont="1" applyFill="1" applyBorder="1" applyAlignment="1">
      <alignment horizontal="center" vertical="center" wrapText="1"/>
    </xf>
    <xf numFmtId="14" fontId="62" fillId="9" borderId="15" xfId="0" applyNumberFormat="1" applyFont="1" applyFill="1" applyBorder="1" applyAlignment="1">
      <alignment horizontal="center" vertical="center" wrapText="1"/>
    </xf>
    <xf numFmtId="0" fontId="8" fillId="0" borderId="15" xfId="0" applyFont="1" applyBorder="1" applyAlignment="1">
      <alignment horizontal="center" vertical="center"/>
    </xf>
    <xf numFmtId="0" fontId="0" fillId="5" borderId="15" xfId="0" applyFill="1" applyBorder="1" applyAlignment="1">
      <alignment horizontal="center"/>
    </xf>
    <xf numFmtId="14" fontId="63" fillId="0" borderId="15" xfId="0" applyNumberFormat="1" applyFont="1" applyBorder="1" applyAlignment="1">
      <alignment horizontal="center"/>
    </xf>
    <xf numFmtId="167" fontId="0" fillId="0" borderId="15"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vertical="center" wrapText="1"/>
      <protection locked="0"/>
    </xf>
    <xf numFmtId="49" fontId="0" fillId="0" borderId="15" xfId="2" applyNumberFormat="1" applyFont="1" applyFill="1" applyBorder="1" applyAlignment="1" applyProtection="1">
      <alignment horizontal="right" vertical="center" wrapText="1"/>
      <protection locked="0"/>
    </xf>
    <xf numFmtId="0" fontId="0" fillId="0" borderId="15" xfId="0" applyFont="1" applyBorder="1" applyAlignment="1">
      <alignment horizontal="left" vertical="center"/>
    </xf>
    <xf numFmtId="0" fontId="0" fillId="0" borderId="15"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left" vertical="center" wrapText="1"/>
      <protection locked="0"/>
    </xf>
    <xf numFmtId="0" fontId="70" fillId="0" borderId="1" xfId="2" applyNumberFormat="1" applyFont="1" applyFill="1" applyBorder="1" applyAlignment="1" applyProtection="1">
      <alignment horizontal="center" vertical="center" wrapText="1"/>
      <protection locked="0"/>
    </xf>
    <xf numFmtId="49" fontId="7" fillId="2" borderId="1" xfId="2" applyNumberFormat="1" applyFont="1" applyFill="1" applyBorder="1" applyAlignment="1">
      <alignment horizontal="center" vertical="center" wrapText="1"/>
    </xf>
    <xf numFmtId="168" fontId="8" fillId="0" borderId="1" xfId="2" applyNumberFormat="1" applyFont="1" applyFill="1" applyBorder="1" applyAlignment="1" applyProtection="1">
      <alignment horizontal="center" vertical="center" wrapText="1"/>
      <protection locked="0"/>
    </xf>
    <xf numFmtId="0" fontId="3" fillId="0" borderId="0" xfId="0" applyFont="1" applyAlignment="1">
      <alignment horizontal="left"/>
    </xf>
    <xf numFmtId="0" fontId="3" fillId="0" borderId="0" xfId="0" applyFont="1" applyAlignment="1">
      <alignment horizontal="justify" vertical="top" wrapText="1"/>
    </xf>
    <xf numFmtId="0" fontId="3" fillId="0" borderId="0" xfId="0" applyNumberFormat="1" applyFont="1" applyAlignment="1">
      <alignment horizontal="left" vertical="top"/>
    </xf>
    <xf numFmtId="0" fontId="3" fillId="0" borderId="0" xfId="0" applyFont="1" applyAlignment="1">
      <alignment horizontal="center"/>
    </xf>
    <xf numFmtId="0" fontId="3" fillId="0" borderId="0" xfId="0" applyFont="1" applyAlignment="1">
      <alignment horizontal="right"/>
    </xf>
    <xf numFmtId="0" fontId="3" fillId="0" borderId="0" xfId="0" applyFont="1" applyAlignment="1">
      <alignment horizontal="left" vertical="top" wrapText="1"/>
    </xf>
    <xf numFmtId="0" fontId="2" fillId="0" borderId="0" xfId="0" applyFont="1" applyAlignment="1">
      <alignment horizontal="center"/>
    </xf>
    <xf numFmtId="165" fontId="3" fillId="10" borderId="0" xfId="0" applyNumberFormat="1" applyFont="1" applyFill="1" applyAlignment="1" applyProtection="1">
      <alignment horizontal="center"/>
      <protection locked="0"/>
    </xf>
    <xf numFmtId="16" fontId="3" fillId="0" borderId="0" xfId="0" applyNumberFormat="1" applyFont="1" applyAlignment="1">
      <alignment horizontal="left" vertical="top" wrapText="1"/>
    </xf>
    <xf numFmtId="0" fontId="3" fillId="0" borderId="0" xfId="0" applyFont="1" applyAlignment="1">
      <alignment horizontal="left" vertical="top"/>
    </xf>
    <xf numFmtId="0" fontId="4" fillId="0" borderId="0" xfId="0" applyFont="1" applyAlignment="1">
      <alignment horizontal="center"/>
    </xf>
    <xf numFmtId="0" fontId="5" fillId="0" borderId="0" xfId="0" applyFont="1" applyAlignment="1">
      <alignment vertical="top" wrapText="1"/>
    </xf>
    <xf numFmtId="0" fontId="5" fillId="0" borderId="0" xfId="0" applyNumberFormat="1" applyFont="1" applyAlignment="1">
      <alignment horizontal="left" vertical="top" wrapText="1"/>
    </xf>
    <xf numFmtId="3" fontId="23" fillId="5" borderId="0" xfId="0" applyNumberFormat="1" applyFont="1" applyFill="1" applyBorder="1" applyAlignment="1">
      <alignment horizontal="left" vertical="center"/>
    </xf>
    <xf numFmtId="3" fontId="23" fillId="5" borderId="0" xfId="0" applyNumberFormat="1" applyFont="1" applyFill="1" applyBorder="1" applyAlignment="1">
      <alignment horizontal="center" wrapText="1"/>
    </xf>
    <xf numFmtId="2" fontId="23" fillId="5" borderId="0" xfId="0" applyNumberFormat="1" applyFont="1" applyFill="1" applyBorder="1" applyAlignment="1">
      <alignment horizontal="center"/>
    </xf>
    <xf numFmtId="0" fontId="31" fillId="5" borderId="0" xfId="0" applyFont="1" applyFill="1" applyBorder="1" applyAlignment="1">
      <alignment horizontal="left"/>
    </xf>
    <xf numFmtId="3" fontId="23" fillId="5" borderId="0" xfId="0" applyNumberFormat="1" applyFont="1" applyFill="1" applyBorder="1" applyAlignment="1">
      <alignment horizontal="left" wrapText="1"/>
    </xf>
    <xf numFmtId="3" fontId="40" fillId="5" borderId="0" xfId="0" applyNumberFormat="1" applyFont="1" applyFill="1" applyBorder="1" applyAlignment="1">
      <alignment horizontal="left" wrapText="1"/>
    </xf>
    <xf numFmtId="0" fontId="39" fillId="5" borderId="0" xfId="0" applyFont="1" applyFill="1" applyAlignment="1">
      <alignment horizontal="left"/>
    </xf>
    <xf numFmtId="3" fontId="31" fillId="5" borderId="0" xfId="0" applyNumberFormat="1" applyFont="1" applyFill="1" applyBorder="1" applyAlignment="1">
      <alignment horizontal="left" wrapText="1"/>
    </xf>
    <xf numFmtId="0" fontId="41" fillId="5" borderId="0" xfId="0" applyFont="1" applyFill="1" applyAlignment="1">
      <alignment horizontal="left"/>
    </xf>
    <xf numFmtId="0" fontId="8" fillId="5" borderId="15" xfId="0" applyFont="1" applyFill="1" applyBorder="1" applyAlignment="1">
      <alignment horizontal="left" vertical="center" wrapText="1"/>
    </xf>
    <xf numFmtId="4" fontId="37" fillId="5" borderId="15" xfId="0" applyNumberFormat="1" applyFont="1" applyFill="1" applyBorder="1" applyAlignment="1" applyProtection="1">
      <alignment vertical="center"/>
    </xf>
    <xf numFmtId="0" fontId="31" fillId="5" borderId="0" xfId="0" applyFont="1" applyFill="1" applyAlignment="1" applyProtection="1">
      <alignment horizontal="left" wrapText="1"/>
    </xf>
    <xf numFmtId="0" fontId="37" fillId="5" borderId="15" xfId="0" quotePrefix="1" applyFont="1" applyFill="1" applyBorder="1" applyAlignment="1" applyProtection="1">
      <alignment horizontal="center" vertical="center" wrapText="1"/>
    </xf>
    <xf numFmtId="170" fontId="37" fillId="5" borderId="15" xfId="0" quotePrefix="1" applyNumberFormat="1" applyFont="1" applyFill="1" applyBorder="1" applyAlignment="1" applyProtection="1">
      <alignment horizontal="center" vertical="center" wrapText="1"/>
    </xf>
    <xf numFmtId="0" fontId="0" fillId="5" borderId="45" xfId="0" applyFill="1" applyBorder="1" applyAlignment="1">
      <alignment horizontal="center"/>
    </xf>
    <xf numFmtId="0" fontId="23" fillId="5" borderId="0" xfId="0" applyFont="1" applyFill="1" applyAlignment="1" applyProtection="1">
      <alignment horizontal="center"/>
      <protection locked="0"/>
    </xf>
    <xf numFmtId="0" fontId="23" fillId="5" borderId="0" xfId="0" quotePrefix="1" applyFont="1" applyFill="1" applyAlignment="1" applyProtection="1">
      <alignment horizontal="center"/>
      <protection locked="0"/>
    </xf>
    <xf numFmtId="0" fontId="23" fillId="5" borderId="0" xfId="0" applyFont="1" applyFill="1" applyAlignment="1" applyProtection="1">
      <alignment horizontal="left" wrapText="1"/>
    </xf>
    <xf numFmtId="0" fontId="23" fillId="5" borderId="0" xfId="0" quotePrefix="1" applyFont="1" applyFill="1" applyAlignment="1" applyProtection="1">
      <alignment horizontal="left" wrapText="1"/>
    </xf>
    <xf numFmtId="0" fontId="31" fillId="5" borderId="0" xfId="0" applyFont="1" applyFill="1" applyAlignment="1">
      <alignment horizontal="center"/>
    </xf>
    <xf numFmtId="0" fontId="31" fillId="5" borderId="0" xfId="0" applyFont="1" applyFill="1" applyAlignment="1" applyProtection="1">
      <alignment horizontal="left"/>
    </xf>
    <xf numFmtId="0" fontId="31" fillId="5" borderId="0" xfId="0" quotePrefix="1" applyFont="1" applyFill="1" applyAlignment="1" applyProtection="1">
      <alignment horizontal="left"/>
    </xf>
    <xf numFmtId="0" fontId="23" fillId="5" borderId="0" xfId="0" quotePrefix="1" applyFont="1" applyFill="1" applyAlignment="1" applyProtection="1">
      <alignment horizontal="center" vertical="center" wrapText="1"/>
    </xf>
    <xf numFmtId="0" fontId="35" fillId="5" borderId="0" xfId="0" applyFont="1" applyFill="1" applyAlignment="1">
      <alignment horizontal="center" wrapText="1"/>
    </xf>
    <xf numFmtId="0" fontId="23" fillId="5" borderId="0" xfId="0" applyFont="1" applyFill="1" applyAlignment="1" applyProtection="1">
      <alignment horizontal="left" vertical="center" wrapText="1"/>
    </xf>
    <xf numFmtId="0" fontId="23" fillId="5" borderId="0" xfId="0" quotePrefix="1" applyFont="1" applyFill="1" applyAlignment="1" applyProtection="1">
      <alignment horizontal="left" vertical="center" wrapText="1"/>
    </xf>
    <xf numFmtId="0" fontId="1" fillId="5" borderId="0" xfId="0" applyFont="1" applyFill="1" applyAlignment="1">
      <alignment wrapText="1"/>
    </xf>
    <xf numFmtId="0" fontId="35" fillId="5" borderId="28" xfId="0" applyFont="1" applyFill="1" applyBorder="1" applyAlignment="1">
      <alignment horizontal="center" vertical="center"/>
    </xf>
    <xf numFmtId="0" fontId="35" fillId="5" borderId="28" xfId="0" applyFont="1" applyFill="1" applyBorder="1" applyAlignment="1">
      <alignment horizontal="center"/>
    </xf>
    <xf numFmtId="0" fontId="31" fillId="5" borderId="0" xfId="0" quotePrefix="1" applyFont="1" applyFill="1" applyAlignment="1" applyProtection="1">
      <alignment horizontal="left" vertical="center"/>
    </xf>
    <xf numFmtId="0" fontId="0" fillId="5" borderId="0" xfId="0" applyFill="1" applyAlignment="1">
      <alignment horizontal="left"/>
    </xf>
    <xf numFmtId="0" fontId="23" fillId="5" borderId="0" xfId="0" quotePrefix="1" applyFont="1" applyFill="1" applyAlignment="1" applyProtection="1">
      <alignment horizontal="center" vertical="center"/>
    </xf>
    <xf numFmtId="0" fontId="35" fillId="5" borderId="0" xfId="0" applyFont="1" applyFill="1" applyAlignment="1">
      <alignment horizontal="center" vertical="center"/>
    </xf>
    <xf numFmtId="165" fontId="20" fillId="0" borderId="0" xfId="0" applyNumberFormat="1" applyFont="1" applyFill="1" applyBorder="1" applyAlignment="1" applyProtection="1">
      <alignment horizontal="left"/>
    </xf>
    <xf numFmtId="0" fontId="31" fillId="5" borderId="0" xfId="0" applyFont="1" applyFill="1" applyAlignment="1" applyProtection="1">
      <alignment horizontal="left" vertical="top" wrapText="1"/>
    </xf>
    <xf numFmtId="0" fontId="31" fillId="5" borderId="0" xfId="0" applyFont="1" applyFill="1" applyBorder="1" applyAlignment="1" applyProtection="1">
      <alignment horizontal="left" vertical="center" wrapText="1"/>
    </xf>
    <xf numFmtId="0" fontId="31" fillId="5" borderId="0" xfId="0" quotePrefix="1" applyFont="1" applyFill="1" applyBorder="1" applyAlignment="1" applyProtection="1">
      <alignment horizontal="left" vertical="center" wrapText="1"/>
    </xf>
    <xf numFmtId="0" fontId="23" fillId="5" borderId="0" xfId="0" applyFont="1" applyFill="1" applyBorder="1" applyAlignment="1" applyProtection="1">
      <alignment horizontal="center" vertical="center" wrapText="1"/>
    </xf>
    <xf numFmtId="0" fontId="36" fillId="12" borderId="46" xfId="0" applyFont="1" applyFill="1" applyBorder="1" applyAlignment="1" applyProtection="1">
      <alignment horizontal="center"/>
      <protection locked="0"/>
    </xf>
    <xf numFmtId="0" fontId="36" fillId="12" borderId="47" xfId="0" applyFont="1" applyFill="1" applyBorder="1" applyAlignment="1" applyProtection="1">
      <alignment horizontal="center"/>
      <protection locked="0"/>
    </xf>
    <xf numFmtId="0" fontId="36" fillId="12" borderId="37" xfId="0" applyFont="1" applyFill="1" applyBorder="1" applyAlignment="1" applyProtection="1">
      <alignment horizontal="center"/>
      <protection locked="0"/>
    </xf>
    <xf numFmtId="0" fontId="27" fillId="0" borderId="0" xfId="0" applyFont="1" applyFill="1" applyBorder="1" applyAlignment="1"/>
    <xf numFmtId="169" fontId="20" fillId="14" borderId="46" xfId="0" applyNumberFormat="1" applyFont="1" applyFill="1" applyBorder="1" applyAlignment="1" applyProtection="1">
      <alignment horizontal="center"/>
      <protection locked="0"/>
    </xf>
    <xf numFmtId="169" fontId="0" fillId="14" borderId="47" xfId="0" applyNumberFormat="1" applyFill="1" applyBorder="1" applyAlignment="1" applyProtection="1">
      <alignment horizontal="center"/>
      <protection locked="0"/>
    </xf>
    <xf numFmtId="169" fontId="0" fillId="14" borderId="37" xfId="0" applyNumberFormat="1" applyFill="1" applyBorder="1" applyAlignment="1" applyProtection="1">
      <alignment horizontal="center"/>
      <protection locked="0"/>
    </xf>
    <xf numFmtId="0" fontId="0" fillId="0" borderId="0" xfId="0" applyFill="1" applyAlignment="1"/>
    <xf numFmtId="0" fontId="10" fillId="4" borderId="29" xfId="0" applyFont="1" applyFill="1" applyBorder="1" applyAlignment="1" applyProtection="1">
      <alignment horizontal="center" vertical="center" wrapText="1"/>
    </xf>
    <xf numFmtId="0" fontId="10" fillId="4" borderId="4" xfId="0" quotePrefix="1" applyFont="1" applyFill="1" applyBorder="1" applyAlignment="1" applyProtection="1">
      <alignment horizontal="center" vertical="center" wrapText="1"/>
    </xf>
    <xf numFmtId="0" fontId="21" fillId="0" borderId="46" xfId="0" applyFont="1" applyFill="1" applyBorder="1" applyAlignment="1" applyProtection="1">
      <protection locked="0"/>
    </xf>
    <xf numFmtId="0" fontId="1" fillId="0" borderId="47" xfId="0" applyFont="1" applyFill="1" applyBorder="1" applyAlignment="1" applyProtection="1">
      <protection locked="0"/>
    </xf>
    <xf numFmtId="0" fontId="1" fillId="0" borderId="37" xfId="0" applyFont="1" applyFill="1" applyBorder="1" applyAlignment="1" applyProtection="1">
      <protection locked="0"/>
    </xf>
    <xf numFmtId="0" fontId="31" fillId="0" borderId="0" xfId="0" applyFont="1" applyFill="1" applyBorder="1" applyAlignment="1" applyProtection="1">
      <alignment horizontal="center"/>
      <protection hidden="1"/>
    </xf>
    <xf numFmtId="0" fontId="23" fillId="5" borderId="0" xfId="0" applyFont="1" applyFill="1" applyAlignment="1" applyProtection="1">
      <alignment horizontal="left"/>
      <protection hidden="1"/>
    </xf>
    <xf numFmtId="0" fontId="23" fillId="5" borderId="0" xfId="0" quotePrefix="1" applyFont="1" applyFill="1" applyAlignment="1" applyProtection="1">
      <alignment horizontal="left"/>
      <protection hidden="1"/>
    </xf>
    <xf numFmtId="165" fontId="20" fillId="5" borderId="0" xfId="0" applyNumberFormat="1" applyFont="1" applyFill="1" applyBorder="1" applyAlignment="1" applyProtection="1">
      <alignment horizontal="center"/>
    </xf>
    <xf numFmtId="165" fontId="20" fillId="5" borderId="0" xfId="0" quotePrefix="1" applyNumberFormat="1" applyFont="1" applyFill="1" applyBorder="1" applyAlignment="1" applyProtection="1">
      <alignment horizontal="center"/>
    </xf>
    <xf numFmtId="173" fontId="37" fillId="5" borderId="0" xfId="0" applyNumberFormat="1" applyFont="1" applyFill="1" applyBorder="1" applyAlignment="1" applyProtection="1">
      <alignment horizontal="center"/>
      <protection hidden="1"/>
    </xf>
    <xf numFmtId="0" fontId="23" fillId="5" borderId="0" xfId="0" quotePrefix="1" applyFont="1" applyFill="1" applyAlignment="1" applyProtection="1">
      <alignment horizontal="left" vertical="center" wrapText="1"/>
      <protection hidden="1"/>
    </xf>
    <xf numFmtId="0" fontId="56" fillId="5" borderId="0" xfId="0" quotePrefix="1" applyFont="1" applyFill="1" applyBorder="1" applyAlignment="1" applyProtection="1">
      <alignment horizontal="left"/>
      <protection hidden="1"/>
    </xf>
    <xf numFmtId="2" fontId="37" fillId="5" borderId="21" xfId="0" applyNumberFormat="1" applyFont="1" applyFill="1" applyBorder="1" applyAlignment="1" applyProtection="1">
      <alignment vertical="center"/>
      <protection hidden="1"/>
    </xf>
    <xf numFmtId="2" fontId="37" fillId="5" borderId="48" xfId="0" applyNumberFormat="1" applyFont="1" applyFill="1" applyBorder="1" applyAlignment="1" applyProtection="1">
      <alignment vertical="center"/>
      <protection hidden="1"/>
    </xf>
    <xf numFmtId="4" fontId="10" fillId="5" borderId="25" xfId="0" applyNumberFormat="1" applyFont="1" applyFill="1" applyBorder="1" applyAlignment="1" applyProtection="1">
      <alignment horizontal="center"/>
      <protection hidden="1"/>
    </xf>
    <xf numFmtId="3" fontId="37" fillId="5" borderId="49" xfId="1" applyNumberFormat="1" applyFont="1" applyFill="1" applyBorder="1" applyAlignment="1" applyProtection="1">
      <alignment horizontal="left" vertical="center" wrapText="1"/>
      <protection hidden="1"/>
    </xf>
    <xf numFmtId="3" fontId="37" fillId="5" borderId="3" xfId="1" applyNumberFormat="1" applyFont="1" applyFill="1" applyBorder="1" applyAlignment="1" applyProtection="1">
      <alignment horizontal="left" vertical="center" wrapText="1"/>
      <protection hidden="1"/>
    </xf>
    <xf numFmtId="3" fontId="37" fillId="5" borderId="48" xfId="1" applyNumberFormat="1" applyFont="1" applyFill="1" applyBorder="1" applyAlignment="1" applyProtection="1">
      <alignment horizontal="left" vertical="center" wrapText="1"/>
      <protection hidden="1"/>
    </xf>
    <xf numFmtId="0" fontId="37" fillId="5" borderId="0" xfId="0" applyFont="1" applyFill="1" applyBorder="1" applyAlignment="1" applyProtection="1">
      <alignment horizontal="left"/>
      <protection hidden="1"/>
    </xf>
    <xf numFmtId="0" fontId="8" fillId="5" borderId="0" xfId="0" applyFont="1" applyFill="1" applyBorder="1" applyAlignment="1" applyProtection="1">
      <alignment horizontal="left"/>
      <protection hidden="1"/>
    </xf>
    <xf numFmtId="0" fontId="35" fillId="5" borderId="0" xfId="0" applyFont="1" applyFill="1" applyAlignment="1" applyProtection="1">
      <alignment horizontal="right"/>
      <protection hidden="1"/>
    </xf>
    <xf numFmtId="165" fontId="35" fillId="5" borderId="0" xfId="0" applyNumberFormat="1" applyFont="1" applyFill="1" applyAlignment="1" applyProtection="1">
      <alignment horizontal="left"/>
      <protection hidden="1"/>
    </xf>
    <xf numFmtId="0" fontId="10" fillId="5" borderId="0" xfId="0" applyFont="1" applyFill="1" applyAlignment="1" applyProtection="1">
      <alignment horizontal="left" vertical="center" wrapText="1"/>
      <protection hidden="1"/>
    </xf>
    <xf numFmtId="0" fontId="10" fillId="5" borderId="50" xfId="0" quotePrefix="1" applyFont="1" applyFill="1" applyBorder="1" applyAlignment="1" applyProtection="1">
      <alignment horizontal="center" vertical="center" wrapText="1"/>
      <protection hidden="1"/>
    </xf>
    <xf numFmtId="0" fontId="10" fillId="5" borderId="45" xfId="0" quotePrefix="1" applyFont="1" applyFill="1" applyBorder="1" applyAlignment="1" applyProtection="1">
      <alignment horizontal="center" vertical="center" wrapText="1"/>
      <protection hidden="1"/>
    </xf>
    <xf numFmtId="0" fontId="10" fillId="5" borderId="51" xfId="0" quotePrefix="1" applyFont="1" applyFill="1" applyBorder="1" applyAlignment="1" applyProtection="1">
      <alignment horizontal="center" vertical="center" wrapText="1"/>
      <protection hidden="1"/>
    </xf>
    <xf numFmtId="170" fontId="10" fillId="5" borderId="18" xfId="0" quotePrefix="1" applyNumberFormat="1" applyFont="1" applyFill="1" applyBorder="1" applyAlignment="1" applyProtection="1">
      <alignment horizontal="center" vertical="center" wrapText="1"/>
      <protection hidden="1"/>
    </xf>
    <xf numFmtId="170" fontId="10" fillId="5" borderId="51" xfId="0" quotePrefix="1" applyNumberFormat="1" applyFont="1" applyFill="1" applyBorder="1" applyAlignment="1" applyProtection="1">
      <alignment horizontal="center" vertical="center" wrapText="1"/>
      <protection hidden="1"/>
    </xf>
    <xf numFmtId="0" fontId="32" fillId="5" borderId="0" xfId="0" quotePrefix="1" applyFont="1" applyFill="1" applyAlignment="1" applyProtection="1">
      <alignment horizontal="center"/>
      <protection hidden="1"/>
    </xf>
    <xf numFmtId="3" fontId="56" fillId="5" borderId="0" xfId="0" quotePrefix="1" applyNumberFormat="1" applyFont="1" applyFill="1" applyBorder="1" applyAlignment="1" applyProtection="1">
      <alignment horizontal="left"/>
      <protection hidden="1"/>
    </xf>
    <xf numFmtId="171" fontId="32" fillId="5" borderId="0" xfId="0" applyNumberFormat="1" applyFont="1" applyFill="1" applyBorder="1" applyAlignment="1" applyProtection="1">
      <alignment horizontal="center" vertical="center"/>
    </xf>
    <xf numFmtId="0" fontId="48" fillId="5" borderId="0" xfId="0" applyFont="1" applyFill="1" applyAlignment="1" applyProtection="1">
      <alignment horizontal="left" vertical="center" wrapText="1"/>
      <protection hidden="1"/>
    </xf>
    <xf numFmtId="0" fontId="55" fillId="5" borderId="49" xfId="0" applyFont="1" applyFill="1" applyBorder="1" applyAlignment="1" applyProtection="1">
      <alignment horizontal="center"/>
      <protection hidden="1"/>
    </xf>
    <xf numFmtId="0" fontId="55" fillId="5" borderId="3" xfId="0" applyFont="1" applyFill="1" applyBorder="1" applyAlignment="1" applyProtection="1">
      <alignment horizontal="center"/>
      <protection hidden="1"/>
    </xf>
    <xf numFmtId="0" fontId="55" fillId="5" borderId="43" xfId="0" applyFont="1" applyFill="1" applyBorder="1" applyAlignment="1" applyProtection="1">
      <alignment horizontal="center"/>
      <protection hidden="1"/>
    </xf>
    <xf numFmtId="0" fontId="47" fillId="5" borderId="0" xfId="0" quotePrefix="1" applyFont="1" applyFill="1" applyAlignment="1" applyProtection="1">
      <alignment horizontal="left" vertical="center" wrapText="1"/>
      <protection hidden="1"/>
    </xf>
    <xf numFmtId="0" fontId="47" fillId="5" borderId="0" xfId="0" quotePrefix="1" applyFont="1" applyFill="1" applyAlignment="1" applyProtection="1">
      <alignment horizontal="left" vertical="center"/>
      <protection hidden="1"/>
    </xf>
    <xf numFmtId="0" fontId="23" fillId="5" borderId="0" xfId="0" applyFont="1" applyFill="1" applyAlignment="1" applyProtection="1">
      <alignment horizontal="left" wrapText="1"/>
      <protection hidden="1"/>
    </xf>
    <xf numFmtId="0" fontId="23" fillId="5" borderId="0" xfId="0" quotePrefix="1" applyFont="1" applyFill="1" applyAlignment="1" applyProtection="1">
      <alignment horizontal="left" wrapText="1"/>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5" fillId="5" borderId="0" xfId="0" applyFont="1" applyFill="1" applyBorder="1" applyAlignment="1" applyProtection="1">
      <alignment horizontal="left" vertical="center"/>
      <protection hidden="1"/>
    </xf>
    <xf numFmtId="0" fontId="57" fillId="5" borderId="0" xfId="0" applyFont="1" applyFill="1" applyAlignment="1" applyProtection="1">
      <alignment horizontal="left" vertical="center"/>
      <protection hidden="1"/>
    </xf>
    <xf numFmtId="4" fontId="37" fillId="5" borderId="21" xfId="0" applyNumberFormat="1" applyFont="1" applyFill="1" applyBorder="1" applyAlignment="1" applyProtection="1">
      <alignment vertical="center"/>
      <protection hidden="1"/>
    </xf>
    <xf numFmtId="4" fontId="37" fillId="5" borderId="48" xfId="0" applyNumberFormat="1" applyFont="1" applyFill="1" applyBorder="1" applyAlignment="1" applyProtection="1">
      <alignment vertical="center"/>
      <protection hidden="1"/>
    </xf>
    <xf numFmtId="173" fontId="37" fillId="5" borderId="16" xfId="0" applyNumberFormat="1" applyFont="1" applyFill="1" applyBorder="1" applyAlignment="1" applyProtection="1">
      <alignment horizontal="center"/>
      <protection hidden="1"/>
    </xf>
    <xf numFmtId="0" fontId="50" fillId="5" borderId="49" xfId="0" applyFont="1" applyFill="1" applyBorder="1" applyAlignment="1" applyProtection="1">
      <alignment horizontal="left"/>
      <protection hidden="1"/>
    </xf>
    <xf numFmtId="0" fontId="50" fillId="5" borderId="3" xfId="0" applyFont="1" applyFill="1" applyBorder="1" applyAlignment="1" applyProtection="1">
      <alignment horizontal="left"/>
      <protection hidden="1"/>
    </xf>
    <xf numFmtId="0" fontId="50" fillId="5" borderId="43" xfId="0" applyFont="1" applyFill="1" applyBorder="1" applyAlignment="1" applyProtection="1">
      <alignment horizontal="left"/>
      <protection hidden="1"/>
    </xf>
    <xf numFmtId="165" fontId="20" fillId="14" borderId="52" xfId="0" applyNumberFormat="1" applyFont="1" applyFill="1" applyBorder="1" applyAlignment="1" applyProtection="1">
      <alignment horizontal="center"/>
      <protection locked="0"/>
    </xf>
    <xf numFmtId="165" fontId="20" fillId="14" borderId="53" xfId="0" quotePrefix="1" applyNumberFormat="1" applyFont="1" applyFill="1" applyBorder="1" applyAlignment="1" applyProtection="1">
      <alignment horizontal="center"/>
      <protection locked="0"/>
    </xf>
    <xf numFmtId="165" fontId="20" fillId="14" borderId="54" xfId="0" quotePrefix="1" applyNumberFormat="1" applyFont="1" applyFill="1" applyBorder="1" applyAlignment="1" applyProtection="1">
      <alignment horizontal="center"/>
      <protection locked="0"/>
    </xf>
    <xf numFmtId="0" fontId="35" fillId="5" borderId="0" xfId="0" applyFont="1" applyFill="1" applyAlignment="1" applyProtection="1">
      <alignment horizontal="center"/>
      <protection hidden="1"/>
    </xf>
    <xf numFmtId="171" fontId="32" fillId="5" borderId="52" xfId="0" applyNumberFormat="1" applyFont="1" applyFill="1" applyBorder="1" applyAlignment="1" applyProtection="1">
      <alignment horizontal="center" vertical="center"/>
      <protection locked="0"/>
    </xf>
    <xf numFmtId="171" fontId="32" fillId="5" borderId="53" xfId="0" applyNumberFormat="1" applyFont="1" applyFill="1" applyBorder="1" applyAlignment="1" applyProtection="1">
      <alignment horizontal="center" vertical="center"/>
      <protection locked="0"/>
    </xf>
    <xf numFmtId="171" fontId="32" fillId="5" borderId="54" xfId="0" applyNumberFormat="1" applyFont="1" applyFill="1" applyBorder="1" applyAlignment="1" applyProtection="1">
      <alignment horizontal="center" vertical="center"/>
      <protection locked="0"/>
    </xf>
  </cellXfs>
  <cellStyles count="4">
    <cellStyle name="Обычный" xfId="0" builtinId="0"/>
    <cellStyle name="Обычный_БД51-текущая" xfId="1"/>
    <cellStyle name="Обычный_БД-Контрагенты" xfId="2"/>
    <cellStyle name="Финансовый" xfId="3"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_rels/activeX3.xml.rels><?xml version="1.0" encoding="UTF-8" standalone="no"?>
<Relationships xmlns="http://schemas.openxmlformats.org/package/2006/relationships">
<Relationship Id="rId1" Target="activeX3.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Drop" dropLines="20" dropStyle="combo" dx="26" fmlaLink="$D$44" fmlaRange="Тарифы!$B$5:$B$163" sel="26" val="24"/>
</file>

<file path=xl/ctrlProps/ctrlProp2.xml><?xml version="1.0" encoding="utf-8"?>
<formControlPr xmlns="http://schemas.microsoft.com/office/spreadsheetml/2009/9/main" objectType="Drop" dropLines="20" dropStyle="combo" dx="26" fmlaLink="$D$45" fmlaRange="Тарифы!$B$5:$B$163" sel="17" val="15"/>
</file>

<file path=xl/ctrlProps/ctrlProp3.xml><?xml version="1.0" encoding="utf-8"?>
<formControlPr xmlns="http://schemas.microsoft.com/office/spreadsheetml/2009/9/main" objectType="Drop" dropLines="20" dropStyle="combo" dx="26" fmlaLink="$D$46" fmlaRange="Тарифы!$B$5:$B$163" sel="17" val="8"/>
</file>

<file path=xl/ctrlProps/ctrlProp4.xml><?xml version="1.0" encoding="utf-8"?>
<formControlPr xmlns="http://schemas.microsoft.com/office/spreadsheetml/2009/9/main" objectType="Drop" dropLines="20" dropStyle="combo" dx="26" fmlaLink="$D$47" fmlaRange="Тарифы!$B$5:$B$163" sel="44" val="27"/>
</file>

<file path=xl/ctrlProps/ctrlProp5.xml><?xml version="1.0" encoding="utf-8"?>
<formControlPr xmlns="http://schemas.microsoft.com/office/spreadsheetml/2009/9/main" objectType="Drop" dropLines="20" dropStyle="combo" dx="26" fmlaLink="$D$48" fmlaRange="Тарифы!$B$5:$B$163" sel="17" val="11"/>
</file>

<file path=xl/ctrlProps/ctrlProp6.xml><?xml version="1.0" encoding="utf-8"?>
<formControlPr xmlns="http://schemas.microsoft.com/office/spreadsheetml/2009/9/main" objectType="Drop" dropLines="20" dropStyle="combo" dx="26" fmlaLink="$D$51" fmlaRange="Тарифы!$B$5:$B$163" sel="36" val="24"/>
</file>

<file path=xl/ctrlProps/ctrlProp7.xml><?xml version="1.0" encoding="utf-8"?>
<formControlPr xmlns="http://schemas.microsoft.com/office/spreadsheetml/2009/9/main" objectType="Drop" dropLines="20" dropStyle="combo" dx="26" fmlaLink="$D$49" fmlaRange="Тарифы!$B$5:$B$163" sel="17" val="2"/>
</file>

<file path=xl/ctrlProps/ctrlProp8.xml><?xml version="1.0" encoding="utf-8"?>
<formControlPr xmlns="http://schemas.microsoft.com/office/spreadsheetml/2009/9/main" objectType="Drop" dropLines="20" dropStyle="combo" dx="26" fmlaLink="$D$50" fmlaRange="Тарифы!$B$5:$B$163" sel="36" val="19"/>
</file>

<file path=xl/ctrlProps/ctrlProp9.xml><?xml version="1.0" encoding="utf-8"?>
<formControlPr xmlns="http://schemas.microsoft.com/office/spreadsheetml/2009/9/main" objectType="Drop" dropLines="20" dropStyle="combo" dx="26" fmlaLink="$D$53" fmlaRange="Тарифы!$B$5:$B$163" sel="39" val="38"/>
</file>

<file path=xl/ctrlProps/ctrlProp10.xml><?xml version="1.0" encoding="utf-8"?>
<formControlPr xmlns="http://schemas.microsoft.com/office/spreadsheetml/2009/9/main" objectType="Drop" dropLines="20" dropStyle="combo" dx="26" fmlaLink="$D$54" fmlaRange="Тарифы!$B$5:$B$163" sel="19" val="18"/>
</file>

<file path=xl/ctrlProps/ctrlProp11.xml><?xml version="1.0" encoding="utf-8"?>
<formControlPr xmlns="http://schemas.microsoft.com/office/spreadsheetml/2009/9/main" objectType="Drop" dropLines="20" dropStyle="combo" dx="26" fmlaLink="$D$55" fmlaRange="Тарифы!$B$5:$B$163" sel="19" val="18"/>
</file>

<file path=xl/ctrlProps/ctrlProp12.xml><?xml version="1.0" encoding="utf-8"?>
<formControlPr xmlns="http://schemas.microsoft.com/office/spreadsheetml/2009/9/main" objectType="Drop" dropLines="20" dropStyle="combo" dx="26" fmlaLink="$D$56" fmlaRange="Тарифы!$B$5:$B$163" sel="19" val="18"/>
</file>

<file path=xl/drawings/_rels/vmlDrawing2.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_rels/vmlDrawing5.vml.rels><?xml version="1.0" encoding="UTF-8" standalone="no"?>
<Relationships xmlns="http://schemas.openxmlformats.org/package/2006/relationships">
<Relationship Id="rId1" Target="../media/image3.emf"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167640</xdr:colOff>
          <xdr:row>1</xdr:row>
          <xdr:rowOff>7620</xdr:rowOff>
        </xdr:from>
        <xdr:to>
          <xdr:col>255</xdr:col>
          <xdr:colOff>167640</xdr:colOff>
          <xdr:row>3</xdr:row>
          <xdr:rowOff>45720</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5</xdr:row>
          <xdr:rowOff>53340</xdr:rowOff>
        </xdr:from>
        <xdr:to>
          <xdr:col>17</xdr:col>
          <xdr:colOff>259080</xdr:colOff>
          <xdr:row>6</xdr:row>
          <xdr:rowOff>518160</xdr:rowOff>
        </xdr:to>
        <xdr:sp macro="" textlink="">
          <xdr:nvSpPr>
            <xdr:cNvPr id="1028" name="CommandButton2"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38100</xdr:rowOff>
        </xdr:from>
        <xdr:to>
          <xdr:col>5</xdr:col>
          <xdr:colOff>7620</xdr:colOff>
          <xdr:row>8</xdr:row>
          <xdr:rowOff>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15240</xdr:rowOff>
        </xdr:from>
        <xdr:to>
          <xdr:col>5</xdr:col>
          <xdr:colOff>7620</xdr:colOff>
          <xdr:row>9</xdr:row>
          <xdr:rowOff>15240</xdr:rowOff>
        </xdr:to>
        <xdr:sp macro="" textlink="">
          <xdr:nvSpPr>
            <xdr:cNvPr id="3075" name="Drop Down 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15240</xdr:rowOff>
        </xdr:from>
        <xdr:to>
          <xdr:col>5</xdr:col>
          <xdr:colOff>7620</xdr:colOff>
          <xdr:row>10</xdr:row>
          <xdr:rowOff>7620</xdr:rowOff>
        </xdr:to>
        <xdr:sp macro="" textlink="">
          <xdr:nvSpPr>
            <xdr:cNvPr id="3076" name="Drop Down 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22860</xdr:rowOff>
        </xdr:from>
        <xdr:to>
          <xdr:col>5</xdr:col>
          <xdr:colOff>7620</xdr:colOff>
          <xdr:row>11</xdr:row>
          <xdr:rowOff>0</xdr:rowOff>
        </xdr:to>
        <xdr:sp macro="" textlink="">
          <xdr:nvSpPr>
            <xdr:cNvPr id="3077" name="Drop Down 5"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7620</xdr:rowOff>
        </xdr:from>
        <xdr:to>
          <xdr:col>5</xdr:col>
          <xdr:colOff>7620</xdr:colOff>
          <xdr:row>12</xdr:row>
          <xdr:rowOff>7620</xdr:rowOff>
        </xdr:to>
        <xdr:sp macro="" textlink="">
          <xdr:nvSpPr>
            <xdr:cNvPr id="3078" name="Drop Down 6"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7620</xdr:rowOff>
        </xdr:from>
        <xdr:to>
          <xdr:col>5</xdr:col>
          <xdr:colOff>7620</xdr:colOff>
          <xdr:row>14</xdr:row>
          <xdr:rowOff>236220</xdr:rowOff>
        </xdr:to>
        <xdr:sp macro="" textlink="">
          <xdr:nvSpPr>
            <xdr:cNvPr id="3079" name="Drop Down 7" hidden="1">
              <a:extLst>
                <a:ext uri="{63B3BB69-23CF-44E3-9099-C40C66FF867C}">
                  <a14:compatExt spid="_x0000_s3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twoCellAnchor>
    <xdr:from>
      <xdr:col>6</xdr:col>
      <xdr:colOff>104775</xdr:colOff>
      <xdr:row>30</xdr:row>
      <xdr:rowOff>95250</xdr:rowOff>
    </xdr:from>
    <xdr:to>
      <xdr:col>9</xdr:col>
      <xdr:colOff>207660</xdr:colOff>
      <xdr:row>32</xdr:row>
      <xdr:rowOff>76200</xdr:rowOff>
    </xdr:to>
    <xdr:sp macro="" textlink="">
      <xdr:nvSpPr>
        <xdr:cNvPr id="3080" name="AutoShape 8"/>
        <xdr:cNvSpPr>
          <a:spLocks noChangeArrowheads="1"/>
        </xdr:cNvSpPr>
      </xdr:nvSpPr>
      <xdr:spPr bwMode="auto">
        <a:xfrm>
          <a:off x="6238875" y="6715125"/>
          <a:ext cx="1847850" cy="352425"/>
        </a:xfrm>
        <a:prstGeom prst="leftArrow">
          <a:avLst>
            <a:gd name="adj1" fmla="val 40296"/>
            <a:gd name="adj2" fmla="val 182664"/>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ru-RU" sz="800" b="0" i="0" u="none" strike="noStrike" baseline="0">
              <a:solidFill>
                <a:srgbClr val="000000"/>
              </a:solidFill>
              <a:latin typeface="Arial Cyr"/>
              <a:cs typeface="Arial Cyr"/>
            </a:rPr>
            <a:t>Введите ФИО начальника ДС</a:t>
          </a:r>
        </a:p>
      </xdr:txBody>
    </xdr:sp>
    <xdr:clientData/>
  </xdr:twoCellAnchor>
  <xdr:twoCellAnchor>
    <xdr:from>
      <xdr:col>11</xdr:col>
      <xdr:colOff>93345</xdr:colOff>
      <xdr:row>1</xdr:row>
      <xdr:rowOff>85725</xdr:rowOff>
    </xdr:from>
    <xdr:to>
      <xdr:col>14</xdr:col>
      <xdr:colOff>447688</xdr:colOff>
      <xdr:row>5</xdr:row>
      <xdr:rowOff>95250</xdr:rowOff>
    </xdr:to>
    <xdr:sp macro="" textlink="">
      <xdr:nvSpPr>
        <xdr:cNvPr id="3081" name="AutoShape 9"/>
        <xdr:cNvSpPr>
          <a:spLocks noChangeArrowheads="1"/>
        </xdr:cNvSpPr>
      </xdr:nvSpPr>
      <xdr:spPr bwMode="auto">
        <a:xfrm>
          <a:off x="9391650" y="257175"/>
          <a:ext cx="2295525" cy="781050"/>
        </a:xfrm>
        <a:prstGeom prst="leftArrowCallout">
          <a:avLst>
            <a:gd name="adj1" fmla="val 25000"/>
            <a:gd name="adj2" fmla="val 25000"/>
            <a:gd name="adj3" fmla="val 48984"/>
            <a:gd name="adj4" fmla="val 6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ru-RU" sz="1000" b="0" i="0" u="none" strike="noStrike" baseline="0">
              <a:solidFill>
                <a:srgbClr val="000000"/>
              </a:solidFill>
              <a:latin typeface="Arial Cyr"/>
              <a:cs typeface="Arial Cyr"/>
            </a:rPr>
            <a:t>В данную ячейку ведите нужную дату в формате ДД.ММ.ГОД или формулу вида =СЕГОДНЯ() </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7620</xdr:rowOff>
        </xdr:from>
        <xdr:to>
          <xdr:col>5</xdr:col>
          <xdr:colOff>7620</xdr:colOff>
          <xdr:row>12</xdr:row>
          <xdr:rowOff>236220</xdr:rowOff>
        </xdr:to>
        <xdr:sp macro="" textlink="">
          <xdr:nvSpPr>
            <xdr:cNvPr id="3082" name="Drop Down 10"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7620</xdr:rowOff>
        </xdr:from>
        <xdr:to>
          <xdr:col>5</xdr:col>
          <xdr:colOff>7620</xdr:colOff>
          <xdr:row>13</xdr:row>
          <xdr:rowOff>236220</xdr:rowOff>
        </xdr:to>
        <xdr:sp macro="" textlink="">
          <xdr:nvSpPr>
            <xdr:cNvPr id="3083" name="Drop Down 11" hidden="1">
              <a:extLst>
                <a:ext uri="{63B3BB69-23CF-44E3-9099-C40C66FF867C}">
                  <a14:compatExt spid="_x0000_s3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883920</xdr:rowOff>
        </xdr:from>
        <xdr:to>
          <xdr:col>5</xdr:col>
          <xdr:colOff>7620</xdr:colOff>
          <xdr:row>17</xdr:row>
          <xdr:rowOff>220980</xdr:rowOff>
        </xdr:to>
        <xdr:sp macro="" textlink="">
          <xdr:nvSpPr>
            <xdr:cNvPr id="3085" name="Drop Down 13" hidden="1">
              <a:extLst>
                <a:ext uri="{63B3BB69-23CF-44E3-9099-C40C66FF867C}">
                  <a14:compatExt spid="_x0000_s3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17</xdr:row>
          <xdr:rowOff>220980</xdr:rowOff>
        </xdr:from>
        <xdr:to>
          <xdr:col>5</xdr:col>
          <xdr:colOff>22860</xdr:colOff>
          <xdr:row>18</xdr:row>
          <xdr:rowOff>220980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19</xdr:row>
          <xdr:rowOff>0</xdr:rowOff>
        </xdr:from>
        <xdr:to>
          <xdr:col>5</xdr:col>
          <xdr:colOff>22860</xdr:colOff>
          <xdr:row>20</xdr:row>
          <xdr:rowOff>0</xdr:rowOff>
        </xdr:to>
        <xdr:sp macro="" textlink="">
          <xdr:nvSpPr>
            <xdr:cNvPr id="3087" name="Drop Down 15" hidden="1">
              <a:extLst>
                <a:ext uri="{63B3BB69-23CF-44E3-9099-C40C66FF867C}">
                  <a14:compatExt spid="_x0000_s3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7620</xdr:rowOff>
        </xdr:from>
        <xdr:to>
          <xdr:col>5</xdr:col>
          <xdr:colOff>7620</xdr:colOff>
          <xdr:row>21</xdr:row>
          <xdr:rowOff>7620</xdr:rowOff>
        </xdr:to>
        <xdr:sp macro="" textlink="">
          <xdr:nvSpPr>
            <xdr:cNvPr id="3088" name="Drop Down 16" hidden="1">
              <a:extLst>
                <a:ext uri="{63B3BB69-23CF-44E3-9099-C40C66FF867C}">
                  <a14:compatExt spid="_x0000_s3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220980</xdr:colOff>
          <xdr:row>1</xdr:row>
          <xdr:rowOff>114300</xdr:rowOff>
        </xdr:from>
        <xdr:to>
          <xdr:col>18</xdr:col>
          <xdr:colOff>480060</xdr:colOff>
          <xdr:row>5</xdr:row>
          <xdr:rowOff>22860</xdr:rowOff>
        </xdr:to>
        <xdr:sp macro="" textlink="">
          <xdr:nvSpPr>
            <xdr:cNvPr id="6163" name="CommandButton1"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printerSettings/printerSettings5.bin" Type="http://schemas.openxmlformats.org/officeDocument/2006/relationships/printerSettings"/>
<Relationship Id="rId6" Target="../printerSettings/printerSettings6.bin" Type="http://schemas.openxmlformats.org/officeDocument/2006/relationships/printerSettings"/>
<Relationship Id="rId7" Target="../drawings/vmlDrawing1.vml" Type="http://schemas.openxmlformats.org/officeDocument/2006/relationships/vmlDrawing"/>
<Relationship Id="rId8" Target="../comments1.xml" Type="http://schemas.openxmlformats.org/officeDocument/2006/relationships/comments"/>
</Relationships>

</file>

<file path=xl/worksheets/_rels/sheet2.xml.rels><?xml version="1.0" encoding="UTF-8" standalone="no"?>
<Relationships xmlns="http://schemas.openxmlformats.org/package/2006/relationships">
<Relationship Id="rId1" Target="../printerSettings/printerSettings7.bin" Type="http://schemas.openxmlformats.org/officeDocument/2006/relationships/printerSettings"/>
<Relationship Id="rId10" Target="../media/image1.emf" Type="http://schemas.openxmlformats.org/officeDocument/2006/relationships/image"/>
<Relationship Id="rId11" Target="../activeX/activeX2.xml" Type="http://schemas.openxmlformats.org/officeDocument/2006/relationships/control"/>
<Relationship Id="rId12" Target="../media/image2.emf" Type="http://schemas.openxmlformats.org/officeDocument/2006/relationships/image"/>
<Relationship Id="rId13" Target="../comments2.xml" Type="http://schemas.openxmlformats.org/officeDocument/2006/relationships/comments"/>
<Relationship Id="rId2" Target="../printerSettings/printerSettings8.bin" Type="http://schemas.openxmlformats.org/officeDocument/2006/relationships/printerSettings"/>
<Relationship Id="rId3" Target="../printerSettings/printerSettings9.bin" Type="http://schemas.openxmlformats.org/officeDocument/2006/relationships/printerSettings"/>
<Relationship Id="rId4" Target="../printerSettings/printerSettings10.bin" Type="http://schemas.openxmlformats.org/officeDocument/2006/relationships/printerSettings"/>
<Relationship Id="rId5" Target="../printerSettings/printerSettings11.bin" Type="http://schemas.openxmlformats.org/officeDocument/2006/relationships/printerSettings"/>
<Relationship Id="rId6" Target="../printerSettings/printerSettings12.bin" Type="http://schemas.openxmlformats.org/officeDocument/2006/relationships/printerSettings"/>
<Relationship Id="rId7" Target="../drawings/drawing1.xml" Type="http://schemas.openxmlformats.org/officeDocument/2006/relationships/drawing"/>
<Relationship Id="rId8" Target="../drawings/vmlDrawing2.vml" Type="http://schemas.openxmlformats.org/officeDocument/2006/relationships/vmlDrawing"/>
<Relationship Id="rId9" Target="../activeX/activeX1.xml" Type="http://schemas.openxmlformats.org/officeDocument/2006/relationships/control"/>
</Relationships>

</file>

<file path=xl/worksheets/_rels/sheet3.xml.rels><?xml version="1.0" encoding="UTF-8" standalone="no"?>
<Relationships xmlns="http://schemas.openxmlformats.org/package/2006/relationships">
<Relationship Id="rId1" Target="../printerSettings/printerSettings13.bin" Type="http://schemas.openxmlformats.org/officeDocument/2006/relationships/printerSettings"/>
<Relationship Id="rId2" Target="../printerSettings/printerSettings14.bin" Type="http://schemas.openxmlformats.org/officeDocument/2006/relationships/printerSettings"/>
<Relationship Id="rId3" Target="../printerSettings/printerSettings15.bin" Type="http://schemas.openxmlformats.org/officeDocument/2006/relationships/printerSettings"/>
<Relationship Id="rId4" Target="../printerSettings/printerSettings16.bin" Type="http://schemas.openxmlformats.org/officeDocument/2006/relationships/printerSettings"/>
<Relationship Id="rId5" Target="../printerSettings/printerSettings17.bin" Type="http://schemas.openxmlformats.org/officeDocument/2006/relationships/printerSettings"/>
<Relationship Id="rId6" Target="../printerSettings/printerSettings18.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19.bin" Type="http://schemas.openxmlformats.org/officeDocument/2006/relationships/printerSettings"/>
<Relationship Id="rId2" Target="../printerSettings/printerSettings20.bin" Type="http://schemas.openxmlformats.org/officeDocument/2006/relationships/printerSettings"/>
<Relationship Id="rId3" Target="../printerSettings/printerSettings21.bin" Type="http://schemas.openxmlformats.org/officeDocument/2006/relationships/printerSettings"/>
<Relationship Id="rId4" Target="../printerSettings/printerSettings22.bin" Type="http://schemas.openxmlformats.org/officeDocument/2006/relationships/printerSettings"/>
<Relationship Id="rId5" Target="../printerSettings/printerSettings23.bin" Type="http://schemas.openxmlformats.org/officeDocument/2006/relationships/printerSettings"/>
<Relationship Id="rId6" Target="../printerSettings/printerSettings24.bin" Type="http://schemas.openxmlformats.org/officeDocument/2006/relationships/printerSettings"/>
<Relationship Id="rId7" Target="../drawings/vmlDrawing3.vml" Type="http://schemas.openxmlformats.org/officeDocument/2006/relationships/vmlDrawing"/>
<Relationship Id="rId8" Target="../comments3.xml" Type="http://schemas.openxmlformats.org/officeDocument/2006/relationships/comments"/>
</Relationships>

</file>

<file path=xl/worksheets/_rels/sheet5.xml.rels><?xml version="1.0" encoding="UTF-8" standalone="no"?>
<Relationships xmlns="http://schemas.openxmlformats.org/package/2006/relationships">
<Relationship Id="rId1" Target="../printerSettings/printerSettings25.bin" Type="http://schemas.openxmlformats.org/officeDocument/2006/relationships/printerSettings"/>
<Relationship Id="rId10" Target="../ctrlProps/ctrlProp2.xml" Type="http://schemas.openxmlformats.org/officeDocument/2006/relationships/ctrlProp"/>
<Relationship Id="rId11" Target="../ctrlProps/ctrlProp3.xml" Type="http://schemas.openxmlformats.org/officeDocument/2006/relationships/ctrlProp"/>
<Relationship Id="rId12" Target="../ctrlProps/ctrlProp4.xml" Type="http://schemas.openxmlformats.org/officeDocument/2006/relationships/ctrlProp"/>
<Relationship Id="rId13" Target="../ctrlProps/ctrlProp5.xml" Type="http://schemas.openxmlformats.org/officeDocument/2006/relationships/ctrlProp"/>
<Relationship Id="rId14" Target="../ctrlProps/ctrlProp6.xml" Type="http://schemas.openxmlformats.org/officeDocument/2006/relationships/ctrlProp"/>
<Relationship Id="rId15" Target="../ctrlProps/ctrlProp7.xml" Type="http://schemas.openxmlformats.org/officeDocument/2006/relationships/ctrlProp"/>
<Relationship Id="rId16" Target="../ctrlProps/ctrlProp8.xml" Type="http://schemas.openxmlformats.org/officeDocument/2006/relationships/ctrlProp"/>
<Relationship Id="rId17" Target="../ctrlProps/ctrlProp9.xml" Type="http://schemas.openxmlformats.org/officeDocument/2006/relationships/ctrlProp"/>
<Relationship Id="rId18" Target="../ctrlProps/ctrlProp10.xml" Type="http://schemas.openxmlformats.org/officeDocument/2006/relationships/ctrlProp"/>
<Relationship Id="rId19" Target="../ctrlProps/ctrlProp11.xml" Type="http://schemas.openxmlformats.org/officeDocument/2006/relationships/ctrlProp"/>
<Relationship Id="rId2" Target="../printerSettings/printerSettings26.bin" Type="http://schemas.openxmlformats.org/officeDocument/2006/relationships/printerSettings"/>
<Relationship Id="rId20" Target="../ctrlProps/ctrlProp12.xml" Type="http://schemas.openxmlformats.org/officeDocument/2006/relationships/ctrlProp"/>
<Relationship Id="rId21" Target="../comments4.xml" Type="http://schemas.openxmlformats.org/officeDocument/2006/relationships/comments"/>
<Relationship Id="rId3" Target="../printerSettings/printerSettings27.bin" Type="http://schemas.openxmlformats.org/officeDocument/2006/relationships/printerSettings"/>
<Relationship Id="rId4" Target="../printerSettings/printerSettings28.bin" Type="http://schemas.openxmlformats.org/officeDocument/2006/relationships/printerSettings"/>
<Relationship Id="rId5" Target="../printerSettings/printerSettings29.bin" Type="http://schemas.openxmlformats.org/officeDocument/2006/relationships/printerSettings"/>
<Relationship Id="rId6" Target="../printerSettings/printerSettings30.bin" Type="http://schemas.openxmlformats.org/officeDocument/2006/relationships/printerSettings"/>
<Relationship Id="rId7" Target="../drawings/drawing2.xml" Type="http://schemas.openxmlformats.org/officeDocument/2006/relationships/drawing"/>
<Relationship Id="rId8" Target="../drawings/vmlDrawing4.vml" Type="http://schemas.openxmlformats.org/officeDocument/2006/relationships/vmlDrawing"/>
<Relationship Id="rId9" Target="../ctrlProps/ctrlProp1.xml" Type="http://schemas.openxmlformats.org/officeDocument/2006/relationships/ctrlProp"/>
</Relationships>

</file>

<file path=xl/worksheets/_rels/sheet6.xml.rels><?xml version="1.0" encoding="UTF-8" standalone="no"?>
<Relationships xmlns="http://schemas.openxmlformats.org/package/2006/relationships">
<Relationship Id="rId1" Target="../printerSettings/printerSettings31.bin" Type="http://schemas.openxmlformats.org/officeDocument/2006/relationships/printerSettings"/>
<Relationship Id="rId10" Target="../media/image3.emf" Type="http://schemas.openxmlformats.org/officeDocument/2006/relationships/image"/>
<Relationship Id="rId11" Target="../comments5.xml" Type="http://schemas.openxmlformats.org/officeDocument/2006/relationships/comments"/>
<Relationship Id="rId2" Target="../printerSettings/printerSettings32.bin" Type="http://schemas.openxmlformats.org/officeDocument/2006/relationships/printerSettings"/>
<Relationship Id="rId3" Target="../printerSettings/printerSettings33.bin" Type="http://schemas.openxmlformats.org/officeDocument/2006/relationships/printerSettings"/>
<Relationship Id="rId4" Target="../printerSettings/printerSettings34.bin" Type="http://schemas.openxmlformats.org/officeDocument/2006/relationships/printerSettings"/>
<Relationship Id="rId5" Target="../printerSettings/printerSettings35.bin" Type="http://schemas.openxmlformats.org/officeDocument/2006/relationships/printerSettings"/>
<Relationship Id="rId6" Target="../printerSettings/printerSettings36.bin" Type="http://schemas.openxmlformats.org/officeDocument/2006/relationships/printerSettings"/>
<Relationship Id="rId7" Target="../drawings/drawing3.xml" Type="http://schemas.openxmlformats.org/officeDocument/2006/relationships/drawing"/>
<Relationship Id="rId8" Target="../drawings/vmlDrawing5.vml" Type="http://schemas.openxmlformats.org/officeDocument/2006/relationships/vmlDrawing"/>
<Relationship Id="rId9" Target="../activeX/activeX3.xml" Type="http://schemas.openxmlformats.org/officeDocument/2006/relationships/control"/>
</Relationships>

</file>

<file path=xl/worksheets/_rels/sheet7.xml.rels><?xml version="1.0" encoding="UTF-8" standalone="no"?>
<Relationships xmlns="http://schemas.openxmlformats.org/package/2006/relationships">
<Relationship Id="rId1" Target="../printerSettings/printerSettings37.bin" Type="http://schemas.openxmlformats.org/officeDocument/2006/relationships/printerSettings"/>
<Relationship Id="rId2" Target="../printerSettings/printerSettings38.bin" Type="http://schemas.openxmlformats.org/officeDocument/2006/relationships/printerSettings"/>
<Relationship Id="rId3" Target="../printerSettings/printerSettings39.bin" Type="http://schemas.openxmlformats.org/officeDocument/2006/relationships/printerSettings"/>
<Relationship Id="rId4" Target="../printerSettings/printerSettings40.bin" Type="http://schemas.openxmlformats.org/officeDocument/2006/relationships/printerSettings"/>
<Relationship Id="rId5" Target="../printerSettings/printerSettings41.bin" Type="http://schemas.openxmlformats.org/officeDocument/2006/relationships/printerSettings"/>
<Relationship Id="rId6" Target="../printerSettings/printerSettings42.bin" Type="http://schemas.openxmlformats.org/officeDocument/2006/relationships/printerSettings"/>
<Relationship Id="rId7" Target="../drawings/vmlDrawing6.vml" Type="http://schemas.openxmlformats.org/officeDocument/2006/relationships/vmlDrawing"/>
<Relationship Id="rId8" Target="../comments6.xml" Type="http://schemas.openxmlformats.org/officeDocument/2006/relationships/comments"/>
</Relationships>

</file>

<file path=xl/worksheets/_rels/sheet8.xml.rels><?xml version="1.0" encoding="UTF-8" standalone="no"?>
<Relationships xmlns="http://schemas.openxmlformats.org/package/2006/relationships">
<Relationship Id="rId1" Target="../printerSettings/printerSettings43.bin" Type="http://schemas.openxmlformats.org/officeDocument/2006/relationships/printerSettings"/>
<Relationship Id="rId2" Target="../printerSettings/printerSettings44.bin" Type="http://schemas.openxmlformats.org/officeDocument/2006/relationships/printerSettings"/>
<Relationship Id="rId3" Target="../printerSettings/printerSettings45.bin" Type="http://schemas.openxmlformats.org/officeDocument/2006/relationships/printerSettings"/>
<Relationship Id="rId4" Target="../printerSettings/printerSettings46.bin" Type="http://schemas.openxmlformats.org/officeDocument/2006/relationships/printerSettings"/>
<Relationship Id="rId5" Target="../printerSettings/printerSettings47.bin" Type="http://schemas.openxmlformats.org/officeDocument/2006/relationships/printerSettings"/>
<Relationship Id="rId6" Target="../printerSettings/printerSettings48.bin" Type="http://schemas.openxmlformats.org/officeDocument/2006/relationships/printerSettings"/>
<Relationship Id="rId7" Target="../drawings/vmlDrawing7.vml" Type="http://schemas.openxmlformats.org/officeDocument/2006/relationships/vmlDrawing"/>
<Relationship Id="rId8" Target="../comments7.xml" Type="http://schemas.openxmlformats.org/officeDocument/2006/relationships/comments"/>
</Relationships>

</file>

<file path=xl/worksheets/_rels/sheet9.xml.rels><?xml version="1.0" encoding="UTF-8" standalone="no"?>
<Relationships xmlns="http://schemas.openxmlformats.org/package/2006/relationships">
<Relationship Id="rId1" Target="../printerSettings/printerSettings49.bin" Type="http://schemas.openxmlformats.org/officeDocument/2006/relationships/printerSettings"/>
<Relationship Id="rId2" Target="../printerSettings/printerSettings50.bin" Type="http://schemas.openxmlformats.org/officeDocument/2006/relationships/printerSettings"/>
<Relationship Id="rId3" Target="../printerSettings/printerSettings51.bin" Type="http://schemas.openxmlformats.org/officeDocument/2006/relationships/printerSettings"/>
<Relationship Id="rId4" Target="../printerSettings/printerSettings52.bin" Type="http://schemas.openxmlformats.org/officeDocument/2006/relationships/printerSettings"/>
<Relationship Id="rId5" Target="../printerSettings/printerSettings53.bin" Type="http://schemas.openxmlformats.org/officeDocument/2006/relationships/printerSettings"/>
<Relationship Id="rId6" Target="../printerSettings/printerSettings5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indexed="50"/>
  </sheetPr>
  <dimension ref="A1:T1168"/>
  <sheetViews>
    <sheetView zoomScaleNormal="100" workbookViewId="0">
      <pane ySplit="3" topLeftCell="A4" activePane="bottomLeft" state="frozenSplit"/>
      <selection pane="bottomLeft" activeCell="G414" sqref="G414"/>
    </sheetView>
  </sheetViews>
  <sheetFormatPr defaultColWidth="9.109375" defaultRowHeight="10.199999999999999" x14ac:dyDescent="0.25"/>
  <cols>
    <col min="1" max="1" width="5.33203125" style="13" customWidth="1"/>
    <col min="2" max="2" width="26.5546875" style="48" customWidth="1"/>
    <col min="3" max="3" width="11" style="13" customWidth="1"/>
    <col min="4" max="4" width="12" style="49" customWidth="1"/>
    <col min="5" max="5" width="15" style="50" customWidth="1"/>
    <col min="6" max="6" width="22.109375" style="13" customWidth="1"/>
    <col min="7" max="7" width="10.6640625" style="13" customWidth="1"/>
    <col min="8" max="8" width="9.33203125" style="51" customWidth="1"/>
    <col min="9" max="9" width="24.5546875" style="13" customWidth="1"/>
    <col min="10" max="11" width="20.33203125" style="48" customWidth="1"/>
    <col min="12" max="12" width="22" style="48" customWidth="1"/>
    <col min="13" max="13" width="7" style="13" customWidth="1"/>
    <col min="14" max="14" width="3.6640625" style="13" customWidth="1"/>
    <col min="15" max="16384" width="9.109375" style="13"/>
  </cols>
  <sheetData>
    <row r="1" spans="1:16" ht="20.399999999999999" x14ac:dyDescent="0.25">
      <c r="A1" s="343">
        <v>411</v>
      </c>
      <c r="B1" s="5" t="s">
        <v>64</v>
      </c>
      <c r="C1" s="6">
        <v>190471274</v>
      </c>
      <c r="D1" s="7" t="s">
        <v>65</v>
      </c>
      <c r="E1" s="431" t="s">
        <v>4013</v>
      </c>
      <c r="F1" s="8" t="s">
        <v>729</v>
      </c>
      <c r="G1" s="9" t="s">
        <v>4014</v>
      </c>
      <c r="H1" s="10" t="s">
        <v>822</v>
      </c>
      <c r="I1" s="8" t="s">
        <v>2082</v>
      </c>
      <c r="J1" s="11" t="s">
        <v>1620</v>
      </c>
      <c r="K1" s="11"/>
      <c r="L1" s="11"/>
      <c r="M1" s="12"/>
    </row>
    <row r="2" spans="1:16" x14ac:dyDescent="0.25">
      <c r="A2" s="14"/>
      <c r="B2" s="15"/>
      <c r="C2" s="14"/>
      <c r="D2" s="16"/>
      <c r="E2" s="17"/>
      <c r="F2" s="18"/>
      <c r="G2" s="18"/>
      <c r="H2" s="19"/>
      <c r="I2" s="20"/>
      <c r="J2" s="21"/>
      <c r="K2" s="21"/>
      <c r="L2" s="21"/>
      <c r="M2" s="20"/>
    </row>
    <row r="3" spans="1:16" ht="20.399999999999999" x14ac:dyDescent="0.25">
      <c r="A3" s="22">
        <v>343</v>
      </c>
      <c r="B3" s="23" t="s">
        <v>1673</v>
      </c>
      <c r="C3" s="22" t="s">
        <v>415</v>
      </c>
      <c r="D3" s="24" t="s">
        <v>3530</v>
      </c>
      <c r="E3" s="25" t="s">
        <v>2680</v>
      </c>
      <c r="F3" s="26" t="s">
        <v>1106</v>
      </c>
      <c r="G3" s="26" t="s">
        <v>2599</v>
      </c>
      <c r="H3" s="27" t="s">
        <v>4212</v>
      </c>
      <c r="I3" s="28" t="s">
        <v>3254</v>
      </c>
      <c r="J3" s="28" t="s">
        <v>353</v>
      </c>
      <c r="K3" s="28" t="s">
        <v>60</v>
      </c>
      <c r="L3" s="28" t="s">
        <v>962</v>
      </c>
      <c r="M3" s="28" t="s">
        <v>1779</v>
      </c>
      <c r="O3" s="29">
        <f>ROW(ПослСтрКАг)</f>
        <v>1073</v>
      </c>
      <c r="P3" s="29">
        <f>COUNTA(B3:B1163)+2</f>
        <v>415</v>
      </c>
    </row>
    <row r="4" spans="1:16" ht="20.399999999999999" x14ac:dyDescent="0.25">
      <c r="A4" s="30">
        <v>1</v>
      </c>
      <c r="B4" s="38" t="s">
        <v>2897</v>
      </c>
      <c r="C4" s="37">
        <v>100154581</v>
      </c>
      <c r="D4" s="39"/>
      <c r="E4" s="40">
        <v>3012090030014</v>
      </c>
      <c r="F4" s="37" t="s">
        <v>2898</v>
      </c>
      <c r="G4" s="37">
        <v>117</v>
      </c>
      <c r="H4" s="41" t="s">
        <v>464</v>
      </c>
      <c r="I4" s="37" t="s">
        <v>2899</v>
      </c>
      <c r="J4" s="42" t="s">
        <v>2900</v>
      </c>
      <c r="K4" s="43" t="s">
        <v>2901</v>
      </c>
      <c r="L4" s="42" t="s">
        <v>2902</v>
      </c>
      <c r="M4" s="12">
        <v>1</v>
      </c>
    </row>
    <row r="5" spans="1:16" ht="20.399999999999999" x14ac:dyDescent="0.25">
      <c r="A5" s="30">
        <v>2</v>
      </c>
      <c r="B5" s="30" t="s">
        <v>2801</v>
      </c>
      <c r="C5" s="30">
        <v>190334745</v>
      </c>
      <c r="D5" s="32" t="s">
        <v>2904</v>
      </c>
      <c r="E5" s="33">
        <v>3012032230010</v>
      </c>
      <c r="F5" s="30" t="s">
        <v>2905</v>
      </c>
      <c r="G5" s="30">
        <v>272</v>
      </c>
      <c r="H5" s="34" t="s">
        <v>2906</v>
      </c>
      <c r="I5" s="30" t="s">
        <v>2907</v>
      </c>
      <c r="J5" s="36" t="s">
        <v>2908</v>
      </c>
      <c r="K5" s="36" t="s">
        <v>2901</v>
      </c>
      <c r="L5" s="35" t="s">
        <v>2909</v>
      </c>
      <c r="M5" s="12">
        <v>2</v>
      </c>
    </row>
    <row r="6" spans="1:16" ht="30.6" x14ac:dyDescent="0.25">
      <c r="A6" s="30">
        <v>3</v>
      </c>
      <c r="B6" s="31" t="s">
        <v>2717</v>
      </c>
      <c r="C6" s="30">
        <v>101538513</v>
      </c>
      <c r="D6" s="32" t="s">
        <v>2910</v>
      </c>
      <c r="E6" s="33" t="s">
        <v>4017</v>
      </c>
      <c r="F6" s="30" t="s">
        <v>2352</v>
      </c>
      <c r="G6" s="30" t="s">
        <v>4014</v>
      </c>
      <c r="H6" s="34" t="s">
        <v>2906</v>
      </c>
      <c r="I6" s="30" t="s">
        <v>2911</v>
      </c>
      <c r="J6" s="35" t="s">
        <v>2353</v>
      </c>
      <c r="K6" s="36" t="s">
        <v>2901</v>
      </c>
      <c r="L6" s="35" t="s">
        <v>4240</v>
      </c>
      <c r="M6" s="12">
        <v>3</v>
      </c>
    </row>
    <row r="7" spans="1:16" ht="30.6" x14ac:dyDescent="0.25">
      <c r="A7" s="30">
        <v>4</v>
      </c>
      <c r="B7" s="37" t="s">
        <v>1948</v>
      </c>
      <c r="C7" s="37">
        <v>808000755</v>
      </c>
      <c r="D7" s="39" t="s">
        <v>2913</v>
      </c>
      <c r="E7" s="40" t="s">
        <v>4022</v>
      </c>
      <c r="F7" s="37" t="s">
        <v>2914</v>
      </c>
      <c r="G7" s="37" t="s">
        <v>4023</v>
      </c>
      <c r="H7" s="41" t="s">
        <v>2906</v>
      </c>
      <c r="I7" s="37" t="s">
        <v>2915</v>
      </c>
      <c r="J7" s="43" t="s">
        <v>2916</v>
      </c>
      <c r="K7" s="43" t="s">
        <v>2901</v>
      </c>
      <c r="L7" s="43" t="s">
        <v>2917</v>
      </c>
      <c r="M7" s="12">
        <v>4</v>
      </c>
    </row>
    <row r="8" spans="1:16" ht="61.2" x14ac:dyDescent="0.25">
      <c r="A8" s="30">
        <v>5</v>
      </c>
      <c r="B8" s="38" t="s">
        <v>2918</v>
      </c>
      <c r="C8" s="37">
        <v>600433299</v>
      </c>
      <c r="D8" s="39" t="s">
        <v>2919</v>
      </c>
      <c r="E8" s="40">
        <v>3012020994019</v>
      </c>
      <c r="F8" s="37" t="s">
        <v>2920</v>
      </c>
      <c r="G8" s="37">
        <v>749</v>
      </c>
      <c r="H8" s="41" t="s">
        <v>464</v>
      </c>
      <c r="I8" s="37" t="s">
        <v>2921</v>
      </c>
      <c r="J8" s="42" t="s">
        <v>2922</v>
      </c>
      <c r="K8" s="43" t="s">
        <v>2901</v>
      </c>
      <c r="L8" s="42" t="s">
        <v>2923</v>
      </c>
      <c r="M8" s="12">
        <v>5</v>
      </c>
    </row>
    <row r="9" spans="1:16" ht="30.6" x14ac:dyDescent="0.25">
      <c r="A9" s="30">
        <v>6</v>
      </c>
      <c r="B9" s="31" t="s">
        <v>2925</v>
      </c>
      <c r="C9" s="30">
        <v>100098867</v>
      </c>
      <c r="D9" s="32" t="s">
        <v>2926</v>
      </c>
      <c r="E9" s="33">
        <v>3012273710014</v>
      </c>
      <c r="F9" s="30" t="s">
        <v>2927</v>
      </c>
      <c r="G9" s="30">
        <v>964</v>
      </c>
      <c r="H9" s="34" t="s">
        <v>464</v>
      </c>
      <c r="I9" s="37" t="s">
        <v>2928</v>
      </c>
      <c r="J9" s="43" t="s">
        <v>2929</v>
      </c>
      <c r="K9" s="43" t="s">
        <v>2901</v>
      </c>
      <c r="L9" s="42" t="s">
        <v>2930</v>
      </c>
      <c r="M9" s="12">
        <v>6</v>
      </c>
    </row>
    <row r="10" spans="1:16" ht="30.6" x14ac:dyDescent="0.25">
      <c r="A10" s="30">
        <v>7</v>
      </c>
      <c r="B10" s="30" t="s">
        <v>18</v>
      </c>
      <c r="C10" s="30">
        <v>100251590</v>
      </c>
      <c r="D10" s="32" t="s">
        <v>2931</v>
      </c>
      <c r="E10" s="33">
        <v>3012000074855</v>
      </c>
      <c r="F10" s="30" t="s">
        <v>2932</v>
      </c>
      <c r="G10" s="30">
        <v>742</v>
      </c>
      <c r="H10" s="34" t="s">
        <v>2906</v>
      </c>
      <c r="I10" s="30" t="s">
        <v>2933</v>
      </c>
      <c r="J10" s="36" t="s">
        <v>2934</v>
      </c>
      <c r="K10" s="36" t="s">
        <v>2901</v>
      </c>
      <c r="L10" s="36" t="s">
        <v>2935</v>
      </c>
      <c r="M10" s="12">
        <v>7</v>
      </c>
    </row>
    <row r="11" spans="1:16" ht="20.399999999999999" x14ac:dyDescent="0.25">
      <c r="A11" s="30">
        <v>8</v>
      </c>
      <c r="B11" s="31" t="s">
        <v>2936</v>
      </c>
      <c r="C11" s="30">
        <v>100803160</v>
      </c>
      <c r="D11" s="32" t="s">
        <v>2937</v>
      </c>
      <c r="E11" s="33">
        <v>3604900000394</v>
      </c>
      <c r="F11" s="30" t="s">
        <v>2938</v>
      </c>
      <c r="G11" s="30">
        <v>815</v>
      </c>
      <c r="H11" s="34" t="s">
        <v>2939</v>
      </c>
      <c r="I11" s="30" t="s">
        <v>2940</v>
      </c>
      <c r="J11" s="36" t="s">
        <v>2941</v>
      </c>
      <c r="K11" s="36" t="s">
        <v>2901</v>
      </c>
      <c r="L11" s="35" t="s">
        <v>2942</v>
      </c>
      <c r="M11" s="12">
        <v>8</v>
      </c>
    </row>
    <row r="12" spans="1:16" ht="20.399999999999999" x14ac:dyDescent="0.25">
      <c r="A12" s="30">
        <v>9</v>
      </c>
      <c r="B12" s="38" t="s">
        <v>2132</v>
      </c>
      <c r="C12" s="37">
        <v>10042907</v>
      </c>
      <c r="D12" s="39"/>
      <c r="E12" s="40">
        <v>3012000095690</v>
      </c>
      <c r="F12" s="37" t="s">
        <v>2943</v>
      </c>
      <c r="G12" s="37">
        <v>742</v>
      </c>
      <c r="H12" s="41" t="s">
        <v>464</v>
      </c>
      <c r="I12" s="37" t="s">
        <v>2944</v>
      </c>
      <c r="J12" s="42" t="s">
        <v>2945</v>
      </c>
      <c r="K12" s="43" t="s">
        <v>2901</v>
      </c>
      <c r="L12" s="42" t="s">
        <v>2946</v>
      </c>
      <c r="M12" s="12">
        <v>9</v>
      </c>
    </row>
    <row r="13" spans="1:16" ht="20.399999999999999" x14ac:dyDescent="0.25">
      <c r="A13" s="30">
        <v>10</v>
      </c>
      <c r="B13" s="38" t="s">
        <v>493</v>
      </c>
      <c r="C13" s="37">
        <v>191727606</v>
      </c>
      <c r="D13" s="39"/>
      <c r="E13" s="40">
        <v>3012206870012</v>
      </c>
      <c r="F13" s="37" t="s">
        <v>2950</v>
      </c>
      <c r="G13" s="37">
        <v>958</v>
      </c>
      <c r="H13" s="41" t="s">
        <v>2906</v>
      </c>
      <c r="I13" s="37" t="s">
        <v>2947</v>
      </c>
      <c r="J13" s="43" t="s">
        <v>2948</v>
      </c>
      <c r="K13" s="43" t="s">
        <v>2901</v>
      </c>
      <c r="L13" s="42" t="s">
        <v>2949</v>
      </c>
      <c r="M13" s="12">
        <v>10</v>
      </c>
    </row>
    <row r="14" spans="1:16" ht="30.6" x14ac:dyDescent="0.25">
      <c r="A14" s="30">
        <v>11</v>
      </c>
      <c r="B14" s="31" t="s">
        <v>877</v>
      </c>
      <c r="C14" s="30">
        <v>100064641</v>
      </c>
      <c r="D14" s="32" t="s">
        <v>2040</v>
      </c>
      <c r="E14" s="33">
        <v>3012100329014</v>
      </c>
      <c r="F14" s="30" t="s">
        <v>2041</v>
      </c>
      <c r="G14" s="30">
        <v>369</v>
      </c>
      <c r="H14" s="34" t="s">
        <v>2906</v>
      </c>
      <c r="I14" s="37" t="s">
        <v>2042</v>
      </c>
      <c r="J14" s="43" t="s">
        <v>2043</v>
      </c>
      <c r="K14" s="43" t="s">
        <v>2901</v>
      </c>
      <c r="L14" s="42" t="s">
        <v>2044</v>
      </c>
      <c r="M14" s="12">
        <v>11</v>
      </c>
    </row>
    <row r="15" spans="1:16" ht="30.6" x14ac:dyDescent="0.25">
      <c r="A15" s="30">
        <v>12</v>
      </c>
      <c r="B15" s="31" t="s">
        <v>3598</v>
      </c>
      <c r="C15" s="30">
        <v>190221603</v>
      </c>
      <c r="D15" s="32" t="s">
        <v>2045</v>
      </c>
      <c r="E15" s="33">
        <v>3012015510014</v>
      </c>
      <c r="F15" s="30" t="s">
        <v>2046</v>
      </c>
      <c r="G15" s="30">
        <v>117</v>
      </c>
      <c r="H15" s="34" t="s">
        <v>464</v>
      </c>
      <c r="I15" s="30" t="s">
        <v>2047</v>
      </c>
      <c r="J15" s="36" t="s">
        <v>1162</v>
      </c>
      <c r="K15" s="36" t="s">
        <v>2901</v>
      </c>
      <c r="L15" s="35" t="s">
        <v>2048</v>
      </c>
      <c r="M15" s="12">
        <v>12</v>
      </c>
    </row>
    <row r="16" spans="1:16" ht="20.399999999999999" x14ac:dyDescent="0.25">
      <c r="A16" s="30">
        <v>13</v>
      </c>
      <c r="B16" s="38" t="s">
        <v>927</v>
      </c>
      <c r="C16" s="37">
        <v>190454318</v>
      </c>
      <c r="D16" s="39" t="s">
        <v>2050</v>
      </c>
      <c r="E16" s="40" t="s">
        <v>2051</v>
      </c>
      <c r="F16" s="37" t="s">
        <v>2052</v>
      </c>
      <c r="G16" s="37">
        <v>739</v>
      </c>
      <c r="H16" s="41" t="s">
        <v>464</v>
      </c>
      <c r="I16" s="30" t="s">
        <v>2053</v>
      </c>
      <c r="J16" s="36" t="s">
        <v>2054</v>
      </c>
      <c r="K16" s="36" t="s">
        <v>2901</v>
      </c>
      <c r="L16" s="35" t="s">
        <v>2055</v>
      </c>
      <c r="M16" s="12">
        <v>13</v>
      </c>
    </row>
    <row r="17" spans="1:13" s="334" customFormat="1" ht="40.799999999999997" x14ac:dyDescent="0.25">
      <c r="A17" s="335">
        <v>14</v>
      </c>
      <c r="B17" s="38" t="s">
        <v>2161</v>
      </c>
      <c r="C17" s="37">
        <v>190775753</v>
      </c>
      <c r="D17" s="39" t="s">
        <v>2056</v>
      </c>
      <c r="E17" s="40">
        <v>3012231440010</v>
      </c>
      <c r="F17" s="37" t="s">
        <v>2057</v>
      </c>
      <c r="G17" s="37">
        <v>963</v>
      </c>
      <c r="H17" s="41" t="s">
        <v>464</v>
      </c>
      <c r="I17" s="37" t="s">
        <v>2058</v>
      </c>
      <c r="J17" s="43" t="s">
        <v>2059</v>
      </c>
      <c r="K17" s="43" t="s">
        <v>2901</v>
      </c>
      <c r="L17" s="42" t="s">
        <v>2315</v>
      </c>
      <c r="M17" s="337">
        <v>14</v>
      </c>
    </row>
    <row r="18" spans="1:13" ht="30.6" x14ac:dyDescent="0.25">
      <c r="A18" s="30">
        <v>15</v>
      </c>
      <c r="B18" s="38" t="s">
        <v>1000</v>
      </c>
      <c r="C18" s="37">
        <v>808000410</v>
      </c>
      <c r="D18" s="39" t="s">
        <v>2316</v>
      </c>
      <c r="E18" s="40">
        <v>3012027750013</v>
      </c>
      <c r="F18" s="37" t="s">
        <v>2317</v>
      </c>
      <c r="G18" s="39">
        <v>272</v>
      </c>
      <c r="H18" s="41" t="s">
        <v>2906</v>
      </c>
      <c r="I18" s="37" t="s">
        <v>2318</v>
      </c>
      <c r="J18" s="43" t="s">
        <v>2319</v>
      </c>
      <c r="K18" s="43" t="s">
        <v>2901</v>
      </c>
      <c r="L18" s="42" t="s">
        <v>2320</v>
      </c>
      <c r="M18" s="12">
        <v>15</v>
      </c>
    </row>
    <row r="19" spans="1:13" ht="20.399999999999999" x14ac:dyDescent="0.25">
      <c r="A19" s="30">
        <v>16</v>
      </c>
      <c r="B19" s="37" t="s">
        <v>2321</v>
      </c>
      <c r="C19" s="37">
        <v>190849123</v>
      </c>
      <c r="D19" s="39" t="s">
        <v>2322</v>
      </c>
      <c r="E19" s="40">
        <v>3012010371118</v>
      </c>
      <c r="F19" s="37" t="s">
        <v>2323</v>
      </c>
      <c r="G19" s="37">
        <v>749</v>
      </c>
      <c r="H19" s="41" t="s">
        <v>2906</v>
      </c>
      <c r="I19" s="37" t="s">
        <v>2324</v>
      </c>
      <c r="J19" s="43" t="s">
        <v>2325</v>
      </c>
      <c r="K19" s="43" t="s">
        <v>2901</v>
      </c>
      <c r="L19" s="42">
        <v>2070708</v>
      </c>
      <c r="M19" s="12">
        <v>16</v>
      </c>
    </row>
    <row r="20" spans="1:13" ht="30.6" x14ac:dyDescent="0.25">
      <c r="A20" s="30">
        <v>17</v>
      </c>
      <c r="B20" s="37" t="s">
        <v>1118</v>
      </c>
      <c r="C20" s="37">
        <v>691601521</v>
      </c>
      <c r="D20" s="39" t="s">
        <v>2326</v>
      </c>
      <c r="E20" s="40">
        <v>3012160991017</v>
      </c>
      <c r="F20" s="37" t="s">
        <v>2327</v>
      </c>
      <c r="G20" s="37">
        <v>369</v>
      </c>
      <c r="H20" s="41" t="s">
        <v>464</v>
      </c>
      <c r="I20" s="37" t="s">
        <v>2328</v>
      </c>
      <c r="J20" s="43" t="s">
        <v>2329</v>
      </c>
      <c r="K20" s="43" t="s">
        <v>2901</v>
      </c>
      <c r="L20" s="42" t="s">
        <v>2330</v>
      </c>
      <c r="M20" s="12">
        <v>17</v>
      </c>
    </row>
    <row r="21" spans="1:13" ht="20.399999999999999" x14ac:dyDescent="0.25">
      <c r="A21" s="30">
        <v>18</v>
      </c>
      <c r="B21" s="31" t="s">
        <v>41</v>
      </c>
      <c r="C21" s="30">
        <v>101143325</v>
      </c>
      <c r="D21" s="32"/>
      <c r="E21" s="33">
        <v>3012001143010</v>
      </c>
      <c r="F21" s="30" t="s">
        <v>2331</v>
      </c>
      <c r="G21" s="30">
        <v>749</v>
      </c>
      <c r="H21" s="34" t="s">
        <v>464</v>
      </c>
      <c r="I21" s="37" t="s">
        <v>2332</v>
      </c>
      <c r="J21" s="43" t="s">
        <v>2333</v>
      </c>
      <c r="K21" s="43" t="s">
        <v>2901</v>
      </c>
      <c r="L21" s="43" t="s">
        <v>2334</v>
      </c>
      <c r="M21" s="12">
        <v>18</v>
      </c>
    </row>
    <row r="22" spans="1:13" ht="30.6" x14ac:dyDescent="0.25">
      <c r="A22" s="30">
        <v>19</v>
      </c>
      <c r="B22" s="38" t="s">
        <v>2094</v>
      </c>
      <c r="C22" s="37">
        <v>691406576</v>
      </c>
      <c r="D22" s="39"/>
      <c r="E22" s="40">
        <v>3012061903342</v>
      </c>
      <c r="F22" s="37" t="s">
        <v>2335</v>
      </c>
      <c r="G22" s="37">
        <v>769</v>
      </c>
      <c r="H22" s="41" t="s">
        <v>2906</v>
      </c>
      <c r="I22" s="30" t="s">
        <v>2336</v>
      </c>
      <c r="J22" s="36" t="s">
        <v>2337</v>
      </c>
      <c r="K22" s="36" t="s">
        <v>2901</v>
      </c>
      <c r="L22" s="35" t="s">
        <v>2338</v>
      </c>
      <c r="M22" s="12">
        <v>19</v>
      </c>
    </row>
    <row r="23" spans="1:13" ht="20.399999999999999" x14ac:dyDescent="0.25">
      <c r="A23" s="30">
        <v>20</v>
      </c>
      <c r="B23" s="31" t="s">
        <v>141</v>
      </c>
      <c r="C23" s="30">
        <v>600049547</v>
      </c>
      <c r="D23" s="32" t="s">
        <v>2339</v>
      </c>
      <c r="E23" s="33">
        <v>3015203710016</v>
      </c>
      <c r="F23" s="30" t="s">
        <v>2340</v>
      </c>
      <c r="G23" s="30">
        <v>942</v>
      </c>
      <c r="H23" s="34" t="s">
        <v>2341</v>
      </c>
      <c r="I23" s="37" t="s">
        <v>2342</v>
      </c>
      <c r="J23" s="43" t="s">
        <v>2343</v>
      </c>
      <c r="K23" s="43" t="s">
        <v>2901</v>
      </c>
      <c r="L23" s="42" t="s">
        <v>2344</v>
      </c>
      <c r="M23" s="12">
        <v>20</v>
      </c>
    </row>
    <row r="24" spans="1:13" ht="20.399999999999999" x14ac:dyDescent="0.25">
      <c r="A24" s="30">
        <v>21</v>
      </c>
      <c r="B24" s="335" t="s">
        <v>3259</v>
      </c>
      <c r="C24" s="335">
        <v>190904186</v>
      </c>
      <c r="D24" s="336" t="s">
        <v>2345</v>
      </c>
      <c r="E24" s="338">
        <v>3012024230011</v>
      </c>
      <c r="F24" s="335" t="s">
        <v>2346</v>
      </c>
      <c r="G24" s="335">
        <v>117</v>
      </c>
      <c r="H24" s="339" t="s">
        <v>2906</v>
      </c>
      <c r="I24" s="30" t="s">
        <v>2347</v>
      </c>
      <c r="J24" s="36" t="s">
        <v>2348</v>
      </c>
      <c r="K24" s="36" t="s">
        <v>2901</v>
      </c>
      <c r="L24" s="35" t="s">
        <v>2349</v>
      </c>
      <c r="M24" s="12">
        <v>21</v>
      </c>
    </row>
    <row r="25" spans="1:13" ht="30.6" x14ac:dyDescent="0.25">
      <c r="A25" s="30">
        <v>22</v>
      </c>
      <c r="B25" s="31" t="s">
        <v>35</v>
      </c>
      <c r="C25" s="30">
        <v>690665107</v>
      </c>
      <c r="D25" s="32"/>
      <c r="E25" s="33">
        <v>3012100038212</v>
      </c>
      <c r="F25" s="30" t="s">
        <v>2943</v>
      </c>
      <c r="G25" s="30">
        <v>742</v>
      </c>
      <c r="H25" s="34" t="s">
        <v>464</v>
      </c>
      <c r="I25" s="335" t="s">
        <v>2350</v>
      </c>
      <c r="J25" s="340" t="s">
        <v>2351</v>
      </c>
      <c r="K25" s="340" t="s">
        <v>2901</v>
      </c>
      <c r="L25" s="340" t="s">
        <v>364</v>
      </c>
      <c r="M25" s="12">
        <v>22</v>
      </c>
    </row>
    <row r="26" spans="1:13" ht="30.6" x14ac:dyDescent="0.25">
      <c r="A26" s="30">
        <v>23</v>
      </c>
      <c r="B26" s="38" t="s">
        <v>3321</v>
      </c>
      <c r="C26" s="37">
        <v>490492602</v>
      </c>
      <c r="D26" s="39" t="s">
        <v>3331</v>
      </c>
      <c r="E26" s="40">
        <v>3012113684010</v>
      </c>
      <c r="F26" s="37" t="s">
        <v>3332</v>
      </c>
      <c r="G26" s="37">
        <v>369</v>
      </c>
      <c r="H26" s="41" t="s">
        <v>2906</v>
      </c>
      <c r="I26" s="30" t="s">
        <v>3333</v>
      </c>
      <c r="J26" s="36" t="s">
        <v>3484</v>
      </c>
      <c r="K26" s="36" t="s">
        <v>2901</v>
      </c>
      <c r="L26" s="35" t="s">
        <v>3485</v>
      </c>
      <c r="M26" s="12">
        <v>23</v>
      </c>
    </row>
    <row r="27" spans="1:13" ht="30.6" x14ac:dyDescent="0.25">
      <c r="A27" s="30">
        <v>24</v>
      </c>
      <c r="B27" s="31" t="s">
        <v>2034</v>
      </c>
      <c r="C27" s="30">
        <v>101477759</v>
      </c>
      <c r="D27" s="32" t="s">
        <v>3486</v>
      </c>
      <c r="E27" s="33">
        <v>3012103027010</v>
      </c>
      <c r="F27" s="30" t="s">
        <v>3487</v>
      </c>
      <c r="G27" s="30">
        <v>369</v>
      </c>
      <c r="H27" s="34" t="s">
        <v>3488</v>
      </c>
      <c r="I27" s="37" t="s">
        <v>3489</v>
      </c>
      <c r="J27" s="43" t="s">
        <v>3490</v>
      </c>
      <c r="K27" s="43" t="s">
        <v>3868</v>
      </c>
      <c r="L27" s="42" t="s">
        <v>3869</v>
      </c>
      <c r="M27" s="12">
        <f>ROW()-3</f>
        <v>24</v>
      </c>
    </row>
    <row r="28" spans="1:13" ht="20.399999999999999" x14ac:dyDescent="0.25">
      <c r="A28" s="30">
        <v>25</v>
      </c>
      <c r="B28" s="38" t="s">
        <v>1796</v>
      </c>
      <c r="C28" s="37">
        <v>100872922</v>
      </c>
      <c r="D28" s="39"/>
      <c r="E28" s="40" t="s">
        <v>4020</v>
      </c>
      <c r="F28" s="37" t="s">
        <v>3870</v>
      </c>
      <c r="G28" s="37" t="s">
        <v>4021</v>
      </c>
      <c r="H28" s="41" t="s">
        <v>464</v>
      </c>
      <c r="I28" s="30" t="s">
        <v>3871</v>
      </c>
      <c r="J28" s="36" t="s">
        <v>3872</v>
      </c>
      <c r="K28" s="36" t="s">
        <v>2901</v>
      </c>
      <c r="L28" s="35" t="s">
        <v>3888</v>
      </c>
      <c r="M28" s="12">
        <f>ROW()-3</f>
        <v>25</v>
      </c>
    </row>
    <row r="29" spans="1:13" ht="20.399999999999999" x14ac:dyDescent="0.25">
      <c r="A29" s="30">
        <v>26</v>
      </c>
      <c r="B29" s="31" t="s">
        <v>3873</v>
      </c>
      <c r="C29" s="30">
        <v>100025811</v>
      </c>
      <c r="D29" s="32"/>
      <c r="E29" s="33">
        <v>3012007705016</v>
      </c>
      <c r="F29" s="30" t="s">
        <v>3874</v>
      </c>
      <c r="G29" s="30">
        <v>749</v>
      </c>
      <c r="H29" s="34" t="s">
        <v>1579</v>
      </c>
      <c r="I29" s="37" t="s">
        <v>3875</v>
      </c>
      <c r="J29" s="43" t="s">
        <v>1580</v>
      </c>
      <c r="K29" s="43" t="s">
        <v>1581</v>
      </c>
      <c r="L29" s="42" t="s">
        <v>3876</v>
      </c>
      <c r="M29" s="12">
        <f>ROW()-3</f>
        <v>26</v>
      </c>
    </row>
    <row r="30" spans="1:13" ht="30.6" x14ac:dyDescent="0.25">
      <c r="A30" s="30">
        <v>27</v>
      </c>
      <c r="B30" s="38" t="s">
        <v>2775</v>
      </c>
      <c r="C30" s="37">
        <v>691301525</v>
      </c>
      <c r="D30" s="39" t="s">
        <v>1582</v>
      </c>
      <c r="E30" s="40" t="s">
        <v>2477</v>
      </c>
      <c r="F30" s="37" t="s">
        <v>1583</v>
      </c>
      <c r="G30" s="37">
        <v>749</v>
      </c>
      <c r="H30" s="41" t="s">
        <v>464</v>
      </c>
      <c r="I30" s="30" t="s">
        <v>1584</v>
      </c>
      <c r="J30" s="36" t="s">
        <v>1585</v>
      </c>
      <c r="K30" s="36" t="s">
        <v>2901</v>
      </c>
      <c r="L30" s="35" t="s">
        <v>1586</v>
      </c>
      <c r="M30" s="12">
        <v>27</v>
      </c>
    </row>
    <row r="31" spans="1:13" ht="20.399999999999999" x14ac:dyDescent="0.25">
      <c r="A31" s="30">
        <v>28</v>
      </c>
      <c r="B31" s="38" t="s">
        <v>340</v>
      </c>
      <c r="C31" s="37">
        <v>190444477</v>
      </c>
      <c r="D31" s="39" t="s">
        <v>1587</v>
      </c>
      <c r="E31" s="40" t="s">
        <v>4040</v>
      </c>
      <c r="F31" s="37" t="s">
        <v>1588</v>
      </c>
      <c r="G31" s="37" t="s">
        <v>4039</v>
      </c>
      <c r="H31" s="41" t="s">
        <v>2906</v>
      </c>
      <c r="I31" s="37" t="s">
        <v>1589</v>
      </c>
      <c r="J31" s="43" t="s">
        <v>1590</v>
      </c>
      <c r="K31" s="43" t="s">
        <v>2901</v>
      </c>
      <c r="L31" s="42" t="s">
        <v>1591</v>
      </c>
      <c r="M31" s="12">
        <f>ROW()-3</f>
        <v>28</v>
      </c>
    </row>
    <row r="32" spans="1:13" ht="20.399999999999999" x14ac:dyDescent="0.25">
      <c r="A32" s="30">
        <v>29</v>
      </c>
      <c r="B32" s="38" t="s">
        <v>222</v>
      </c>
      <c r="C32" s="37">
        <v>192468761</v>
      </c>
      <c r="D32" s="39"/>
      <c r="E32" s="40">
        <v>3012351500010</v>
      </c>
      <c r="F32" s="37" t="s">
        <v>1592</v>
      </c>
      <c r="G32" s="37">
        <v>117</v>
      </c>
      <c r="H32" s="41" t="s">
        <v>464</v>
      </c>
      <c r="I32" s="37" t="s">
        <v>1593</v>
      </c>
      <c r="J32" s="42" t="s">
        <v>1594</v>
      </c>
      <c r="K32" s="43" t="s">
        <v>2901</v>
      </c>
      <c r="L32" s="42">
        <v>173458417.34584099</v>
      </c>
      <c r="M32" s="12">
        <v>29</v>
      </c>
    </row>
    <row r="33" spans="1:13" ht="30.6" x14ac:dyDescent="0.25">
      <c r="A33" s="30">
        <v>30</v>
      </c>
      <c r="B33" s="37" t="s">
        <v>3635</v>
      </c>
      <c r="C33" s="37">
        <v>100059044</v>
      </c>
      <c r="D33" s="39" t="s">
        <v>1595</v>
      </c>
      <c r="E33" s="40">
        <v>3012741520017</v>
      </c>
      <c r="F33" s="37" t="s">
        <v>1596</v>
      </c>
      <c r="G33" s="37">
        <v>739</v>
      </c>
      <c r="H33" s="41" t="s">
        <v>2906</v>
      </c>
      <c r="I33" s="37" t="s">
        <v>1597</v>
      </c>
      <c r="J33" s="43" t="s">
        <v>1598</v>
      </c>
      <c r="K33" s="43" t="s">
        <v>2901</v>
      </c>
      <c r="L33" s="42" t="s">
        <v>1599</v>
      </c>
      <c r="M33" s="12">
        <f>ROW()-3</f>
        <v>30</v>
      </c>
    </row>
    <row r="34" spans="1:13" ht="20.399999999999999" x14ac:dyDescent="0.25">
      <c r="A34" s="30">
        <v>31</v>
      </c>
      <c r="B34" s="38" t="s">
        <v>847</v>
      </c>
      <c r="C34" s="37">
        <v>190853326</v>
      </c>
      <c r="D34" s="39" t="s">
        <v>1600</v>
      </c>
      <c r="E34" s="40" t="s">
        <v>4113</v>
      </c>
      <c r="F34" s="37" t="s">
        <v>1601</v>
      </c>
      <c r="G34" s="37" t="s">
        <v>3992</v>
      </c>
      <c r="H34" s="41" t="s">
        <v>464</v>
      </c>
      <c r="I34" s="37" t="s">
        <v>1602</v>
      </c>
      <c r="J34" s="43" t="s">
        <v>1603</v>
      </c>
      <c r="K34" s="43" t="s">
        <v>1604</v>
      </c>
      <c r="L34" s="42" t="s">
        <v>1605</v>
      </c>
      <c r="M34" s="12">
        <f>ROW()-3</f>
        <v>31</v>
      </c>
    </row>
    <row r="35" spans="1:13" ht="20.399999999999999" x14ac:dyDescent="0.25">
      <c r="A35" s="30">
        <v>32</v>
      </c>
      <c r="B35" s="38" t="s">
        <v>1549</v>
      </c>
      <c r="C35" s="37">
        <v>190334809</v>
      </c>
      <c r="D35" s="39" t="s">
        <v>1550</v>
      </c>
      <c r="E35" s="40">
        <v>3012004315018</v>
      </c>
      <c r="F35" s="37" t="s">
        <v>1551</v>
      </c>
      <c r="G35" s="37">
        <v>749</v>
      </c>
      <c r="H35" s="41" t="s">
        <v>2906</v>
      </c>
      <c r="I35" s="37" t="s">
        <v>1552</v>
      </c>
      <c r="J35" s="43" t="s">
        <v>1554</v>
      </c>
      <c r="K35" s="43" t="s">
        <v>2901</v>
      </c>
      <c r="L35" s="42" t="s">
        <v>1553</v>
      </c>
      <c r="M35" s="12">
        <v>33</v>
      </c>
    </row>
    <row r="36" spans="1:13" ht="30.6" x14ac:dyDescent="0.25">
      <c r="A36" s="30">
        <v>33</v>
      </c>
      <c r="B36" s="31" t="s">
        <v>916</v>
      </c>
      <c r="C36" s="30">
        <v>101553117</v>
      </c>
      <c r="D36" s="32" t="s">
        <v>1555</v>
      </c>
      <c r="E36" s="33" t="s">
        <v>4002</v>
      </c>
      <c r="F36" s="30" t="s">
        <v>4004</v>
      </c>
      <c r="G36" s="30" t="s">
        <v>4003</v>
      </c>
      <c r="H36" s="34" t="s">
        <v>2906</v>
      </c>
      <c r="I36" s="37" t="s">
        <v>1556</v>
      </c>
      <c r="J36" s="43" t="s">
        <v>1557</v>
      </c>
      <c r="K36" s="43" t="s">
        <v>2901</v>
      </c>
      <c r="L36" s="42" t="s">
        <v>4005</v>
      </c>
      <c r="M36" s="12">
        <v>34</v>
      </c>
    </row>
    <row r="37" spans="1:13" ht="30.6" x14ac:dyDescent="0.25">
      <c r="A37" s="30">
        <v>34</v>
      </c>
      <c r="B37" s="37" t="s">
        <v>2859</v>
      </c>
      <c r="C37" s="37">
        <v>100261801</v>
      </c>
      <c r="D37" s="39"/>
      <c r="E37" s="40">
        <v>3012100833018</v>
      </c>
      <c r="F37" s="37" t="s">
        <v>1558</v>
      </c>
      <c r="G37" s="37">
        <v>369</v>
      </c>
      <c r="H37" s="41" t="s">
        <v>1559</v>
      </c>
      <c r="I37" s="30" t="s">
        <v>1560</v>
      </c>
      <c r="J37" s="36" t="s">
        <v>1561</v>
      </c>
      <c r="K37" s="36" t="s">
        <v>1161</v>
      </c>
      <c r="L37" s="35" t="s">
        <v>1562</v>
      </c>
      <c r="M37" s="12">
        <v>35</v>
      </c>
    </row>
    <row r="38" spans="1:13" ht="30.6" x14ac:dyDescent="0.25">
      <c r="A38" s="30">
        <v>35</v>
      </c>
      <c r="B38" s="38" t="s">
        <v>3850</v>
      </c>
      <c r="C38" s="37">
        <v>800011635</v>
      </c>
      <c r="D38" s="39" t="s">
        <v>1563</v>
      </c>
      <c r="E38" s="40">
        <v>3012009170014</v>
      </c>
      <c r="F38" s="37" t="s">
        <v>1564</v>
      </c>
      <c r="G38" s="37">
        <v>749</v>
      </c>
      <c r="H38" s="41" t="s">
        <v>464</v>
      </c>
      <c r="I38" s="37" t="s">
        <v>1565</v>
      </c>
      <c r="J38" s="43" t="s">
        <v>1566</v>
      </c>
      <c r="K38" s="43" t="s">
        <v>2901</v>
      </c>
      <c r="L38" s="43" t="s">
        <v>1567</v>
      </c>
      <c r="M38" s="12">
        <f>ROW()-3</f>
        <v>35</v>
      </c>
    </row>
    <row r="39" spans="1:13" ht="20.399999999999999" x14ac:dyDescent="0.25">
      <c r="A39" s="30">
        <v>36</v>
      </c>
      <c r="B39" s="37" t="s">
        <v>1568</v>
      </c>
      <c r="C39" s="37">
        <v>100122726</v>
      </c>
      <c r="D39" s="39" t="s">
        <v>1569</v>
      </c>
      <c r="E39" s="40">
        <v>3011640280013</v>
      </c>
      <c r="F39" s="37" t="s">
        <v>1570</v>
      </c>
      <c r="G39" s="37">
        <v>739</v>
      </c>
      <c r="H39" s="41" t="s">
        <v>2906</v>
      </c>
      <c r="I39" s="37" t="s">
        <v>1571</v>
      </c>
      <c r="J39" s="43" t="s">
        <v>1572</v>
      </c>
      <c r="K39" s="43" t="s">
        <v>1573</v>
      </c>
      <c r="L39" s="42" t="s">
        <v>1574</v>
      </c>
      <c r="M39" s="12">
        <f>ROW()-3</f>
        <v>36</v>
      </c>
    </row>
    <row r="40" spans="1:13" ht="30.6" x14ac:dyDescent="0.25">
      <c r="A40" s="30">
        <v>37</v>
      </c>
      <c r="B40" s="38" t="s">
        <v>3587</v>
      </c>
      <c r="C40" s="37">
        <v>101254783</v>
      </c>
      <c r="D40" s="39" t="s">
        <v>1575</v>
      </c>
      <c r="E40" s="40">
        <v>3012027730017</v>
      </c>
      <c r="F40" s="37" t="s">
        <v>1160</v>
      </c>
      <c r="G40" s="37">
        <v>272</v>
      </c>
      <c r="H40" s="41" t="s">
        <v>1578</v>
      </c>
      <c r="I40" s="37" t="s">
        <v>1576</v>
      </c>
      <c r="J40" s="43" t="s">
        <v>1577</v>
      </c>
      <c r="K40" s="43" t="s">
        <v>2901</v>
      </c>
      <c r="L40" s="42">
        <v>173319441.02967301</v>
      </c>
      <c r="M40" s="12">
        <f>ROW()-3</f>
        <v>37</v>
      </c>
    </row>
    <row r="41" spans="1:13" ht="20.399999999999999" x14ac:dyDescent="0.25">
      <c r="A41" s="30">
        <v>38</v>
      </c>
      <c r="B41" s="38" t="s">
        <v>1163</v>
      </c>
      <c r="C41" s="37">
        <v>191360926</v>
      </c>
      <c r="D41" s="39" t="s">
        <v>1164</v>
      </c>
      <c r="E41" s="40">
        <v>3012000075825</v>
      </c>
      <c r="F41" s="37" t="s">
        <v>2932</v>
      </c>
      <c r="G41" s="37">
        <v>742</v>
      </c>
      <c r="H41" s="41" t="s">
        <v>464</v>
      </c>
      <c r="I41" s="37" t="s">
        <v>1165</v>
      </c>
      <c r="J41" s="43" t="s">
        <v>1166</v>
      </c>
      <c r="K41" s="43" t="s">
        <v>2901</v>
      </c>
      <c r="L41" s="43" t="s">
        <v>3674</v>
      </c>
      <c r="M41" s="12">
        <f>ROW()-3</f>
        <v>38</v>
      </c>
    </row>
    <row r="42" spans="1:13" ht="20.399999999999999" x14ac:dyDescent="0.25">
      <c r="A42" s="30">
        <v>39</v>
      </c>
      <c r="B42" s="38" t="s">
        <v>1684</v>
      </c>
      <c r="C42" s="37">
        <v>100819821</v>
      </c>
      <c r="D42" s="39" t="s">
        <v>1167</v>
      </c>
      <c r="E42" s="40">
        <v>3012012927010</v>
      </c>
      <c r="F42" s="37" t="s">
        <v>1168</v>
      </c>
      <c r="G42" s="37">
        <v>749</v>
      </c>
      <c r="H42" s="41" t="s">
        <v>464</v>
      </c>
      <c r="I42" s="37" t="s">
        <v>1169</v>
      </c>
      <c r="J42" s="43" t="s">
        <v>1170</v>
      </c>
      <c r="K42" s="43" t="s">
        <v>2901</v>
      </c>
      <c r="L42" s="42" t="s">
        <v>1171</v>
      </c>
      <c r="M42" s="12">
        <f>ROW()-3</f>
        <v>39</v>
      </c>
    </row>
    <row r="43" spans="1:13" ht="20.399999999999999" x14ac:dyDescent="0.25">
      <c r="A43" s="30">
        <v>40</v>
      </c>
      <c r="B43" s="31" t="s">
        <v>1641</v>
      </c>
      <c r="C43" s="30">
        <v>100135464</v>
      </c>
      <c r="D43" s="32" t="s">
        <v>1172</v>
      </c>
      <c r="E43" s="33">
        <v>3012740141019</v>
      </c>
      <c r="F43" s="30" t="s">
        <v>1173</v>
      </c>
      <c r="G43" s="30">
        <v>739</v>
      </c>
      <c r="H43" s="34" t="s">
        <v>464</v>
      </c>
      <c r="I43" s="30" t="s">
        <v>1174</v>
      </c>
      <c r="J43" s="36" t="s">
        <v>1175</v>
      </c>
      <c r="K43" s="36" t="s">
        <v>2901</v>
      </c>
      <c r="L43" s="35" t="s">
        <v>1176</v>
      </c>
      <c r="M43" s="12">
        <f t="shared" ref="M43:M52" si="0">ROW()-3</f>
        <v>40</v>
      </c>
    </row>
    <row r="44" spans="1:13" ht="20.399999999999999" x14ac:dyDescent="0.25">
      <c r="A44" s="30">
        <v>41</v>
      </c>
      <c r="B44" s="38" t="s">
        <v>3291</v>
      </c>
      <c r="C44" s="37">
        <v>100054851</v>
      </c>
      <c r="D44" s="39" t="s">
        <v>1177</v>
      </c>
      <c r="E44" s="40">
        <v>3012006203718</v>
      </c>
      <c r="F44" s="37" t="s">
        <v>1178</v>
      </c>
      <c r="G44" s="37">
        <v>739</v>
      </c>
      <c r="H44" s="41" t="s">
        <v>1179</v>
      </c>
      <c r="I44" s="37" t="s">
        <v>1180</v>
      </c>
      <c r="J44" s="42" t="s">
        <v>1181</v>
      </c>
      <c r="K44" s="43" t="s">
        <v>2901</v>
      </c>
      <c r="L44" s="42" t="s">
        <v>1182</v>
      </c>
      <c r="M44" s="12">
        <f t="shared" si="0"/>
        <v>41</v>
      </c>
    </row>
    <row r="45" spans="1:13" ht="30.6" x14ac:dyDescent="0.25">
      <c r="A45" s="30">
        <v>42</v>
      </c>
      <c r="B45" s="38" t="s">
        <v>2871</v>
      </c>
      <c r="C45" s="37">
        <v>101015738</v>
      </c>
      <c r="D45" s="39" t="s">
        <v>1183</v>
      </c>
      <c r="E45" s="40">
        <v>3012100280011</v>
      </c>
      <c r="F45" s="37" t="s">
        <v>1184</v>
      </c>
      <c r="G45" s="37">
        <v>720</v>
      </c>
      <c r="H45" s="41" t="s">
        <v>1185</v>
      </c>
      <c r="I45" s="37" t="s">
        <v>1186</v>
      </c>
      <c r="J45" s="43" t="s">
        <v>1188</v>
      </c>
      <c r="K45" s="43" t="s">
        <v>1189</v>
      </c>
      <c r="L45" s="42" t="s">
        <v>1187</v>
      </c>
      <c r="M45" s="12">
        <f t="shared" si="0"/>
        <v>42</v>
      </c>
    </row>
    <row r="46" spans="1:13" ht="20.399999999999999" x14ac:dyDescent="0.25">
      <c r="A46" s="30">
        <v>43</v>
      </c>
      <c r="B46" s="31" t="s">
        <v>2358</v>
      </c>
      <c r="C46" s="30">
        <v>800008903</v>
      </c>
      <c r="D46" s="32" t="s">
        <v>1190</v>
      </c>
      <c r="E46" s="33">
        <v>3012002620019</v>
      </c>
      <c r="F46" s="30" t="s">
        <v>1191</v>
      </c>
      <c r="G46" s="30">
        <v>725</v>
      </c>
      <c r="H46" s="34" t="s">
        <v>464</v>
      </c>
      <c r="I46" s="30" t="s">
        <v>1192</v>
      </c>
      <c r="J46" s="36" t="s">
        <v>1029</v>
      </c>
      <c r="K46" s="36" t="s">
        <v>2901</v>
      </c>
      <c r="L46" s="35" t="s">
        <v>1030</v>
      </c>
      <c r="M46" s="12">
        <f t="shared" si="0"/>
        <v>43</v>
      </c>
    </row>
    <row r="47" spans="1:13" ht="20.399999999999999" x14ac:dyDescent="0.25">
      <c r="A47" s="30">
        <v>44</v>
      </c>
      <c r="B47" s="38" t="s">
        <v>2370</v>
      </c>
      <c r="C47" s="37">
        <v>100315382</v>
      </c>
      <c r="D47" s="39" t="s">
        <v>1031</v>
      </c>
      <c r="E47" s="40">
        <v>3012102687015</v>
      </c>
      <c r="F47" s="37" t="s">
        <v>1032</v>
      </c>
      <c r="G47" s="37">
        <v>369</v>
      </c>
      <c r="H47" s="41" t="s">
        <v>1033</v>
      </c>
      <c r="I47" s="37" t="s">
        <v>1034</v>
      </c>
      <c r="J47" s="43" t="s">
        <v>1035</v>
      </c>
      <c r="K47" s="36" t="s">
        <v>1037</v>
      </c>
      <c r="L47" s="36" t="s">
        <v>1036</v>
      </c>
      <c r="M47" s="12">
        <f t="shared" si="0"/>
        <v>44</v>
      </c>
    </row>
    <row r="48" spans="1:13" ht="20.399999999999999" x14ac:dyDescent="0.25">
      <c r="A48" s="30">
        <v>45</v>
      </c>
      <c r="B48" s="31" t="s">
        <v>164</v>
      </c>
      <c r="C48" s="30">
        <v>100534485</v>
      </c>
      <c r="D48" s="32" t="s">
        <v>1038</v>
      </c>
      <c r="E48" s="33">
        <v>3012000002103</v>
      </c>
      <c r="F48" s="30" t="s">
        <v>1039</v>
      </c>
      <c r="G48" s="30">
        <v>815</v>
      </c>
      <c r="H48" s="34" t="s">
        <v>1040</v>
      </c>
      <c r="I48" s="30" t="s">
        <v>1041</v>
      </c>
      <c r="J48" s="36" t="s">
        <v>1042</v>
      </c>
      <c r="K48" s="36" t="s">
        <v>1043</v>
      </c>
      <c r="L48" s="35" t="s">
        <v>1044</v>
      </c>
      <c r="M48" s="12">
        <f t="shared" si="0"/>
        <v>45</v>
      </c>
    </row>
    <row r="49" spans="1:13" ht="20.399999999999999" x14ac:dyDescent="0.25">
      <c r="A49" s="30">
        <v>46</v>
      </c>
      <c r="B49" s="38" t="s">
        <v>1058</v>
      </c>
      <c r="C49" s="37">
        <v>102384873</v>
      </c>
      <c r="D49" s="39" t="s">
        <v>1045</v>
      </c>
      <c r="E49" s="40">
        <v>3012102707012</v>
      </c>
      <c r="F49" s="37" t="s">
        <v>1048</v>
      </c>
      <c r="G49" s="37">
        <v>334</v>
      </c>
      <c r="H49" s="41" t="s">
        <v>2906</v>
      </c>
      <c r="I49" s="37" t="s">
        <v>1046</v>
      </c>
      <c r="J49" s="42" t="s">
        <v>1047</v>
      </c>
      <c r="K49" s="43" t="s">
        <v>1059</v>
      </c>
      <c r="L49" s="42">
        <v>3458477.3444298999</v>
      </c>
      <c r="M49" s="12">
        <f t="shared" si="0"/>
        <v>46</v>
      </c>
    </row>
    <row r="50" spans="1:13" ht="30.6" x14ac:dyDescent="0.25">
      <c r="A50" s="30">
        <v>47</v>
      </c>
      <c r="B50" s="38" t="s">
        <v>3558</v>
      </c>
      <c r="C50" s="37">
        <v>601072665</v>
      </c>
      <c r="D50" s="39" t="s">
        <v>1061</v>
      </c>
      <c r="E50" s="40">
        <v>3012025503819</v>
      </c>
      <c r="F50" s="37" t="s">
        <v>1062</v>
      </c>
      <c r="G50" s="37">
        <v>739</v>
      </c>
      <c r="H50" s="41" t="s">
        <v>1033</v>
      </c>
      <c r="I50" s="37" t="s">
        <v>1065</v>
      </c>
      <c r="J50" s="43" t="s">
        <v>1060</v>
      </c>
      <c r="K50" s="43" t="s">
        <v>1063</v>
      </c>
      <c r="L50" s="42" t="s">
        <v>1064</v>
      </c>
      <c r="M50" s="12">
        <f t="shared" si="0"/>
        <v>47</v>
      </c>
    </row>
    <row r="51" spans="1:13" ht="20.399999999999999" x14ac:dyDescent="0.25">
      <c r="A51" s="30">
        <v>48</v>
      </c>
      <c r="B51" s="38" t="s">
        <v>1066</v>
      </c>
      <c r="C51" s="37">
        <v>190309754</v>
      </c>
      <c r="D51" s="39" t="s">
        <v>1067</v>
      </c>
      <c r="E51" s="40">
        <v>3012049498017</v>
      </c>
      <c r="F51" s="37" t="s">
        <v>1068</v>
      </c>
      <c r="G51" s="37">
        <v>749</v>
      </c>
      <c r="H51" s="41" t="s">
        <v>464</v>
      </c>
      <c r="I51" s="37" t="s">
        <v>1069</v>
      </c>
      <c r="J51" s="43" t="s">
        <v>1070</v>
      </c>
      <c r="K51" s="43" t="s">
        <v>2901</v>
      </c>
      <c r="L51" s="42" t="s">
        <v>1071</v>
      </c>
      <c r="M51" s="12">
        <f t="shared" si="0"/>
        <v>48</v>
      </c>
    </row>
    <row r="52" spans="1:13" ht="20.399999999999999" x14ac:dyDescent="0.25">
      <c r="A52" s="30">
        <v>49</v>
      </c>
      <c r="B52" s="30" t="s">
        <v>837</v>
      </c>
      <c r="C52" s="30">
        <v>101449345</v>
      </c>
      <c r="D52" s="32"/>
      <c r="E52" s="33">
        <v>3012000173010</v>
      </c>
      <c r="F52" s="30" t="s">
        <v>1072</v>
      </c>
      <c r="G52" s="30">
        <v>749</v>
      </c>
      <c r="H52" s="34" t="s">
        <v>1073</v>
      </c>
      <c r="I52" s="37" t="s">
        <v>1074</v>
      </c>
      <c r="J52" s="43" t="s">
        <v>1075</v>
      </c>
      <c r="K52" s="43" t="s">
        <v>2901</v>
      </c>
      <c r="L52" s="42" t="s">
        <v>1076</v>
      </c>
      <c r="M52" s="12">
        <f t="shared" si="0"/>
        <v>49</v>
      </c>
    </row>
    <row r="53" spans="1:13" ht="20.399999999999999" x14ac:dyDescent="0.25">
      <c r="A53" s="30">
        <v>50</v>
      </c>
      <c r="B53" s="38" t="s">
        <v>1788</v>
      </c>
      <c r="C53" s="37">
        <v>800001327</v>
      </c>
      <c r="D53" s="39"/>
      <c r="E53" s="40">
        <v>3012102301321</v>
      </c>
      <c r="F53" s="37" t="s">
        <v>1077</v>
      </c>
      <c r="G53" s="37">
        <v>720</v>
      </c>
      <c r="H53" s="41" t="s">
        <v>2906</v>
      </c>
      <c r="I53" s="30" t="s">
        <v>1078</v>
      </c>
      <c r="J53" s="36" t="s">
        <v>1079</v>
      </c>
      <c r="K53" s="36" t="s">
        <v>2901</v>
      </c>
      <c r="L53" s="36" t="s">
        <v>1080</v>
      </c>
      <c r="M53" s="12">
        <f>ROW()-3</f>
        <v>50</v>
      </c>
    </row>
    <row r="54" spans="1:13" ht="20.399999999999999" x14ac:dyDescent="0.25">
      <c r="A54" s="30">
        <v>51</v>
      </c>
      <c r="B54" s="30" t="s">
        <v>1651</v>
      </c>
      <c r="C54" s="30">
        <v>190884251</v>
      </c>
      <c r="D54" s="32"/>
      <c r="E54" s="33">
        <v>3012320330009</v>
      </c>
      <c r="F54" s="30" t="s">
        <v>1081</v>
      </c>
      <c r="G54" s="30">
        <v>765</v>
      </c>
      <c r="H54" s="34" t="s">
        <v>2906</v>
      </c>
      <c r="I54" s="37" t="s">
        <v>1082</v>
      </c>
      <c r="J54" s="43" t="s">
        <v>1083</v>
      </c>
      <c r="K54" s="43" t="s">
        <v>1084</v>
      </c>
      <c r="L54" s="42" t="s">
        <v>1085</v>
      </c>
      <c r="M54" s="12">
        <f>ROW()-3</f>
        <v>51</v>
      </c>
    </row>
    <row r="55" spans="1:13" ht="20.399999999999999" x14ac:dyDescent="0.25">
      <c r="A55" s="30">
        <v>52</v>
      </c>
      <c r="B55" s="38" t="s">
        <v>370</v>
      </c>
      <c r="C55" s="37">
        <v>101293399</v>
      </c>
      <c r="D55" s="39" t="s">
        <v>1086</v>
      </c>
      <c r="E55" s="40">
        <v>3012013190016</v>
      </c>
      <c r="F55" s="37" t="s">
        <v>1087</v>
      </c>
      <c r="G55" s="37">
        <v>117</v>
      </c>
      <c r="H55" s="41" t="s">
        <v>2906</v>
      </c>
      <c r="I55" s="37" t="s">
        <v>3004</v>
      </c>
      <c r="J55" s="42" t="s">
        <v>3005</v>
      </c>
      <c r="K55" s="43" t="s">
        <v>2901</v>
      </c>
      <c r="L55" s="42" t="s">
        <v>3006</v>
      </c>
      <c r="M55" s="12">
        <f>ROW()-3</f>
        <v>52</v>
      </c>
    </row>
    <row r="56" spans="1:13" ht="20.399999999999999" x14ac:dyDescent="0.25">
      <c r="A56" s="30">
        <v>53</v>
      </c>
      <c r="B56" s="37" t="s">
        <v>3842</v>
      </c>
      <c r="C56" s="37">
        <v>600124705</v>
      </c>
      <c r="D56" s="39" t="s">
        <v>3007</v>
      </c>
      <c r="E56" s="40">
        <v>3012226930018</v>
      </c>
      <c r="F56" s="37" t="s">
        <v>3008</v>
      </c>
      <c r="G56" s="37">
        <v>739</v>
      </c>
      <c r="H56" s="41" t="s">
        <v>2906</v>
      </c>
      <c r="I56" s="37" t="s">
        <v>3009</v>
      </c>
      <c r="J56" s="43" t="s">
        <v>3010</v>
      </c>
      <c r="K56" s="43" t="s">
        <v>2901</v>
      </c>
      <c r="L56" s="42">
        <v>2905374</v>
      </c>
      <c r="M56" s="12">
        <f t="shared" ref="M56:M61" si="1">ROW()-3</f>
        <v>53</v>
      </c>
    </row>
    <row r="57" spans="1:13" ht="20.399999999999999" x14ac:dyDescent="0.25">
      <c r="A57" s="30">
        <v>54</v>
      </c>
      <c r="B57" s="38" t="s">
        <v>944</v>
      </c>
      <c r="C57" s="37">
        <v>100692491</v>
      </c>
      <c r="D57" s="39" t="s">
        <v>3011</v>
      </c>
      <c r="E57" s="40">
        <v>3012009820018</v>
      </c>
      <c r="F57" s="37" t="s">
        <v>3012</v>
      </c>
      <c r="G57" s="37">
        <v>369</v>
      </c>
      <c r="H57" s="41" t="s">
        <v>2906</v>
      </c>
      <c r="I57" s="37" t="s">
        <v>3013</v>
      </c>
      <c r="J57" s="43" t="s">
        <v>3014</v>
      </c>
      <c r="K57" s="43" t="s">
        <v>2901</v>
      </c>
      <c r="L57" s="43" t="s">
        <v>3015</v>
      </c>
      <c r="M57" s="12">
        <f t="shared" si="1"/>
        <v>54</v>
      </c>
    </row>
    <row r="58" spans="1:13" ht="30.6" x14ac:dyDescent="0.25">
      <c r="A58" s="30">
        <v>55</v>
      </c>
      <c r="B58" s="31" t="s">
        <v>1929</v>
      </c>
      <c r="C58" s="30">
        <v>200551259</v>
      </c>
      <c r="D58" s="32"/>
      <c r="E58" s="33">
        <v>3012210031017</v>
      </c>
      <c r="F58" s="30" t="s">
        <v>3016</v>
      </c>
      <c r="G58" s="30">
        <v>270</v>
      </c>
      <c r="H58" s="34" t="s">
        <v>464</v>
      </c>
      <c r="I58" s="37" t="s">
        <v>3017</v>
      </c>
      <c r="J58" s="43" t="s">
        <v>3018</v>
      </c>
      <c r="K58" s="43" t="s">
        <v>2901</v>
      </c>
      <c r="L58" s="42" t="s">
        <v>3019</v>
      </c>
      <c r="M58" s="12">
        <f t="shared" si="1"/>
        <v>55</v>
      </c>
    </row>
    <row r="59" spans="1:13" ht="20.399999999999999" x14ac:dyDescent="0.25">
      <c r="A59" s="30">
        <v>56</v>
      </c>
      <c r="B59" s="38" t="s">
        <v>349</v>
      </c>
      <c r="C59" s="37">
        <v>690604750</v>
      </c>
      <c r="D59" s="39"/>
      <c r="E59" s="40">
        <v>3012033780014</v>
      </c>
      <c r="F59" s="37" t="s">
        <v>3020</v>
      </c>
      <c r="G59" s="37">
        <v>815</v>
      </c>
      <c r="H59" s="41" t="s">
        <v>2906</v>
      </c>
      <c r="I59" s="37" t="s">
        <v>3021</v>
      </c>
      <c r="J59" s="42" t="s">
        <v>3022</v>
      </c>
      <c r="K59" s="43" t="s">
        <v>2901</v>
      </c>
      <c r="L59" s="42" t="s">
        <v>3023</v>
      </c>
      <c r="M59" s="12">
        <f t="shared" si="1"/>
        <v>56</v>
      </c>
    </row>
    <row r="60" spans="1:13" ht="20.399999999999999" x14ac:dyDescent="0.25">
      <c r="A60" s="30">
        <v>57</v>
      </c>
      <c r="B60" s="30" t="s">
        <v>2666</v>
      </c>
      <c r="C60" s="30">
        <v>691314513</v>
      </c>
      <c r="D60" s="32" t="s">
        <v>3024</v>
      </c>
      <c r="E60" s="33" t="s">
        <v>3999</v>
      </c>
      <c r="F60" s="30" t="s">
        <v>4001</v>
      </c>
      <c r="G60" s="30" t="s">
        <v>4000</v>
      </c>
      <c r="H60" s="34" t="s">
        <v>2906</v>
      </c>
      <c r="I60" s="30" t="s">
        <v>3025</v>
      </c>
      <c r="J60" s="36" t="s">
        <v>3026</v>
      </c>
      <c r="K60" s="36" t="s">
        <v>2901</v>
      </c>
      <c r="L60" s="36" t="s">
        <v>3027</v>
      </c>
      <c r="M60" s="12">
        <f t="shared" si="1"/>
        <v>57</v>
      </c>
    </row>
    <row r="61" spans="1:13" ht="40.799999999999997" x14ac:dyDescent="0.25">
      <c r="A61" s="30">
        <v>58</v>
      </c>
      <c r="B61" s="38" t="s">
        <v>3575</v>
      </c>
      <c r="C61" s="37">
        <v>190345927</v>
      </c>
      <c r="D61" s="39"/>
      <c r="E61" s="40">
        <v>3012010574016</v>
      </c>
      <c r="F61" s="37" t="s">
        <v>3028</v>
      </c>
      <c r="G61" s="37">
        <v>749</v>
      </c>
      <c r="H61" s="41" t="s">
        <v>3029</v>
      </c>
      <c r="I61" s="30" t="s">
        <v>3030</v>
      </c>
      <c r="J61" s="36" t="s">
        <v>3031</v>
      </c>
      <c r="K61" s="36" t="s">
        <v>3032</v>
      </c>
      <c r="L61" s="35" t="s">
        <v>3033</v>
      </c>
      <c r="M61" s="12">
        <f t="shared" si="1"/>
        <v>58</v>
      </c>
    </row>
    <row r="62" spans="1:13" ht="30.6" x14ac:dyDescent="0.25">
      <c r="A62" s="30">
        <v>59</v>
      </c>
      <c r="B62" s="37" t="s">
        <v>3035</v>
      </c>
      <c r="C62" s="37">
        <v>600020400</v>
      </c>
      <c r="D62" s="39"/>
      <c r="E62" s="40">
        <v>3012005693710</v>
      </c>
      <c r="F62" s="37" t="s">
        <v>3036</v>
      </c>
      <c r="G62" s="37">
        <v>739</v>
      </c>
      <c r="H62" s="41" t="s">
        <v>464</v>
      </c>
      <c r="I62" s="37" t="s">
        <v>3037</v>
      </c>
      <c r="J62" s="43" t="s">
        <v>3038</v>
      </c>
      <c r="K62" s="43" t="s">
        <v>3039</v>
      </c>
      <c r="L62" s="42" t="s">
        <v>3040</v>
      </c>
      <c r="M62" s="12">
        <v>59</v>
      </c>
    </row>
    <row r="63" spans="1:13" ht="30.6" x14ac:dyDescent="0.25">
      <c r="A63" s="30">
        <v>60</v>
      </c>
      <c r="B63" s="31" t="s">
        <v>733</v>
      </c>
      <c r="C63" s="30">
        <v>190770035</v>
      </c>
      <c r="D63" s="32" t="s">
        <v>3041</v>
      </c>
      <c r="E63" s="33">
        <v>3012210510011</v>
      </c>
      <c r="F63" s="30" t="s">
        <v>3042</v>
      </c>
      <c r="G63" s="30">
        <v>898</v>
      </c>
      <c r="H63" s="34" t="s">
        <v>464</v>
      </c>
      <c r="I63" s="37" t="s">
        <v>3043</v>
      </c>
      <c r="J63" s="43" t="s">
        <v>3044</v>
      </c>
      <c r="K63" s="43" t="s">
        <v>2901</v>
      </c>
      <c r="L63" s="43" t="s">
        <v>3045</v>
      </c>
      <c r="M63" s="12">
        <v>60</v>
      </c>
    </row>
    <row r="64" spans="1:13" ht="26.25" customHeight="1" x14ac:dyDescent="0.25">
      <c r="A64" s="30">
        <v>61</v>
      </c>
      <c r="B64" s="31" t="s">
        <v>225</v>
      </c>
      <c r="C64" s="30">
        <v>100152060</v>
      </c>
      <c r="D64" s="32" t="s">
        <v>3046</v>
      </c>
      <c r="E64" s="33">
        <v>3012740028015</v>
      </c>
      <c r="F64" s="30" t="s">
        <v>3047</v>
      </c>
      <c r="G64" s="30">
        <v>739</v>
      </c>
      <c r="H64" s="34" t="s">
        <v>3048</v>
      </c>
      <c r="I64" s="30" t="s">
        <v>3049</v>
      </c>
      <c r="J64" s="36" t="s">
        <v>3050</v>
      </c>
      <c r="K64" s="36" t="s">
        <v>3051</v>
      </c>
      <c r="L64" s="35" t="s">
        <v>3052</v>
      </c>
      <c r="M64" s="12">
        <f>ROW()-3</f>
        <v>61</v>
      </c>
    </row>
    <row r="65" spans="1:13" ht="30.6" x14ac:dyDescent="0.25">
      <c r="A65" s="30">
        <v>62</v>
      </c>
      <c r="B65" s="38" t="s">
        <v>3585</v>
      </c>
      <c r="C65" s="37">
        <v>191283872</v>
      </c>
      <c r="D65" s="39" t="s">
        <v>3054</v>
      </c>
      <c r="E65" s="40">
        <v>301294970011</v>
      </c>
      <c r="F65" s="37" t="s">
        <v>3055</v>
      </c>
      <c r="G65" s="37">
        <v>117</v>
      </c>
      <c r="H65" s="41" t="s">
        <v>464</v>
      </c>
      <c r="I65" s="30" t="s">
        <v>3056</v>
      </c>
      <c r="J65" s="36" t="s">
        <v>3057</v>
      </c>
      <c r="K65" s="36" t="s">
        <v>3058</v>
      </c>
      <c r="L65" s="35" t="s">
        <v>3059</v>
      </c>
      <c r="M65" s="12">
        <f>ROW()-3</f>
        <v>62</v>
      </c>
    </row>
    <row r="66" spans="1:13" ht="30.6" x14ac:dyDescent="0.25">
      <c r="A66" s="30">
        <v>63</v>
      </c>
      <c r="B66" s="31" t="s">
        <v>2139</v>
      </c>
      <c r="C66" s="30">
        <v>590086401</v>
      </c>
      <c r="D66" s="32"/>
      <c r="E66" s="33">
        <v>3012217240027</v>
      </c>
      <c r="F66" s="30" t="s">
        <v>3060</v>
      </c>
      <c r="G66" s="30">
        <v>689</v>
      </c>
      <c r="H66" s="34" t="s">
        <v>464</v>
      </c>
      <c r="I66" s="37" t="s">
        <v>3061</v>
      </c>
      <c r="J66" s="43" t="s">
        <v>3062</v>
      </c>
      <c r="K66" s="43" t="s">
        <v>2901</v>
      </c>
      <c r="L66" s="42" t="s">
        <v>3063</v>
      </c>
      <c r="M66" s="12">
        <v>63</v>
      </c>
    </row>
    <row r="67" spans="1:13" ht="20.399999999999999" x14ac:dyDescent="0.25">
      <c r="A67" s="30">
        <v>64</v>
      </c>
      <c r="B67" s="38" t="s">
        <v>50</v>
      </c>
      <c r="C67" s="37">
        <v>690325966</v>
      </c>
      <c r="D67" s="39"/>
      <c r="E67" s="40">
        <v>3012260235007</v>
      </c>
      <c r="F67" s="37" t="s">
        <v>3722</v>
      </c>
      <c r="G67" s="37">
        <v>270</v>
      </c>
      <c r="H67" s="41" t="s">
        <v>3719</v>
      </c>
      <c r="I67" s="37" t="s">
        <v>3937</v>
      </c>
      <c r="J67" s="42" t="s">
        <v>3720</v>
      </c>
      <c r="K67" s="43" t="s">
        <v>2901</v>
      </c>
      <c r="L67" s="42" t="s">
        <v>3721</v>
      </c>
      <c r="M67" s="12">
        <v>64</v>
      </c>
    </row>
    <row r="68" spans="1:13" ht="30.6" x14ac:dyDescent="0.25">
      <c r="A68" s="30">
        <v>65</v>
      </c>
      <c r="B68" s="37" t="s">
        <v>3594</v>
      </c>
      <c r="C68" s="37">
        <v>190882802</v>
      </c>
      <c r="D68" s="39" t="s">
        <v>3685</v>
      </c>
      <c r="E68" s="40">
        <v>3012088310010</v>
      </c>
      <c r="F68" s="37" t="s">
        <v>3686</v>
      </c>
      <c r="G68" s="37">
        <v>117</v>
      </c>
      <c r="H68" s="41" t="s">
        <v>2906</v>
      </c>
      <c r="I68" s="37" t="s">
        <v>3687</v>
      </c>
      <c r="J68" s="43" t="s">
        <v>3688</v>
      </c>
      <c r="K68" s="43" t="s">
        <v>2901</v>
      </c>
      <c r="L68" s="43" t="s">
        <v>3689</v>
      </c>
      <c r="M68" s="12">
        <f>ROW()-3</f>
        <v>65</v>
      </c>
    </row>
    <row r="69" spans="1:13" ht="40.799999999999997" x14ac:dyDescent="0.25">
      <c r="A69" s="30">
        <v>66</v>
      </c>
      <c r="B69" s="38" t="s">
        <v>1539</v>
      </c>
      <c r="C69" s="37">
        <v>191307470</v>
      </c>
      <c r="D69" s="39" t="s">
        <v>3074</v>
      </c>
      <c r="E69" s="40">
        <v>3632900003089</v>
      </c>
      <c r="F69" s="37" t="s">
        <v>3075</v>
      </c>
      <c r="G69" s="37">
        <v>795</v>
      </c>
      <c r="H69" s="41" t="s">
        <v>3076</v>
      </c>
      <c r="I69" s="30" t="s">
        <v>3077</v>
      </c>
      <c r="J69" s="36" t="s">
        <v>3078</v>
      </c>
      <c r="K69" s="36" t="s">
        <v>2901</v>
      </c>
      <c r="L69" s="35" t="s">
        <v>3079</v>
      </c>
      <c r="M69" s="12">
        <f t="shared" ref="M69:M132" si="2">ROW()-3</f>
        <v>66</v>
      </c>
    </row>
    <row r="70" spans="1:13" ht="20.399999999999999" x14ac:dyDescent="0.25">
      <c r="A70" s="30">
        <v>67</v>
      </c>
      <c r="B70" s="38" t="s">
        <v>2800</v>
      </c>
      <c r="C70" s="37">
        <v>600481624</v>
      </c>
      <c r="D70" s="39" t="s">
        <v>3080</v>
      </c>
      <c r="E70" s="40">
        <v>3604900003394</v>
      </c>
      <c r="F70" s="37" t="s">
        <v>3081</v>
      </c>
      <c r="G70" s="37">
        <v>795</v>
      </c>
      <c r="H70" s="41" t="s">
        <v>3082</v>
      </c>
      <c r="I70" s="37"/>
      <c r="J70" s="43"/>
      <c r="K70" s="43"/>
      <c r="L70" s="42"/>
      <c r="M70" s="12">
        <f t="shared" si="2"/>
        <v>67</v>
      </c>
    </row>
    <row r="71" spans="1:13" ht="40.799999999999997" x14ac:dyDescent="0.25">
      <c r="A71" s="30">
        <v>68</v>
      </c>
      <c r="B71" s="38" t="s">
        <v>3069</v>
      </c>
      <c r="C71" s="37">
        <v>100150599</v>
      </c>
      <c r="D71" s="39"/>
      <c r="E71" s="40">
        <v>3012203200011</v>
      </c>
      <c r="F71" s="37" t="s">
        <v>3070</v>
      </c>
      <c r="G71" s="37">
        <v>942</v>
      </c>
      <c r="H71" s="41" t="s">
        <v>464</v>
      </c>
      <c r="I71" s="37" t="s">
        <v>3071</v>
      </c>
      <c r="J71" s="43" t="s">
        <v>3072</v>
      </c>
      <c r="K71" s="43" t="s">
        <v>2901</v>
      </c>
      <c r="L71" s="42" t="s">
        <v>3073</v>
      </c>
      <c r="M71" s="12">
        <f t="shared" si="2"/>
        <v>68</v>
      </c>
    </row>
    <row r="72" spans="1:13" ht="20.399999999999999" x14ac:dyDescent="0.25">
      <c r="A72" s="30">
        <v>69</v>
      </c>
      <c r="B72" s="38" t="s">
        <v>3064</v>
      </c>
      <c r="C72" s="37">
        <v>191695519</v>
      </c>
      <c r="D72" s="39"/>
      <c r="E72" s="40">
        <v>3012024889016</v>
      </c>
      <c r="F72" s="37" t="s">
        <v>3065</v>
      </c>
      <c r="G72" s="37">
        <v>749</v>
      </c>
      <c r="H72" s="41" t="s">
        <v>464</v>
      </c>
      <c r="I72" s="37" t="s">
        <v>3066</v>
      </c>
      <c r="J72" s="43" t="s">
        <v>3067</v>
      </c>
      <c r="K72" s="43" t="s">
        <v>2901</v>
      </c>
      <c r="L72" s="42" t="s">
        <v>3068</v>
      </c>
      <c r="M72" s="12">
        <f t="shared" si="2"/>
        <v>69</v>
      </c>
    </row>
    <row r="73" spans="1:13" ht="20.399999999999999" x14ac:dyDescent="0.25">
      <c r="A73" s="30">
        <v>70</v>
      </c>
      <c r="B73" s="38" t="s">
        <v>2152</v>
      </c>
      <c r="C73" s="37">
        <v>191418262</v>
      </c>
      <c r="D73" s="39"/>
      <c r="E73" s="40">
        <v>3012351820019</v>
      </c>
      <c r="F73" s="37" t="s">
        <v>3084</v>
      </c>
      <c r="G73" s="37">
        <v>117</v>
      </c>
      <c r="H73" s="41" t="s">
        <v>3085</v>
      </c>
      <c r="I73" s="37" t="s">
        <v>3086</v>
      </c>
      <c r="J73" s="42" t="s">
        <v>3087</v>
      </c>
      <c r="K73" s="43" t="s">
        <v>2901</v>
      </c>
      <c r="L73" s="42">
        <v>80296266534</v>
      </c>
      <c r="M73" s="12">
        <f t="shared" si="2"/>
        <v>70</v>
      </c>
    </row>
    <row r="74" spans="1:13" ht="40.799999999999997" x14ac:dyDescent="0.25">
      <c r="A74" s="30">
        <v>71</v>
      </c>
      <c r="B74" s="31" t="s">
        <v>3667</v>
      </c>
      <c r="C74" s="30">
        <v>691433174</v>
      </c>
      <c r="D74" s="32" t="s">
        <v>3662</v>
      </c>
      <c r="E74" s="33">
        <v>3012024742010</v>
      </c>
      <c r="F74" s="30" t="s">
        <v>3663</v>
      </c>
      <c r="G74" s="30">
        <v>749</v>
      </c>
      <c r="H74" s="34" t="s">
        <v>2906</v>
      </c>
      <c r="I74" s="30" t="s">
        <v>3664</v>
      </c>
      <c r="J74" s="35" t="s">
        <v>3665</v>
      </c>
      <c r="K74" s="43" t="s">
        <v>2901</v>
      </c>
      <c r="L74" s="42" t="s">
        <v>3666</v>
      </c>
      <c r="M74" s="12">
        <f t="shared" si="2"/>
        <v>71</v>
      </c>
    </row>
    <row r="75" spans="1:13" ht="20.399999999999999" x14ac:dyDescent="0.25">
      <c r="A75" s="30">
        <v>72</v>
      </c>
      <c r="B75" s="38" t="s">
        <v>2624</v>
      </c>
      <c r="C75" s="37">
        <v>600004086</v>
      </c>
      <c r="D75" s="39" t="s">
        <v>3668</v>
      </c>
      <c r="E75" s="40">
        <v>301528160018</v>
      </c>
      <c r="F75" s="37" t="s">
        <v>3669</v>
      </c>
      <c r="G75" s="37">
        <v>913</v>
      </c>
      <c r="H75" s="41" t="s">
        <v>3670</v>
      </c>
      <c r="I75" s="37" t="s">
        <v>3671</v>
      </c>
      <c r="J75" s="43" t="s">
        <v>3672</v>
      </c>
      <c r="K75" s="36" t="s">
        <v>2901</v>
      </c>
      <c r="L75" s="36" t="s">
        <v>3673</v>
      </c>
      <c r="M75" s="12">
        <f t="shared" si="2"/>
        <v>72</v>
      </c>
    </row>
    <row r="76" spans="1:13" ht="30.6" x14ac:dyDescent="0.25">
      <c r="A76" s="30">
        <v>73</v>
      </c>
      <c r="B76" s="38" t="s">
        <v>3129</v>
      </c>
      <c r="C76" s="37">
        <v>690656275</v>
      </c>
      <c r="D76" s="39" t="s">
        <v>3675</v>
      </c>
      <c r="E76" s="40">
        <v>3012162980016</v>
      </c>
      <c r="F76" s="37" t="s">
        <v>3679</v>
      </c>
      <c r="G76" s="37">
        <v>601</v>
      </c>
      <c r="H76" s="41" t="s">
        <v>2906</v>
      </c>
      <c r="I76" s="37" t="s">
        <v>3676</v>
      </c>
      <c r="J76" s="42" t="s">
        <v>3677</v>
      </c>
      <c r="K76" s="43" t="s">
        <v>2901</v>
      </c>
      <c r="L76" s="42" t="s">
        <v>3678</v>
      </c>
      <c r="M76" s="12">
        <f t="shared" si="2"/>
        <v>73</v>
      </c>
    </row>
    <row r="77" spans="1:13" ht="30.6" x14ac:dyDescent="0.25">
      <c r="A77" s="30">
        <v>74</v>
      </c>
      <c r="B77" s="37" t="s">
        <v>2694</v>
      </c>
      <c r="C77" s="37">
        <v>192386501</v>
      </c>
      <c r="D77" s="39" t="s">
        <v>3680</v>
      </c>
      <c r="E77" s="40">
        <v>3012036324019</v>
      </c>
      <c r="F77" s="37" t="s">
        <v>3681</v>
      </c>
      <c r="G77" s="37">
        <v>749</v>
      </c>
      <c r="H77" s="41" t="s">
        <v>2906</v>
      </c>
      <c r="I77" s="37" t="s">
        <v>3682</v>
      </c>
      <c r="J77" s="43" t="s">
        <v>3683</v>
      </c>
      <c r="K77" s="43" t="s">
        <v>2901</v>
      </c>
      <c r="L77" s="42" t="s">
        <v>3684</v>
      </c>
      <c r="M77" s="12">
        <f t="shared" si="2"/>
        <v>74</v>
      </c>
    </row>
    <row r="78" spans="1:13" x14ac:dyDescent="0.25">
      <c r="A78" s="30">
        <v>75</v>
      </c>
      <c r="B78" s="38" t="s">
        <v>3691</v>
      </c>
      <c r="C78" s="37"/>
      <c r="D78" s="39"/>
      <c r="E78" s="40"/>
      <c r="F78" s="37"/>
      <c r="G78" s="37"/>
      <c r="H78" s="41"/>
      <c r="I78" s="37"/>
      <c r="J78" s="43"/>
      <c r="K78" s="43"/>
      <c r="L78" s="42"/>
      <c r="M78" s="12">
        <f t="shared" si="2"/>
        <v>75</v>
      </c>
    </row>
    <row r="79" spans="1:13" ht="20.399999999999999" x14ac:dyDescent="0.25">
      <c r="A79" s="30">
        <v>76</v>
      </c>
      <c r="B79" s="38" t="s">
        <v>115</v>
      </c>
      <c r="C79" s="37">
        <v>100135211</v>
      </c>
      <c r="D79" s="39"/>
      <c r="E79" s="40">
        <v>3012740916013</v>
      </c>
      <c r="F79" s="37" t="s">
        <v>3692</v>
      </c>
      <c r="G79" s="37">
        <v>739</v>
      </c>
      <c r="H79" s="41" t="s">
        <v>3488</v>
      </c>
      <c r="I79" s="37" t="s">
        <v>3693</v>
      </c>
      <c r="J79" s="43" t="s">
        <v>114</v>
      </c>
      <c r="K79" s="43" t="s">
        <v>116</v>
      </c>
      <c r="L79" s="42" t="s">
        <v>3694</v>
      </c>
      <c r="M79" s="12">
        <f t="shared" si="2"/>
        <v>76</v>
      </c>
    </row>
    <row r="80" spans="1:13" ht="30.6" x14ac:dyDescent="0.25">
      <c r="A80" s="30">
        <v>77</v>
      </c>
      <c r="B80" s="38" t="s">
        <v>3700</v>
      </c>
      <c r="C80" s="37">
        <v>100721870</v>
      </c>
      <c r="D80" s="39" t="s">
        <v>3695</v>
      </c>
      <c r="E80" s="40">
        <v>3012342110057</v>
      </c>
      <c r="F80" s="37" t="s">
        <v>3696</v>
      </c>
      <c r="G80" s="37">
        <v>739</v>
      </c>
      <c r="H80" s="41" t="s">
        <v>2906</v>
      </c>
      <c r="I80" s="37" t="s">
        <v>3697</v>
      </c>
      <c r="J80" s="42" t="s">
        <v>3698</v>
      </c>
      <c r="K80" s="43" t="s">
        <v>2901</v>
      </c>
      <c r="L80" s="42" t="s">
        <v>3699</v>
      </c>
      <c r="M80" s="12">
        <f t="shared" si="2"/>
        <v>77</v>
      </c>
    </row>
    <row r="81" spans="1:13" x14ac:dyDescent="0.25">
      <c r="A81" s="30">
        <v>78</v>
      </c>
      <c r="B81" s="38" t="s">
        <v>214</v>
      </c>
      <c r="C81" s="37">
        <v>691601322</v>
      </c>
      <c r="D81" s="39"/>
      <c r="E81" s="40">
        <v>3012212930019</v>
      </c>
      <c r="F81" s="37" t="s">
        <v>3701</v>
      </c>
      <c r="G81" s="37">
        <v>117</v>
      </c>
      <c r="H81" s="41" t="s">
        <v>464</v>
      </c>
      <c r="I81" s="37" t="s">
        <v>3702</v>
      </c>
      <c r="J81" s="42" t="s">
        <v>3703</v>
      </c>
      <c r="K81" s="43" t="s">
        <v>2901</v>
      </c>
      <c r="L81" s="42" t="s">
        <v>3704</v>
      </c>
      <c r="M81" s="12">
        <f t="shared" si="2"/>
        <v>78</v>
      </c>
    </row>
    <row r="82" spans="1:13" ht="20.399999999999999" x14ac:dyDescent="0.25">
      <c r="A82" s="30">
        <v>79</v>
      </c>
      <c r="B82" s="38" t="s">
        <v>3705</v>
      </c>
      <c r="C82" s="37">
        <v>191296008</v>
      </c>
      <c r="D82" s="39" t="s">
        <v>3706</v>
      </c>
      <c r="E82" s="40">
        <v>3012271334001</v>
      </c>
      <c r="F82" s="37" t="s">
        <v>3710</v>
      </c>
      <c r="G82" s="37">
        <v>270</v>
      </c>
      <c r="H82" s="41" t="s">
        <v>464</v>
      </c>
      <c r="I82" s="37" t="s">
        <v>3707</v>
      </c>
      <c r="J82" s="43" t="s">
        <v>3708</v>
      </c>
      <c r="K82" s="43" t="s">
        <v>2901</v>
      </c>
      <c r="L82" s="42" t="s">
        <v>3709</v>
      </c>
      <c r="M82" s="12">
        <f t="shared" si="2"/>
        <v>79</v>
      </c>
    </row>
    <row r="83" spans="1:13" ht="20.399999999999999" x14ac:dyDescent="0.25">
      <c r="A83" s="30">
        <v>80</v>
      </c>
      <c r="B83" s="38" t="s">
        <v>3355</v>
      </c>
      <c r="C83" s="37">
        <v>100345799</v>
      </c>
      <c r="D83" s="39" t="s">
        <v>3356</v>
      </c>
      <c r="E83" s="40">
        <v>3012102689013</v>
      </c>
      <c r="F83" s="37" t="s">
        <v>3357</v>
      </c>
      <c r="G83" s="37">
        <v>974</v>
      </c>
      <c r="H83" s="41" t="s">
        <v>1151</v>
      </c>
      <c r="I83" s="37" t="s">
        <v>3358</v>
      </c>
      <c r="J83" s="43" t="s">
        <v>3359</v>
      </c>
      <c r="K83" s="36" t="s">
        <v>3360</v>
      </c>
      <c r="L83" s="36" t="s">
        <v>3361</v>
      </c>
      <c r="M83" s="12">
        <f t="shared" si="2"/>
        <v>80</v>
      </c>
    </row>
    <row r="84" spans="1:13" ht="20.399999999999999" x14ac:dyDescent="0.25">
      <c r="A84" s="30">
        <v>81</v>
      </c>
      <c r="B84" s="38" t="s">
        <v>3282</v>
      </c>
      <c r="C84" s="37">
        <v>191421443</v>
      </c>
      <c r="D84" s="39"/>
      <c r="E84" s="40">
        <v>3012102540014</v>
      </c>
      <c r="F84" s="37" t="s">
        <v>3711</v>
      </c>
      <c r="G84" s="37">
        <v>117</v>
      </c>
      <c r="H84" s="41" t="s">
        <v>464</v>
      </c>
      <c r="I84" s="37" t="s">
        <v>3712</v>
      </c>
      <c r="J84" s="42" t="s">
        <v>3713</v>
      </c>
      <c r="K84" s="43" t="s">
        <v>2901</v>
      </c>
      <c r="L84" s="42" t="s">
        <v>3714</v>
      </c>
      <c r="M84" s="12">
        <f t="shared" si="2"/>
        <v>81</v>
      </c>
    </row>
    <row r="85" spans="1:13" ht="30.6" x14ac:dyDescent="0.25">
      <c r="A85" s="30">
        <v>82</v>
      </c>
      <c r="B85" s="38" t="s">
        <v>810</v>
      </c>
      <c r="C85" s="37">
        <v>190761996</v>
      </c>
      <c r="D85" s="39" t="s">
        <v>3715</v>
      </c>
      <c r="E85" s="40">
        <v>3012151607017</v>
      </c>
      <c r="F85" s="37" t="s">
        <v>3716</v>
      </c>
      <c r="G85" s="37">
        <v>369</v>
      </c>
      <c r="H85" s="41" t="s">
        <v>2997</v>
      </c>
      <c r="I85" s="37" t="s">
        <v>3717</v>
      </c>
      <c r="J85" s="43" t="s">
        <v>3193</v>
      </c>
      <c r="K85" s="36" t="s">
        <v>2901</v>
      </c>
      <c r="L85" s="36" t="s">
        <v>3718</v>
      </c>
      <c r="M85" s="12">
        <f t="shared" si="2"/>
        <v>82</v>
      </c>
    </row>
    <row r="86" spans="1:13" ht="20.399999999999999" x14ac:dyDescent="0.25">
      <c r="A86" s="30">
        <v>83</v>
      </c>
      <c r="B86" s="31" t="s">
        <v>3723</v>
      </c>
      <c r="C86" s="30">
        <v>100289209</v>
      </c>
      <c r="D86" s="32"/>
      <c r="E86" s="33">
        <v>3012000026642</v>
      </c>
      <c r="F86" s="30" t="s">
        <v>3724</v>
      </c>
      <c r="G86" s="30">
        <v>815</v>
      </c>
      <c r="H86" s="34" t="s">
        <v>2341</v>
      </c>
      <c r="I86" s="30" t="s">
        <v>1193</v>
      </c>
      <c r="J86" s="36" t="s">
        <v>3370</v>
      </c>
      <c r="K86" s="36" t="s">
        <v>2901</v>
      </c>
      <c r="L86" s="35" t="s">
        <v>3369</v>
      </c>
      <c r="M86" s="12">
        <f t="shared" si="2"/>
        <v>83</v>
      </c>
    </row>
    <row r="87" spans="1:13" ht="20.399999999999999" x14ac:dyDescent="0.25">
      <c r="A87" s="30">
        <v>84</v>
      </c>
      <c r="B87" s="31" t="s">
        <v>3371</v>
      </c>
      <c r="C87" s="30">
        <v>691761081</v>
      </c>
      <c r="D87" s="32"/>
      <c r="E87" s="33">
        <v>3012166319013</v>
      </c>
      <c r="F87" s="30" t="s">
        <v>3372</v>
      </c>
      <c r="G87" s="30">
        <v>369</v>
      </c>
      <c r="H87" s="34" t="s">
        <v>1578</v>
      </c>
      <c r="I87" s="30" t="s">
        <v>3373</v>
      </c>
      <c r="J87" s="36" t="s">
        <v>3374</v>
      </c>
      <c r="K87" s="36" t="s">
        <v>2901</v>
      </c>
      <c r="L87" s="35" t="s">
        <v>3375</v>
      </c>
      <c r="M87" s="12">
        <f t="shared" si="2"/>
        <v>84</v>
      </c>
    </row>
    <row r="88" spans="1:13" ht="20.399999999999999" x14ac:dyDescent="0.25">
      <c r="A88" s="30">
        <v>85</v>
      </c>
      <c r="B88" s="38" t="s">
        <v>3379</v>
      </c>
      <c r="C88" s="37">
        <v>690712293</v>
      </c>
      <c r="D88" s="39"/>
      <c r="E88" s="40">
        <v>3012016259016</v>
      </c>
      <c r="F88" s="37" t="s">
        <v>3376</v>
      </c>
      <c r="G88" s="37">
        <v>749</v>
      </c>
      <c r="H88" s="41" t="s">
        <v>1578</v>
      </c>
      <c r="I88" s="37" t="s">
        <v>3377</v>
      </c>
      <c r="J88" s="42" t="s">
        <v>3380</v>
      </c>
      <c r="K88" s="43" t="s">
        <v>2901</v>
      </c>
      <c r="L88" s="42" t="s">
        <v>3378</v>
      </c>
      <c r="M88" s="12">
        <f t="shared" si="2"/>
        <v>85</v>
      </c>
    </row>
    <row r="89" spans="1:13" ht="20.399999999999999" x14ac:dyDescent="0.25">
      <c r="A89" s="30">
        <v>86</v>
      </c>
      <c r="B89" s="38" t="s">
        <v>3381</v>
      </c>
      <c r="C89" s="37">
        <v>100072811</v>
      </c>
      <c r="D89" s="39"/>
      <c r="E89" s="40">
        <v>3012000012978</v>
      </c>
      <c r="F89" s="37" t="s">
        <v>3382</v>
      </c>
      <c r="G89" s="37">
        <v>795</v>
      </c>
      <c r="H89" s="41" t="s">
        <v>2981</v>
      </c>
      <c r="I89" s="37" t="s">
        <v>2979</v>
      </c>
      <c r="J89" s="42" t="s">
        <v>2980</v>
      </c>
      <c r="K89" s="43" t="s">
        <v>2901</v>
      </c>
      <c r="L89" s="42" t="s">
        <v>2982</v>
      </c>
      <c r="M89" s="12">
        <f t="shared" si="2"/>
        <v>86</v>
      </c>
    </row>
    <row r="90" spans="1:13" ht="20.399999999999999" x14ac:dyDescent="0.25">
      <c r="A90" s="30">
        <v>87</v>
      </c>
      <c r="B90" s="38" t="s">
        <v>2983</v>
      </c>
      <c r="C90" s="37"/>
      <c r="D90" s="39"/>
      <c r="E90" s="40">
        <v>3012167270005</v>
      </c>
      <c r="F90" s="37" t="s">
        <v>2984</v>
      </c>
      <c r="G90" s="37">
        <v>226</v>
      </c>
      <c r="H90" s="41" t="s">
        <v>464</v>
      </c>
      <c r="I90" s="37" t="s">
        <v>2985</v>
      </c>
      <c r="J90" s="42" t="s">
        <v>2986</v>
      </c>
      <c r="K90" s="43" t="s">
        <v>2901</v>
      </c>
      <c r="L90" s="42" t="s">
        <v>2987</v>
      </c>
      <c r="M90" s="12">
        <f t="shared" si="2"/>
        <v>87</v>
      </c>
    </row>
    <row r="91" spans="1:13" ht="30.6" x14ac:dyDescent="0.25">
      <c r="A91" s="30">
        <v>88</v>
      </c>
      <c r="B91" s="38" t="s">
        <v>2988</v>
      </c>
      <c r="C91" s="37">
        <v>191803814</v>
      </c>
      <c r="D91" s="39"/>
      <c r="E91" s="40">
        <v>3012643510011</v>
      </c>
      <c r="F91" s="37" t="s">
        <v>2989</v>
      </c>
      <c r="G91" s="37">
        <v>739</v>
      </c>
      <c r="H91" s="41" t="s">
        <v>2906</v>
      </c>
      <c r="I91" s="37" t="s">
        <v>2990</v>
      </c>
      <c r="J91" s="42" t="s">
        <v>2991</v>
      </c>
      <c r="K91" s="43" t="s">
        <v>2901</v>
      </c>
      <c r="L91" s="42" t="s">
        <v>2992</v>
      </c>
      <c r="M91" s="12">
        <f t="shared" si="2"/>
        <v>88</v>
      </c>
    </row>
    <row r="92" spans="1:13" ht="30.6" x14ac:dyDescent="0.25">
      <c r="A92" s="30">
        <v>89</v>
      </c>
      <c r="B92" s="38" t="s">
        <v>2456</v>
      </c>
      <c r="C92" s="37">
        <v>100039768</v>
      </c>
      <c r="D92" s="39"/>
      <c r="E92" s="40">
        <v>3012027023515</v>
      </c>
      <c r="F92" s="37" t="s">
        <v>2993</v>
      </c>
      <c r="G92" s="37">
        <v>739</v>
      </c>
      <c r="H92" s="41" t="s">
        <v>2997</v>
      </c>
      <c r="I92" s="37" t="s">
        <v>2994</v>
      </c>
      <c r="J92" s="43" t="s">
        <v>2996</v>
      </c>
      <c r="K92" s="43" t="s">
        <v>2901</v>
      </c>
      <c r="L92" s="42" t="s">
        <v>2995</v>
      </c>
      <c r="M92" s="12">
        <f t="shared" si="2"/>
        <v>89</v>
      </c>
    </row>
    <row r="93" spans="1:13" ht="40.799999999999997" x14ac:dyDescent="0.25">
      <c r="A93" s="30">
        <v>90</v>
      </c>
      <c r="B93" s="38" t="s">
        <v>355</v>
      </c>
      <c r="C93" s="37">
        <v>691792915</v>
      </c>
      <c r="D93" s="39"/>
      <c r="E93" s="40">
        <v>3012038111015</v>
      </c>
      <c r="F93" s="37" t="s">
        <v>2998</v>
      </c>
      <c r="G93" s="37">
        <v>749</v>
      </c>
      <c r="H93" s="41" t="s">
        <v>464</v>
      </c>
      <c r="I93" s="37" t="s">
        <v>2999</v>
      </c>
      <c r="J93" s="42" t="s">
        <v>1235</v>
      </c>
      <c r="K93" s="43" t="s">
        <v>2901</v>
      </c>
      <c r="L93" s="42" t="s">
        <v>3158</v>
      </c>
      <c r="M93" s="12">
        <f t="shared" si="2"/>
        <v>90</v>
      </c>
    </row>
    <row r="94" spans="1:13" ht="20.399999999999999" x14ac:dyDescent="0.25">
      <c r="A94" s="30">
        <v>91</v>
      </c>
      <c r="B94" s="38" t="s">
        <v>3000</v>
      </c>
      <c r="C94" s="37">
        <v>190297367</v>
      </c>
      <c r="D94" s="39" t="s">
        <v>3001</v>
      </c>
      <c r="E94" s="40">
        <v>3012029090005</v>
      </c>
      <c r="F94" s="37" t="s">
        <v>3002</v>
      </c>
      <c r="G94" s="37">
        <v>182</v>
      </c>
      <c r="H94" s="34" t="s">
        <v>1578</v>
      </c>
      <c r="I94" s="30" t="s">
        <v>3003</v>
      </c>
      <c r="J94" s="36" t="s">
        <v>3144</v>
      </c>
      <c r="K94" s="36" t="s">
        <v>2901</v>
      </c>
      <c r="L94" s="35" t="s">
        <v>3145</v>
      </c>
      <c r="M94" s="12">
        <f t="shared" si="2"/>
        <v>91</v>
      </c>
    </row>
    <row r="95" spans="1:13" ht="20.399999999999999" x14ac:dyDescent="0.25">
      <c r="A95" s="30">
        <v>92</v>
      </c>
      <c r="B95" s="37" t="s">
        <v>3146</v>
      </c>
      <c r="C95" s="37">
        <v>191764221</v>
      </c>
      <c r="D95" s="39" t="s">
        <v>3147</v>
      </c>
      <c r="E95" s="40">
        <v>3012139680019</v>
      </c>
      <c r="F95" s="37" t="s">
        <v>3148</v>
      </c>
      <c r="G95" s="37">
        <v>117</v>
      </c>
      <c r="H95" s="41" t="s">
        <v>1578</v>
      </c>
      <c r="I95" s="37" t="s">
        <v>3149</v>
      </c>
      <c r="J95" s="43" t="s">
        <v>3150</v>
      </c>
      <c r="K95" s="43" t="s">
        <v>3151</v>
      </c>
      <c r="L95" s="42" t="s">
        <v>3152</v>
      </c>
      <c r="M95" s="12">
        <f t="shared" si="2"/>
        <v>92</v>
      </c>
    </row>
    <row r="96" spans="1:13" ht="30.6" x14ac:dyDescent="0.25">
      <c r="A96" s="30">
        <v>93</v>
      </c>
      <c r="B96" s="30" t="s">
        <v>3153</v>
      </c>
      <c r="C96" s="30">
        <v>691134955</v>
      </c>
      <c r="D96" s="32"/>
      <c r="E96" s="33">
        <v>3013845080006</v>
      </c>
      <c r="F96" s="30" t="s">
        <v>3154</v>
      </c>
      <c r="G96" s="30">
        <v>765</v>
      </c>
      <c r="H96" s="41"/>
      <c r="I96" s="37" t="s">
        <v>3155</v>
      </c>
      <c r="J96" s="43" t="s">
        <v>3156</v>
      </c>
      <c r="K96" s="43" t="s">
        <v>1146</v>
      </c>
      <c r="L96" s="43" t="s">
        <v>3157</v>
      </c>
      <c r="M96" s="12">
        <f t="shared" si="2"/>
        <v>93</v>
      </c>
    </row>
    <row r="97" spans="1:13" ht="20.399999999999999" x14ac:dyDescent="0.25">
      <c r="A97" s="30">
        <v>94</v>
      </c>
      <c r="B97" s="38" t="s">
        <v>3164</v>
      </c>
      <c r="C97" s="37">
        <v>808000584</v>
      </c>
      <c r="D97" s="39" t="s">
        <v>3159</v>
      </c>
      <c r="E97" s="40">
        <v>3012000557819</v>
      </c>
      <c r="F97" s="37" t="s">
        <v>3160</v>
      </c>
      <c r="G97" s="37">
        <v>742</v>
      </c>
      <c r="H97" s="41" t="s">
        <v>464</v>
      </c>
      <c r="I97" s="37" t="s">
        <v>3161</v>
      </c>
      <c r="J97" s="42" t="s">
        <v>3162</v>
      </c>
      <c r="K97" s="43" t="s">
        <v>2901</v>
      </c>
      <c r="L97" s="42" t="s">
        <v>3163</v>
      </c>
      <c r="M97" s="12">
        <f t="shared" si="2"/>
        <v>94</v>
      </c>
    </row>
    <row r="98" spans="1:13" ht="30.6" x14ac:dyDescent="0.25">
      <c r="A98" s="30">
        <v>95</v>
      </c>
      <c r="B98" s="38" t="s">
        <v>3491</v>
      </c>
      <c r="C98" s="37">
        <v>800014037</v>
      </c>
      <c r="D98" s="39"/>
      <c r="E98" s="40">
        <v>3012081150000</v>
      </c>
      <c r="F98" s="37" t="s">
        <v>3165</v>
      </c>
      <c r="G98" s="37">
        <v>182</v>
      </c>
      <c r="H98" s="41" t="s">
        <v>464</v>
      </c>
      <c r="I98" s="37" t="s">
        <v>3166</v>
      </c>
      <c r="J98" s="43" t="s">
        <v>3167</v>
      </c>
      <c r="K98" s="43" t="s">
        <v>2901</v>
      </c>
      <c r="L98" s="42" t="s">
        <v>3168</v>
      </c>
      <c r="M98" s="12">
        <f t="shared" si="2"/>
        <v>95</v>
      </c>
    </row>
    <row r="99" spans="1:13" ht="30.6" x14ac:dyDescent="0.25">
      <c r="A99" s="30">
        <v>96</v>
      </c>
      <c r="B99" s="38" t="s">
        <v>3169</v>
      </c>
      <c r="C99" s="37">
        <v>390504677</v>
      </c>
      <c r="D99" s="39"/>
      <c r="E99" s="40">
        <v>3012118945015</v>
      </c>
      <c r="F99" s="37" t="s">
        <v>3170</v>
      </c>
      <c r="G99" s="37"/>
      <c r="H99" s="41" t="s">
        <v>464</v>
      </c>
      <c r="I99" s="37" t="s">
        <v>3171</v>
      </c>
      <c r="J99" s="43" t="s">
        <v>3172</v>
      </c>
      <c r="K99" s="43" t="s">
        <v>2901</v>
      </c>
      <c r="L99" s="42" t="s">
        <v>3173</v>
      </c>
      <c r="M99" s="12">
        <f t="shared" si="2"/>
        <v>96</v>
      </c>
    </row>
    <row r="100" spans="1:13" ht="30.6" x14ac:dyDescent="0.25">
      <c r="A100" s="30">
        <v>97</v>
      </c>
      <c r="B100" s="38" t="s">
        <v>3174</v>
      </c>
      <c r="C100" s="37">
        <v>192702608</v>
      </c>
      <c r="D100" s="39"/>
      <c r="E100" s="40">
        <v>3012036869005</v>
      </c>
      <c r="F100" s="37" t="s">
        <v>3175</v>
      </c>
      <c r="G100" s="37">
        <v>175</v>
      </c>
      <c r="H100" s="41" t="s">
        <v>464</v>
      </c>
      <c r="I100" s="37" t="s">
        <v>3176</v>
      </c>
      <c r="J100" s="43" t="s">
        <v>3177</v>
      </c>
      <c r="K100" s="43" t="s">
        <v>2901</v>
      </c>
      <c r="L100" s="42" t="s">
        <v>3178</v>
      </c>
      <c r="M100" s="12">
        <f t="shared" si="2"/>
        <v>97</v>
      </c>
    </row>
    <row r="101" spans="1:13" ht="20.399999999999999" x14ac:dyDescent="0.25">
      <c r="A101" s="30">
        <v>98</v>
      </c>
      <c r="B101" s="38" t="s">
        <v>43</v>
      </c>
      <c r="C101" s="37">
        <v>192498037</v>
      </c>
      <c r="D101" s="39"/>
      <c r="E101" s="40">
        <v>3012174467029</v>
      </c>
      <c r="F101" s="37" t="s">
        <v>3179</v>
      </c>
      <c r="G101" s="37">
        <v>369</v>
      </c>
      <c r="H101" s="41" t="s">
        <v>464</v>
      </c>
      <c r="I101" s="37" t="s">
        <v>3180</v>
      </c>
      <c r="J101" s="42" t="s">
        <v>3181</v>
      </c>
      <c r="K101" s="43" t="s">
        <v>2901</v>
      </c>
      <c r="L101" s="42" t="s">
        <v>3182</v>
      </c>
      <c r="M101" s="12">
        <f t="shared" si="2"/>
        <v>98</v>
      </c>
    </row>
    <row r="102" spans="1:13" ht="20.399999999999999" x14ac:dyDescent="0.25">
      <c r="A102" s="30">
        <v>99</v>
      </c>
      <c r="B102" s="38" t="s">
        <v>220</v>
      </c>
      <c r="C102" s="37">
        <v>100230496</v>
      </c>
      <c r="D102" s="39" t="s">
        <v>3183</v>
      </c>
      <c r="E102" s="40">
        <v>3012231610017</v>
      </c>
      <c r="F102" s="37" t="s">
        <v>3187</v>
      </c>
      <c r="G102" s="37">
        <v>739</v>
      </c>
      <c r="H102" s="41" t="s">
        <v>2906</v>
      </c>
      <c r="I102" s="37" t="s">
        <v>3184</v>
      </c>
      <c r="J102" s="43" t="s">
        <v>3185</v>
      </c>
      <c r="K102" s="36" t="s">
        <v>2901</v>
      </c>
      <c r="L102" s="36" t="s">
        <v>3186</v>
      </c>
      <c r="M102" s="12">
        <f t="shared" si="2"/>
        <v>99</v>
      </c>
    </row>
    <row r="103" spans="1:13" ht="30.6" x14ac:dyDescent="0.25">
      <c r="A103" s="30">
        <v>100</v>
      </c>
      <c r="B103" s="38" t="s">
        <v>3188</v>
      </c>
      <c r="C103" s="37">
        <v>190273406</v>
      </c>
      <c r="D103" s="39" t="s">
        <v>3189</v>
      </c>
      <c r="E103" s="40">
        <v>3012000015250</v>
      </c>
      <c r="F103" s="37" t="s">
        <v>3190</v>
      </c>
      <c r="G103" s="37">
        <v>742</v>
      </c>
      <c r="H103" s="41" t="s">
        <v>3827</v>
      </c>
      <c r="I103" s="37" t="s">
        <v>3191</v>
      </c>
      <c r="J103" s="43" t="s">
        <v>3192</v>
      </c>
      <c r="K103" s="43" t="s">
        <v>3828</v>
      </c>
      <c r="L103" s="42" t="s">
        <v>3829</v>
      </c>
      <c r="M103" s="12">
        <f t="shared" si="2"/>
        <v>100</v>
      </c>
    </row>
    <row r="104" spans="1:13" ht="30.6" x14ac:dyDescent="0.25">
      <c r="A104" s="30">
        <v>101</v>
      </c>
      <c r="B104" s="37" t="s">
        <v>3502</v>
      </c>
      <c r="C104" s="37">
        <v>101581495</v>
      </c>
      <c r="D104" s="39" t="s">
        <v>3194</v>
      </c>
      <c r="E104" s="40">
        <v>3012701940015</v>
      </c>
      <c r="F104" s="37" t="s">
        <v>3195</v>
      </c>
      <c r="G104" s="37">
        <v>739</v>
      </c>
      <c r="H104" s="41" t="s">
        <v>2906</v>
      </c>
      <c r="I104" s="37" t="s">
        <v>3196</v>
      </c>
      <c r="J104" s="43" t="s">
        <v>3197</v>
      </c>
      <c r="K104" s="43" t="s">
        <v>2901</v>
      </c>
      <c r="L104" s="43" t="s">
        <v>3198</v>
      </c>
      <c r="M104" s="12">
        <f t="shared" si="2"/>
        <v>101</v>
      </c>
    </row>
    <row r="105" spans="1:13" ht="30.6" x14ac:dyDescent="0.25">
      <c r="A105" s="30">
        <v>102</v>
      </c>
      <c r="B105" s="37" t="s">
        <v>2736</v>
      </c>
      <c r="C105" s="37">
        <v>691780951</v>
      </c>
      <c r="D105" s="39" t="s">
        <v>3199</v>
      </c>
      <c r="E105" s="40" t="s">
        <v>4015</v>
      </c>
      <c r="F105" s="37" t="s">
        <v>2569</v>
      </c>
      <c r="G105" s="37" t="s">
        <v>4016</v>
      </c>
      <c r="H105" s="41" t="s">
        <v>3202</v>
      </c>
      <c r="I105" s="37" t="s">
        <v>3200</v>
      </c>
      <c r="J105" s="43" t="s">
        <v>3203</v>
      </c>
      <c r="K105" s="43" t="s">
        <v>2568</v>
      </c>
      <c r="L105" s="43" t="s">
        <v>3201</v>
      </c>
      <c r="M105" s="12">
        <f t="shared" si="2"/>
        <v>102</v>
      </c>
    </row>
    <row r="106" spans="1:13" ht="20.399999999999999" x14ac:dyDescent="0.25">
      <c r="A106" s="30">
        <v>103</v>
      </c>
      <c r="B106" s="38" t="s">
        <v>3092</v>
      </c>
      <c r="C106" s="37">
        <v>100779791</v>
      </c>
      <c r="D106" s="39" t="s">
        <v>3204</v>
      </c>
      <c r="E106" s="40">
        <v>3012002868554</v>
      </c>
      <c r="F106" s="37" t="s">
        <v>3205</v>
      </c>
      <c r="G106" s="37">
        <v>749</v>
      </c>
      <c r="H106" s="41" t="s">
        <v>2906</v>
      </c>
      <c r="I106" s="37" t="s">
        <v>3206</v>
      </c>
      <c r="J106" s="42" t="s">
        <v>2566</v>
      </c>
      <c r="K106" s="43" t="s">
        <v>2901</v>
      </c>
      <c r="L106" s="42" t="s">
        <v>2567</v>
      </c>
      <c r="M106" s="12">
        <f t="shared" si="2"/>
        <v>103</v>
      </c>
    </row>
    <row r="107" spans="1:13" ht="30.6" x14ac:dyDescent="0.25">
      <c r="A107" s="30">
        <v>104</v>
      </c>
      <c r="B107" s="38" t="s">
        <v>2570</v>
      </c>
      <c r="C107" s="37">
        <v>100835687</v>
      </c>
      <c r="D107" s="39"/>
      <c r="E107" s="40">
        <v>3012205267014</v>
      </c>
      <c r="F107" s="37" t="s">
        <v>2571</v>
      </c>
      <c r="G107" s="37">
        <v>270</v>
      </c>
      <c r="H107" s="41" t="s">
        <v>1578</v>
      </c>
      <c r="I107" s="37" t="s">
        <v>2575</v>
      </c>
      <c r="J107" s="43" t="s">
        <v>2572</v>
      </c>
      <c r="K107" s="43" t="s">
        <v>2573</v>
      </c>
      <c r="L107" s="42" t="s">
        <v>2574</v>
      </c>
      <c r="M107" s="12">
        <f t="shared" si="2"/>
        <v>104</v>
      </c>
    </row>
    <row r="108" spans="1:13" ht="20.399999999999999" x14ac:dyDescent="0.25">
      <c r="A108" s="30">
        <v>105</v>
      </c>
      <c r="B108" s="38" t="s">
        <v>4192</v>
      </c>
      <c r="C108" s="37">
        <v>190063577</v>
      </c>
      <c r="D108" s="39" t="s">
        <v>2576</v>
      </c>
      <c r="E108" s="40">
        <v>3012009855010</v>
      </c>
      <c r="F108" s="37" t="s">
        <v>2577</v>
      </c>
      <c r="G108" s="37">
        <v>746</v>
      </c>
      <c r="H108" s="41" t="s">
        <v>1901</v>
      </c>
      <c r="I108" s="37" t="s">
        <v>2578</v>
      </c>
      <c r="J108" s="42" t="s">
        <v>1902</v>
      </c>
      <c r="K108" s="43" t="s">
        <v>1903</v>
      </c>
      <c r="L108" s="42" t="s">
        <v>1904</v>
      </c>
      <c r="M108" s="12">
        <f t="shared" si="2"/>
        <v>105</v>
      </c>
    </row>
    <row r="109" spans="1:13" ht="51" x14ac:dyDescent="0.25">
      <c r="A109" s="30">
        <v>106</v>
      </c>
      <c r="B109" s="38" t="s">
        <v>132</v>
      </c>
      <c r="C109" s="37">
        <v>600011872</v>
      </c>
      <c r="D109" s="39" t="s">
        <v>2579</v>
      </c>
      <c r="E109" s="40">
        <v>3015062704605</v>
      </c>
      <c r="F109" s="37" t="s">
        <v>2580</v>
      </c>
      <c r="G109" s="37">
        <v>601</v>
      </c>
      <c r="H109" s="41" t="s">
        <v>2581</v>
      </c>
      <c r="I109" s="37" t="s">
        <v>2582</v>
      </c>
      <c r="J109" s="42" t="s">
        <v>2583</v>
      </c>
      <c r="K109" s="43" t="s">
        <v>2901</v>
      </c>
      <c r="L109" s="42" t="s">
        <v>2584</v>
      </c>
      <c r="M109" s="12">
        <f t="shared" si="2"/>
        <v>106</v>
      </c>
    </row>
    <row r="110" spans="1:13" ht="30.6" x14ac:dyDescent="0.25">
      <c r="A110" s="30">
        <v>107</v>
      </c>
      <c r="B110" s="38" t="s">
        <v>500</v>
      </c>
      <c r="C110" s="37">
        <v>690631984</v>
      </c>
      <c r="D110" s="39"/>
      <c r="E110" s="40">
        <v>3012025786017</v>
      </c>
      <c r="F110" s="37" t="s">
        <v>2585</v>
      </c>
      <c r="G110" s="37">
        <v>749</v>
      </c>
      <c r="H110" s="41" t="s">
        <v>2906</v>
      </c>
      <c r="I110" s="37" t="s">
        <v>2586</v>
      </c>
      <c r="J110" s="43" t="s">
        <v>2587</v>
      </c>
      <c r="K110" s="43" t="s">
        <v>2901</v>
      </c>
      <c r="L110" s="42" t="s">
        <v>2588</v>
      </c>
      <c r="M110" s="12">
        <f t="shared" si="2"/>
        <v>107</v>
      </c>
    </row>
    <row r="111" spans="1:13" ht="30.6" x14ac:dyDescent="0.25">
      <c r="A111" s="30">
        <v>108</v>
      </c>
      <c r="B111" s="38" t="s">
        <v>3631</v>
      </c>
      <c r="C111" s="37">
        <v>691380883</v>
      </c>
      <c r="D111" s="39"/>
      <c r="E111" s="40">
        <v>3012060000367</v>
      </c>
      <c r="F111" s="37" t="s">
        <v>2589</v>
      </c>
      <c r="G111" s="37">
        <v>840</v>
      </c>
      <c r="H111" s="41" t="s">
        <v>464</v>
      </c>
      <c r="I111" s="37" t="s">
        <v>2590</v>
      </c>
      <c r="J111" s="42" t="s">
        <v>2591</v>
      </c>
      <c r="K111" s="43" t="s">
        <v>2901</v>
      </c>
      <c r="L111" s="42" t="s">
        <v>2592</v>
      </c>
      <c r="M111" s="12">
        <f t="shared" si="2"/>
        <v>108</v>
      </c>
    </row>
    <row r="112" spans="1:13" ht="20.399999999999999" x14ac:dyDescent="0.25">
      <c r="A112" s="30">
        <v>109</v>
      </c>
      <c r="B112" s="38" t="s">
        <v>1807</v>
      </c>
      <c r="C112" s="37">
        <v>101277625</v>
      </c>
      <c r="D112" s="39" t="s">
        <v>2593</v>
      </c>
      <c r="E112" s="40">
        <v>3012106513013</v>
      </c>
      <c r="F112" s="37" t="s">
        <v>646</v>
      </c>
      <c r="G112" s="37">
        <v>226</v>
      </c>
      <c r="H112" s="41" t="s">
        <v>464</v>
      </c>
      <c r="I112" s="37" t="s">
        <v>1144</v>
      </c>
      <c r="J112" s="37" t="s">
        <v>647</v>
      </c>
      <c r="K112" s="37" t="s">
        <v>2901</v>
      </c>
      <c r="L112" s="39" t="s">
        <v>648</v>
      </c>
      <c r="M112" s="12">
        <f t="shared" si="2"/>
        <v>109</v>
      </c>
    </row>
    <row r="113" spans="1:13" ht="30.6" x14ac:dyDescent="0.25">
      <c r="A113" s="30">
        <v>110</v>
      </c>
      <c r="B113" s="38" t="s">
        <v>4</v>
      </c>
      <c r="C113" s="37">
        <v>690836601</v>
      </c>
      <c r="D113" s="39"/>
      <c r="E113" s="40">
        <v>3012161770014</v>
      </c>
      <c r="F113" s="37" t="s">
        <v>649</v>
      </c>
      <c r="G113" s="37">
        <v>117</v>
      </c>
      <c r="H113" s="41" t="s">
        <v>3719</v>
      </c>
      <c r="I113" s="37" t="s">
        <v>650</v>
      </c>
      <c r="J113" s="42" t="s">
        <v>651</v>
      </c>
      <c r="K113" s="43" t="s">
        <v>2901</v>
      </c>
      <c r="L113" s="42" t="s">
        <v>652</v>
      </c>
      <c r="M113" s="12">
        <f t="shared" si="2"/>
        <v>110</v>
      </c>
    </row>
    <row r="114" spans="1:13" ht="40.799999999999997" x14ac:dyDescent="0.25">
      <c r="A114" s="30">
        <v>111</v>
      </c>
      <c r="B114" s="38" t="s">
        <v>2701</v>
      </c>
      <c r="C114" s="37">
        <v>190464389</v>
      </c>
      <c r="D114" s="39"/>
      <c r="E114" s="40">
        <v>3013045680018</v>
      </c>
      <c r="F114" s="37" t="s">
        <v>653</v>
      </c>
      <c r="G114" s="37">
        <v>272</v>
      </c>
      <c r="H114" s="41" t="s">
        <v>654</v>
      </c>
      <c r="I114" s="37" t="s">
        <v>655</v>
      </c>
      <c r="J114" s="42" t="s">
        <v>656</v>
      </c>
      <c r="K114" s="42" t="s">
        <v>657</v>
      </c>
      <c r="L114" s="42" t="s">
        <v>658</v>
      </c>
      <c r="M114" s="12">
        <f t="shared" si="2"/>
        <v>111</v>
      </c>
    </row>
    <row r="115" spans="1:13" ht="20.399999999999999" x14ac:dyDescent="0.25">
      <c r="A115" s="30">
        <v>112</v>
      </c>
      <c r="B115" s="31" t="s">
        <v>450</v>
      </c>
      <c r="C115" s="30">
        <v>100468996</v>
      </c>
      <c r="D115" s="32" t="s">
        <v>659</v>
      </c>
      <c r="E115" s="33" t="s">
        <v>3991</v>
      </c>
      <c r="F115" s="30" t="s">
        <v>660</v>
      </c>
      <c r="G115" s="30" t="s">
        <v>3992</v>
      </c>
      <c r="H115" s="34" t="s">
        <v>2906</v>
      </c>
      <c r="I115" s="30" t="s">
        <v>661</v>
      </c>
      <c r="J115" s="35" t="s">
        <v>662</v>
      </c>
      <c r="K115" s="36" t="s">
        <v>2901</v>
      </c>
      <c r="L115" s="35" t="s">
        <v>663</v>
      </c>
      <c r="M115" s="12">
        <f t="shared" si="2"/>
        <v>112</v>
      </c>
    </row>
    <row r="116" spans="1:13" ht="30.6" x14ac:dyDescent="0.25">
      <c r="A116" s="30">
        <v>113</v>
      </c>
      <c r="B116" s="31" t="s">
        <v>664</v>
      </c>
      <c r="C116" s="30">
        <v>101080981</v>
      </c>
      <c r="D116" s="32" t="s">
        <v>665</v>
      </c>
      <c r="E116" s="33">
        <v>3012000009763</v>
      </c>
      <c r="F116" s="30" t="s">
        <v>669</v>
      </c>
      <c r="G116" s="30">
        <v>795</v>
      </c>
      <c r="H116" s="41" t="s">
        <v>2997</v>
      </c>
      <c r="I116" s="37" t="s">
        <v>666</v>
      </c>
      <c r="J116" s="43" t="s">
        <v>667</v>
      </c>
      <c r="K116" s="43"/>
      <c r="L116" s="42" t="s">
        <v>668</v>
      </c>
      <c r="M116" s="12">
        <f t="shared" si="2"/>
        <v>113</v>
      </c>
    </row>
    <row r="117" spans="1:13" ht="20.399999999999999" x14ac:dyDescent="0.25">
      <c r="A117" s="30">
        <v>114</v>
      </c>
      <c r="B117" s="38" t="s">
        <v>3518</v>
      </c>
      <c r="C117" s="37">
        <v>100092100</v>
      </c>
      <c r="D117" s="39"/>
      <c r="E117" s="40">
        <v>3632000760072</v>
      </c>
      <c r="F117" s="37" t="s">
        <v>670</v>
      </c>
      <c r="G117" s="37">
        <v>815</v>
      </c>
      <c r="H117" s="41" t="s">
        <v>2906</v>
      </c>
      <c r="I117" s="37" t="s">
        <v>671</v>
      </c>
      <c r="J117" s="42" t="s">
        <v>672</v>
      </c>
      <c r="K117" s="43" t="s">
        <v>2901</v>
      </c>
      <c r="L117" s="42" t="s">
        <v>673</v>
      </c>
      <c r="M117" s="12">
        <f t="shared" si="2"/>
        <v>114</v>
      </c>
    </row>
    <row r="118" spans="1:13" ht="30.6" x14ac:dyDescent="0.25">
      <c r="A118" s="30">
        <v>115</v>
      </c>
      <c r="B118" s="38" t="s">
        <v>481</v>
      </c>
      <c r="C118" s="37">
        <v>190819447</v>
      </c>
      <c r="D118" s="39"/>
      <c r="E118" s="39" t="s">
        <v>674</v>
      </c>
      <c r="F118" s="37" t="s">
        <v>675</v>
      </c>
      <c r="G118" s="37">
        <v>110</v>
      </c>
      <c r="H118" s="41" t="s">
        <v>464</v>
      </c>
      <c r="I118" s="37" t="s">
        <v>676</v>
      </c>
      <c r="J118" s="42" t="s">
        <v>677</v>
      </c>
      <c r="K118" s="43" t="s">
        <v>2901</v>
      </c>
      <c r="L118" s="42" t="s">
        <v>678</v>
      </c>
      <c r="M118" s="12">
        <f t="shared" si="2"/>
        <v>115</v>
      </c>
    </row>
    <row r="119" spans="1:13" ht="30.6" x14ac:dyDescent="0.25">
      <c r="A119" s="30">
        <v>116</v>
      </c>
      <c r="B119" s="31" t="s">
        <v>2831</v>
      </c>
      <c r="C119" s="30">
        <v>191604225</v>
      </c>
      <c r="D119" s="32" t="s">
        <v>1133</v>
      </c>
      <c r="E119" s="33">
        <v>3012063738016</v>
      </c>
      <c r="F119" s="30" t="s">
        <v>1134</v>
      </c>
      <c r="G119" s="30">
        <v>175</v>
      </c>
      <c r="H119" s="34" t="s">
        <v>2906</v>
      </c>
      <c r="I119" s="30" t="s">
        <v>1135</v>
      </c>
      <c r="J119" s="36" t="s">
        <v>1136</v>
      </c>
      <c r="K119" s="36" t="s">
        <v>2901</v>
      </c>
      <c r="L119" s="35" t="s">
        <v>1137</v>
      </c>
      <c r="M119" s="12">
        <f t="shared" si="2"/>
        <v>116</v>
      </c>
    </row>
    <row r="120" spans="1:13" ht="20.399999999999999" x14ac:dyDescent="0.25">
      <c r="A120" s="30">
        <v>117</v>
      </c>
      <c r="B120" s="31" t="s">
        <v>234</v>
      </c>
      <c r="C120" s="30">
        <v>100736767</v>
      </c>
      <c r="D120" s="32" t="s">
        <v>1138</v>
      </c>
      <c r="E120" s="33">
        <v>3012001535019</v>
      </c>
      <c r="F120" s="30" t="s">
        <v>1139</v>
      </c>
      <c r="G120" s="30">
        <v>153001749</v>
      </c>
      <c r="H120" s="34" t="s">
        <v>2341</v>
      </c>
      <c r="I120" s="30" t="s">
        <v>1140</v>
      </c>
      <c r="J120" s="36" t="s">
        <v>1141</v>
      </c>
      <c r="K120" s="36" t="s">
        <v>1142</v>
      </c>
      <c r="L120" s="35" t="s">
        <v>1143</v>
      </c>
      <c r="M120" s="12">
        <f t="shared" si="2"/>
        <v>117</v>
      </c>
    </row>
    <row r="121" spans="1:13" ht="20.399999999999999" x14ac:dyDescent="0.25">
      <c r="A121" s="30">
        <v>118</v>
      </c>
      <c r="B121" s="31" t="s">
        <v>2718</v>
      </c>
      <c r="C121" s="30">
        <v>101467757</v>
      </c>
      <c r="D121" s="32" t="s">
        <v>1147</v>
      </c>
      <c r="E121" s="33">
        <v>3012001661013</v>
      </c>
      <c r="F121" s="30" t="s">
        <v>1139</v>
      </c>
      <c r="G121" s="30">
        <v>153001749</v>
      </c>
      <c r="H121" s="34" t="s">
        <v>464</v>
      </c>
      <c r="I121" s="30" t="s">
        <v>1140</v>
      </c>
      <c r="J121" s="36" t="s">
        <v>1148</v>
      </c>
      <c r="K121" s="36" t="s">
        <v>2901</v>
      </c>
      <c r="L121" s="35" t="s">
        <v>1149</v>
      </c>
      <c r="M121" s="12">
        <f t="shared" si="2"/>
        <v>118</v>
      </c>
    </row>
    <row r="122" spans="1:13" ht="20.399999999999999" x14ac:dyDescent="0.25">
      <c r="A122" s="30">
        <v>119</v>
      </c>
      <c r="B122" s="38" t="s">
        <v>2159</v>
      </c>
      <c r="C122" s="37">
        <v>100345786</v>
      </c>
      <c r="D122" s="39"/>
      <c r="E122" s="40">
        <v>3012000090016</v>
      </c>
      <c r="F122" s="37" t="s">
        <v>1150</v>
      </c>
      <c r="G122" s="37">
        <v>369</v>
      </c>
      <c r="H122" s="34" t="s">
        <v>1151</v>
      </c>
      <c r="I122" s="30" t="s">
        <v>1152</v>
      </c>
      <c r="J122" s="36" t="s">
        <v>1153</v>
      </c>
      <c r="K122" s="36" t="s">
        <v>1154</v>
      </c>
      <c r="L122" s="35"/>
      <c r="M122" s="12">
        <f t="shared" si="2"/>
        <v>119</v>
      </c>
    </row>
    <row r="123" spans="1:13" ht="30.6" x14ac:dyDescent="0.25">
      <c r="A123" s="30">
        <v>120</v>
      </c>
      <c r="B123" s="37" t="s">
        <v>481</v>
      </c>
      <c r="C123" s="37">
        <v>190819447</v>
      </c>
      <c r="D123" s="39"/>
      <c r="E123" s="40" t="s">
        <v>674</v>
      </c>
      <c r="F123" s="37" t="s">
        <v>675</v>
      </c>
      <c r="G123" s="37">
        <v>110</v>
      </c>
      <c r="H123" s="41" t="s">
        <v>464</v>
      </c>
      <c r="I123" s="37" t="s">
        <v>676</v>
      </c>
      <c r="J123" s="43" t="s">
        <v>677</v>
      </c>
      <c r="K123" s="43" t="s">
        <v>2901</v>
      </c>
      <c r="L123" s="42" t="s">
        <v>1155</v>
      </c>
      <c r="M123" s="12">
        <f t="shared" si="2"/>
        <v>120</v>
      </c>
    </row>
    <row r="124" spans="1:13" ht="40.799999999999997" x14ac:dyDescent="0.25">
      <c r="A124" s="30">
        <v>121</v>
      </c>
      <c r="B124" s="38" t="s">
        <v>1156</v>
      </c>
      <c r="C124" s="37">
        <v>101117088</v>
      </c>
      <c r="D124" s="39" t="s">
        <v>1157</v>
      </c>
      <c r="E124" s="40">
        <v>3604900003516</v>
      </c>
      <c r="F124" s="37" t="s">
        <v>1158</v>
      </c>
      <c r="G124" s="37">
        <v>603</v>
      </c>
      <c r="H124" s="41" t="s">
        <v>1761</v>
      </c>
      <c r="I124" s="37" t="s">
        <v>1159</v>
      </c>
      <c r="J124" s="43" t="s">
        <v>1760</v>
      </c>
      <c r="K124" s="43" t="s">
        <v>1705</v>
      </c>
      <c r="L124" s="43" t="s">
        <v>1706</v>
      </c>
      <c r="M124" s="12">
        <f t="shared" si="2"/>
        <v>121</v>
      </c>
    </row>
    <row r="125" spans="1:13" ht="30.6" x14ac:dyDescent="0.25">
      <c r="A125" s="30">
        <v>122</v>
      </c>
      <c r="B125" s="38" t="s">
        <v>1367</v>
      </c>
      <c r="C125" s="37">
        <v>600921909</v>
      </c>
      <c r="D125" s="39"/>
      <c r="E125" s="40">
        <v>3012000103814</v>
      </c>
      <c r="F125" s="37" t="s">
        <v>1707</v>
      </c>
      <c r="G125" s="37">
        <v>739</v>
      </c>
      <c r="H125" s="41" t="s">
        <v>1151</v>
      </c>
      <c r="I125" s="37" t="s">
        <v>1708</v>
      </c>
      <c r="J125" s="43" t="s">
        <v>1709</v>
      </c>
      <c r="K125" s="36" t="s">
        <v>2901</v>
      </c>
      <c r="L125" s="36" t="s">
        <v>1710</v>
      </c>
      <c r="M125" s="12">
        <f t="shared" si="2"/>
        <v>122</v>
      </c>
    </row>
    <row r="126" spans="1:13" ht="30.6" x14ac:dyDescent="0.25">
      <c r="A126" s="30">
        <v>123</v>
      </c>
      <c r="B126" s="38" t="s">
        <v>1711</v>
      </c>
      <c r="C126" s="37">
        <v>100005713</v>
      </c>
      <c r="D126" s="39"/>
      <c r="E126" s="40" t="s">
        <v>4018</v>
      </c>
      <c r="F126" s="37" t="s">
        <v>1712</v>
      </c>
      <c r="G126" s="37" t="s">
        <v>4019</v>
      </c>
      <c r="H126" s="41" t="s">
        <v>1717</v>
      </c>
      <c r="I126" s="37" t="s">
        <v>1713</v>
      </c>
      <c r="J126" s="43" t="s">
        <v>1716</v>
      </c>
      <c r="K126" s="36" t="s">
        <v>1714</v>
      </c>
      <c r="L126" s="36" t="s">
        <v>1715</v>
      </c>
      <c r="M126" s="12">
        <f t="shared" si="2"/>
        <v>123</v>
      </c>
    </row>
    <row r="127" spans="1:13" ht="30.6" x14ac:dyDescent="0.25">
      <c r="A127" s="30">
        <v>124</v>
      </c>
      <c r="B127" s="31" t="s">
        <v>873</v>
      </c>
      <c r="C127" s="30">
        <v>691523415</v>
      </c>
      <c r="D127" s="32"/>
      <c r="E127" s="33">
        <v>301202732001</v>
      </c>
      <c r="F127" s="30" t="s">
        <v>1718</v>
      </c>
      <c r="G127" s="30">
        <v>749</v>
      </c>
      <c r="H127" s="41" t="s">
        <v>464</v>
      </c>
      <c r="I127" s="37" t="s">
        <v>1719</v>
      </c>
      <c r="J127" s="43" t="s">
        <v>1720</v>
      </c>
      <c r="K127" s="43" t="s">
        <v>2901</v>
      </c>
      <c r="L127" s="42" t="s">
        <v>1721</v>
      </c>
      <c r="M127" s="12">
        <f t="shared" si="2"/>
        <v>124</v>
      </c>
    </row>
    <row r="128" spans="1:13" ht="20.399999999999999" x14ac:dyDescent="0.25">
      <c r="A128" s="30">
        <v>125</v>
      </c>
      <c r="B128" s="37" t="s">
        <v>2411</v>
      </c>
      <c r="C128" s="37">
        <v>100349860</v>
      </c>
      <c r="D128" s="39"/>
      <c r="E128" s="40">
        <v>3012000000525</v>
      </c>
      <c r="F128" s="37" t="s">
        <v>1722</v>
      </c>
      <c r="G128" s="37">
        <v>815</v>
      </c>
      <c r="H128" s="34" t="s">
        <v>1723</v>
      </c>
      <c r="I128" s="30" t="s">
        <v>1724</v>
      </c>
      <c r="J128" s="36" t="s">
        <v>1725</v>
      </c>
      <c r="K128" s="43" t="s">
        <v>1726</v>
      </c>
      <c r="L128" s="42" t="s">
        <v>1727</v>
      </c>
      <c r="M128" s="12">
        <f t="shared" si="2"/>
        <v>125</v>
      </c>
    </row>
    <row r="129" spans="1:13" ht="20.399999999999999" x14ac:dyDescent="0.25">
      <c r="A129" s="30">
        <v>126</v>
      </c>
      <c r="B129" s="30" t="s">
        <v>1914</v>
      </c>
      <c r="C129" s="30">
        <v>100168244</v>
      </c>
      <c r="D129" s="32" t="s">
        <v>1728</v>
      </c>
      <c r="E129" s="33">
        <v>3012100440008</v>
      </c>
      <c r="F129" s="30" t="s">
        <v>1729</v>
      </c>
      <c r="G129" s="30">
        <v>182</v>
      </c>
      <c r="H129" s="41" t="s">
        <v>2906</v>
      </c>
      <c r="I129" s="37" t="s">
        <v>1730</v>
      </c>
      <c r="J129" s="43" t="s">
        <v>1731</v>
      </c>
      <c r="K129" s="43" t="s">
        <v>2901</v>
      </c>
      <c r="L129" s="43" t="s">
        <v>1732</v>
      </c>
      <c r="M129" s="12">
        <f t="shared" si="2"/>
        <v>126</v>
      </c>
    </row>
    <row r="130" spans="1:13" ht="20.399999999999999" x14ac:dyDescent="0.25">
      <c r="A130" s="30">
        <v>127</v>
      </c>
      <c r="B130" s="38" t="s">
        <v>3552</v>
      </c>
      <c r="C130" s="37">
        <v>191569368</v>
      </c>
      <c r="D130" s="39" t="s">
        <v>1733</v>
      </c>
      <c r="E130" s="40" t="s">
        <v>4073</v>
      </c>
      <c r="F130" s="37" t="s">
        <v>1734</v>
      </c>
      <c r="G130" s="37" t="s">
        <v>3992</v>
      </c>
      <c r="H130" s="41" t="s">
        <v>464</v>
      </c>
      <c r="I130" s="37" t="s">
        <v>1866</v>
      </c>
      <c r="J130" s="43" t="s">
        <v>1735</v>
      </c>
      <c r="K130" s="43" t="s">
        <v>1736</v>
      </c>
      <c r="L130" s="42" t="s">
        <v>1737</v>
      </c>
      <c r="M130" s="12">
        <f t="shared" si="2"/>
        <v>127</v>
      </c>
    </row>
    <row r="131" spans="1:13" ht="40.799999999999997" x14ac:dyDescent="0.25">
      <c r="A131" s="30">
        <v>128</v>
      </c>
      <c r="B131" s="37" t="s">
        <v>326</v>
      </c>
      <c r="C131" s="37">
        <v>200216443</v>
      </c>
      <c r="D131" s="39"/>
      <c r="E131" s="40"/>
      <c r="F131" s="37"/>
      <c r="G131" s="37"/>
      <c r="H131" s="41" t="s">
        <v>1265</v>
      </c>
      <c r="I131" s="37" t="s">
        <v>1738</v>
      </c>
      <c r="J131" s="43" t="s">
        <v>1266</v>
      </c>
      <c r="K131" s="43" t="s">
        <v>1267</v>
      </c>
      <c r="L131" s="42" t="s">
        <v>1268</v>
      </c>
      <c r="M131" s="12">
        <f t="shared" si="2"/>
        <v>128</v>
      </c>
    </row>
    <row r="132" spans="1:13" ht="30.6" x14ac:dyDescent="0.25">
      <c r="A132" s="30">
        <v>129</v>
      </c>
      <c r="B132" s="38" t="s">
        <v>1809</v>
      </c>
      <c r="C132" s="37">
        <v>190907422</v>
      </c>
      <c r="D132" s="39" t="s">
        <v>1739</v>
      </c>
      <c r="E132" s="40">
        <v>3012077440014</v>
      </c>
      <c r="F132" s="37" t="s">
        <v>1740</v>
      </c>
      <c r="G132" s="37">
        <v>720</v>
      </c>
      <c r="H132" s="41" t="s">
        <v>464</v>
      </c>
      <c r="I132" s="37" t="s">
        <v>1741</v>
      </c>
      <c r="J132" s="42" t="s">
        <v>1742</v>
      </c>
      <c r="K132" s="43" t="s">
        <v>2901</v>
      </c>
      <c r="L132" s="42" t="s">
        <v>1743</v>
      </c>
      <c r="M132" s="12">
        <f t="shared" si="2"/>
        <v>129</v>
      </c>
    </row>
    <row r="133" spans="1:13" ht="30.6" x14ac:dyDescent="0.25">
      <c r="A133" s="30">
        <v>130</v>
      </c>
      <c r="B133" s="38" t="s">
        <v>1744</v>
      </c>
      <c r="C133" s="37">
        <v>191306367</v>
      </c>
      <c r="D133" s="39"/>
      <c r="E133" s="40">
        <v>3012034363008</v>
      </c>
      <c r="F133" s="37" t="s">
        <v>1745</v>
      </c>
      <c r="G133" s="37">
        <v>175</v>
      </c>
      <c r="H133" s="41" t="s">
        <v>464</v>
      </c>
      <c r="I133" s="37" t="s">
        <v>1746</v>
      </c>
      <c r="J133" s="42" t="s">
        <v>1747</v>
      </c>
      <c r="K133" s="43" t="s">
        <v>2901</v>
      </c>
      <c r="L133" s="42" t="s">
        <v>1748</v>
      </c>
      <c r="M133" s="12">
        <f t="shared" ref="M133:M196" si="3">ROW()-3</f>
        <v>130</v>
      </c>
    </row>
    <row r="134" spans="1:13" ht="30.6" x14ac:dyDescent="0.25">
      <c r="A134" s="30">
        <v>131</v>
      </c>
      <c r="B134" s="38" t="s">
        <v>3088</v>
      </c>
      <c r="C134" s="37">
        <v>102299021</v>
      </c>
      <c r="D134" s="39" t="s">
        <v>4117</v>
      </c>
      <c r="E134" s="40">
        <v>3012015810021</v>
      </c>
      <c r="F134" s="37" t="s">
        <v>4118</v>
      </c>
      <c r="G134" s="37">
        <v>608</v>
      </c>
      <c r="H134" s="41" t="s">
        <v>2906</v>
      </c>
      <c r="I134" s="37" t="s">
        <v>4119</v>
      </c>
      <c r="J134" s="43" t="s">
        <v>4122</v>
      </c>
      <c r="K134" s="43" t="s">
        <v>4120</v>
      </c>
      <c r="L134" s="43" t="s">
        <v>4121</v>
      </c>
      <c r="M134" s="12">
        <f t="shared" si="3"/>
        <v>131</v>
      </c>
    </row>
    <row r="135" spans="1:13" ht="30.6" x14ac:dyDescent="0.25">
      <c r="A135" s="30">
        <v>132</v>
      </c>
      <c r="B135" s="31" t="s">
        <v>3267</v>
      </c>
      <c r="C135" s="30"/>
      <c r="D135" s="32" t="s">
        <v>4123</v>
      </c>
      <c r="E135" s="33">
        <v>3013117509015</v>
      </c>
      <c r="F135" s="30" t="s">
        <v>4124</v>
      </c>
      <c r="G135" s="30">
        <v>369</v>
      </c>
      <c r="H135" s="41" t="s">
        <v>2906</v>
      </c>
      <c r="I135" s="37" t="s">
        <v>4125</v>
      </c>
      <c r="J135" s="43" t="s">
        <v>4126</v>
      </c>
      <c r="K135" s="43" t="s">
        <v>2901</v>
      </c>
      <c r="L135" s="42" t="s">
        <v>4127</v>
      </c>
      <c r="M135" s="12">
        <f t="shared" si="3"/>
        <v>132</v>
      </c>
    </row>
    <row r="136" spans="1:13" ht="20.399999999999999" x14ac:dyDescent="0.25">
      <c r="A136" s="30">
        <v>133</v>
      </c>
      <c r="B136" s="31" t="s">
        <v>4128</v>
      </c>
      <c r="C136" s="30">
        <v>190928302</v>
      </c>
      <c r="D136" s="32" t="s">
        <v>4129</v>
      </c>
      <c r="E136" s="33">
        <v>3012066380017</v>
      </c>
      <c r="F136" s="30" t="s">
        <v>4130</v>
      </c>
      <c r="G136" s="30">
        <v>117</v>
      </c>
      <c r="H136" s="34" t="s">
        <v>464</v>
      </c>
      <c r="I136" s="30" t="s">
        <v>4131</v>
      </c>
      <c r="J136" s="36" t="s">
        <v>4132</v>
      </c>
      <c r="K136" s="36" t="s">
        <v>2901</v>
      </c>
      <c r="L136" s="35" t="s">
        <v>4133</v>
      </c>
      <c r="M136" s="12">
        <f t="shared" si="3"/>
        <v>133</v>
      </c>
    </row>
    <row r="137" spans="1:13" ht="30.6" x14ac:dyDescent="0.25">
      <c r="A137" s="30">
        <v>134</v>
      </c>
      <c r="B137" s="38" t="s">
        <v>1000</v>
      </c>
      <c r="C137" s="37">
        <v>808000410</v>
      </c>
      <c r="D137" s="39" t="s">
        <v>2316</v>
      </c>
      <c r="E137" s="40">
        <v>3012027750013</v>
      </c>
      <c r="F137" s="37" t="s">
        <v>2317</v>
      </c>
      <c r="G137" s="37">
        <v>272</v>
      </c>
      <c r="H137" s="34" t="s">
        <v>2906</v>
      </c>
      <c r="I137" s="30" t="s">
        <v>2318</v>
      </c>
      <c r="J137" s="36" t="s">
        <v>2319</v>
      </c>
      <c r="K137" s="36" t="s">
        <v>2901</v>
      </c>
      <c r="L137" s="35" t="s">
        <v>2320</v>
      </c>
      <c r="M137" s="12">
        <f t="shared" si="3"/>
        <v>134</v>
      </c>
    </row>
    <row r="138" spans="1:13" ht="51" x14ac:dyDescent="0.25">
      <c r="A138" s="30">
        <v>135</v>
      </c>
      <c r="B138" s="37" t="s">
        <v>447</v>
      </c>
      <c r="C138" s="37">
        <v>600004706</v>
      </c>
      <c r="D138" s="39" t="s">
        <v>4134</v>
      </c>
      <c r="E138" s="40">
        <v>3015282160023</v>
      </c>
      <c r="F138" s="37" t="s">
        <v>4135</v>
      </c>
      <c r="G138" s="37">
        <v>913</v>
      </c>
      <c r="H138" s="41" t="s">
        <v>4136</v>
      </c>
      <c r="I138" s="37" t="s">
        <v>4137</v>
      </c>
      <c r="J138" s="43" t="s">
        <v>4138</v>
      </c>
      <c r="K138" s="43" t="s">
        <v>2901</v>
      </c>
      <c r="L138" s="42" t="s">
        <v>4139</v>
      </c>
      <c r="M138" s="12">
        <f t="shared" si="3"/>
        <v>135</v>
      </c>
    </row>
    <row r="139" spans="1:13" ht="30.6" x14ac:dyDescent="0.25">
      <c r="A139" s="30">
        <v>136</v>
      </c>
      <c r="B139" s="38" t="s">
        <v>4143</v>
      </c>
      <c r="C139" s="37">
        <v>191069636</v>
      </c>
      <c r="D139" s="39" t="s">
        <v>4140</v>
      </c>
      <c r="E139" s="40" t="s">
        <v>4114</v>
      </c>
      <c r="F139" s="37" t="s">
        <v>4145</v>
      </c>
      <c r="G139" s="37" t="s">
        <v>4115</v>
      </c>
      <c r="H139" s="41" t="s">
        <v>464</v>
      </c>
      <c r="I139" s="37" t="s">
        <v>4141</v>
      </c>
      <c r="J139" s="43" t="s">
        <v>4142</v>
      </c>
      <c r="K139" s="36" t="s">
        <v>2901</v>
      </c>
      <c r="L139" s="36" t="s">
        <v>4144</v>
      </c>
      <c r="M139" s="12">
        <f t="shared" si="3"/>
        <v>136</v>
      </c>
    </row>
    <row r="140" spans="1:13" ht="51" x14ac:dyDescent="0.25">
      <c r="A140" s="30">
        <v>137</v>
      </c>
      <c r="B140" s="38" t="s">
        <v>455</v>
      </c>
      <c r="C140" s="37">
        <v>190638152</v>
      </c>
      <c r="D140" s="39"/>
      <c r="E140" s="40">
        <v>3012108218013</v>
      </c>
      <c r="F140" s="37" t="s">
        <v>4149</v>
      </c>
      <c r="G140" s="37">
        <v>369</v>
      </c>
      <c r="H140" s="41" t="s">
        <v>464</v>
      </c>
      <c r="I140" s="37" t="s">
        <v>4146</v>
      </c>
      <c r="J140" s="42" t="s">
        <v>4147</v>
      </c>
      <c r="K140" s="43" t="s">
        <v>2901</v>
      </c>
      <c r="L140" s="42" t="s">
        <v>4148</v>
      </c>
      <c r="M140" s="12">
        <f t="shared" si="3"/>
        <v>137</v>
      </c>
    </row>
    <row r="141" spans="1:13" ht="20.399999999999999" x14ac:dyDescent="0.25">
      <c r="A141" s="30">
        <v>138</v>
      </c>
      <c r="B141" s="38" t="s">
        <v>2379</v>
      </c>
      <c r="C141" s="37">
        <v>190664298</v>
      </c>
      <c r="D141" s="39"/>
      <c r="E141" s="40">
        <v>3012565240010</v>
      </c>
      <c r="F141" s="37" t="s">
        <v>4151</v>
      </c>
      <c r="G141" s="37">
        <v>739</v>
      </c>
      <c r="H141" s="41" t="s">
        <v>464</v>
      </c>
      <c r="I141" s="37" t="s">
        <v>4152</v>
      </c>
      <c r="J141" s="42" t="s">
        <v>4153</v>
      </c>
      <c r="K141" s="43" t="s">
        <v>2901</v>
      </c>
      <c r="L141" s="42" t="s">
        <v>4154</v>
      </c>
      <c r="M141" s="12">
        <f t="shared" si="3"/>
        <v>138</v>
      </c>
    </row>
    <row r="142" spans="1:13" ht="48" customHeight="1" x14ac:dyDescent="0.25">
      <c r="A142" s="30">
        <v>139</v>
      </c>
      <c r="B142" s="31" t="s">
        <v>956</v>
      </c>
      <c r="C142" s="30">
        <v>190341033</v>
      </c>
      <c r="D142" s="32" t="s">
        <v>4155</v>
      </c>
      <c r="E142" s="33">
        <v>3012017300016</v>
      </c>
      <c r="F142" s="30" t="s">
        <v>1224</v>
      </c>
      <c r="G142" s="30">
        <v>815</v>
      </c>
      <c r="H142" s="34" t="s">
        <v>1225</v>
      </c>
      <c r="I142" s="30" t="s">
        <v>1226</v>
      </c>
      <c r="J142" s="36" t="s">
        <v>1227</v>
      </c>
      <c r="K142" s="36" t="s">
        <v>1228</v>
      </c>
      <c r="L142" s="35" t="s">
        <v>1229</v>
      </c>
      <c r="M142" s="12">
        <f t="shared" si="3"/>
        <v>139</v>
      </c>
    </row>
    <row r="143" spans="1:13" hidden="1" x14ac:dyDescent="0.25">
      <c r="A143" s="30"/>
      <c r="B143" s="38"/>
      <c r="C143" s="37"/>
      <c r="D143" s="39"/>
      <c r="E143" s="40"/>
      <c r="F143" s="37"/>
      <c r="G143" s="37"/>
      <c r="H143" s="41"/>
      <c r="I143" s="37"/>
      <c r="J143" s="43"/>
      <c r="K143" s="341"/>
      <c r="L143" s="42"/>
      <c r="M143" s="12">
        <f t="shared" si="3"/>
        <v>140</v>
      </c>
    </row>
    <row r="144" spans="1:13" ht="30.6" x14ac:dyDescent="0.25">
      <c r="A144" s="30">
        <v>140</v>
      </c>
      <c r="B144" s="38" t="s">
        <v>1230</v>
      </c>
      <c r="C144" s="37">
        <v>190511891</v>
      </c>
      <c r="D144" s="39"/>
      <c r="E144" s="40">
        <v>3012093630013</v>
      </c>
      <c r="F144" s="37" t="s">
        <v>1231</v>
      </c>
      <c r="G144" s="37">
        <v>704</v>
      </c>
      <c r="H144" s="41" t="s">
        <v>464</v>
      </c>
      <c r="I144" s="37" t="s">
        <v>1232</v>
      </c>
      <c r="J144" s="43" t="s">
        <v>1233</v>
      </c>
      <c r="K144" s="43" t="s">
        <v>2901</v>
      </c>
      <c r="L144" s="42" t="s">
        <v>1234</v>
      </c>
      <c r="M144" s="12">
        <f t="shared" si="3"/>
        <v>141</v>
      </c>
    </row>
    <row r="145" spans="1:13" ht="30.6" x14ac:dyDescent="0.25">
      <c r="A145" s="30">
        <v>141</v>
      </c>
      <c r="B145" s="31" t="s">
        <v>1236</v>
      </c>
      <c r="C145" s="30">
        <v>100664075</v>
      </c>
      <c r="D145" s="32"/>
      <c r="E145" s="33">
        <v>3604524000018</v>
      </c>
      <c r="F145" s="30" t="s">
        <v>1237</v>
      </c>
      <c r="G145" s="30">
        <v>795</v>
      </c>
      <c r="H145" s="41" t="s">
        <v>464</v>
      </c>
      <c r="I145" s="37" t="s">
        <v>1238</v>
      </c>
      <c r="J145" s="43" t="s">
        <v>1239</v>
      </c>
      <c r="K145" s="43" t="s">
        <v>2901</v>
      </c>
      <c r="L145" s="42" t="s">
        <v>1240</v>
      </c>
      <c r="M145" s="12">
        <f t="shared" si="3"/>
        <v>142</v>
      </c>
    </row>
    <row r="146" spans="1:13" ht="40.799999999999997" x14ac:dyDescent="0.25">
      <c r="A146" s="30">
        <v>142</v>
      </c>
      <c r="B146" s="38" t="s">
        <v>2837</v>
      </c>
      <c r="C146" s="37">
        <v>100320487</v>
      </c>
      <c r="D146" s="39"/>
      <c r="E146" s="40"/>
      <c r="F146" s="37"/>
      <c r="G146" s="37"/>
      <c r="H146" s="34" t="s">
        <v>2906</v>
      </c>
      <c r="I146" s="30" t="s">
        <v>1241</v>
      </c>
      <c r="J146" s="36" t="s">
        <v>1242</v>
      </c>
      <c r="K146" s="36" t="s">
        <v>2901</v>
      </c>
      <c r="L146" s="35" t="s">
        <v>1243</v>
      </c>
      <c r="M146" s="12">
        <f t="shared" si="3"/>
        <v>143</v>
      </c>
    </row>
    <row r="147" spans="1:13" ht="30.6" x14ac:dyDescent="0.25">
      <c r="A147" s="30">
        <v>144</v>
      </c>
      <c r="B147" s="38" t="s">
        <v>146</v>
      </c>
      <c r="C147" s="37">
        <v>100839215</v>
      </c>
      <c r="D147" s="39" t="s">
        <v>1244</v>
      </c>
      <c r="E147" s="40" t="s">
        <v>4010</v>
      </c>
      <c r="F147" s="37" t="s">
        <v>4009</v>
      </c>
      <c r="G147" s="37" t="s">
        <v>4003</v>
      </c>
      <c r="H147" s="41" t="s">
        <v>1245</v>
      </c>
      <c r="I147" s="37" t="s">
        <v>1246</v>
      </c>
      <c r="J147" s="43" t="s">
        <v>1247</v>
      </c>
      <c r="K147" s="43" t="s">
        <v>1259</v>
      </c>
      <c r="L147" s="42" t="s">
        <v>4011</v>
      </c>
      <c r="M147" s="12">
        <f t="shared" si="3"/>
        <v>144</v>
      </c>
    </row>
    <row r="148" spans="1:13" ht="20.399999999999999" x14ac:dyDescent="0.25">
      <c r="A148" s="30">
        <v>145</v>
      </c>
      <c r="B148" s="31" t="s">
        <v>2426</v>
      </c>
      <c r="C148" s="30">
        <v>100025811</v>
      </c>
      <c r="D148" s="32" t="s">
        <v>1248</v>
      </c>
      <c r="E148" s="33">
        <v>3012007705016</v>
      </c>
      <c r="F148" s="30" t="s">
        <v>1249</v>
      </c>
      <c r="G148" s="30">
        <v>749</v>
      </c>
      <c r="H148" s="41" t="s">
        <v>464</v>
      </c>
      <c r="I148" s="37" t="s">
        <v>1250</v>
      </c>
      <c r="J148" s="43" t="s">
        <v>1251</v>
      </c>
      <c r="K148" s="36" t="s">
        <v>2901</v>
      </c>
      <c r="L148" s="36" t="s">
        <v>1252</v>
      </c>
      <c r="M148" s="12">
        <f t="shared" si="3"/>
        <v>145</v>
      </c>
    </row>
    <row r="149" spans="1:13" ht="20.399999999999999" x14ac:dyDescent="0.25">
      <c r="A149" s="30">
        <v>146</v>
      </c>
      <c r="B149" s="38" t="s">
        <v>329</v>
      </c>
      <c r="C149" s="37">
        <v>190800080</v>
      </c>
      <c r="D149" s="39" t="s">
        <v>1253</v>
      </c>
      <c r="E149" s="40">
        <v>3012019847018</v>
      </c>
      <c r="F149" s="37" t="s">
        <v>1254</v>
      </c>
      <c r="G149" s="37" t="s">
        <v>1255</v>
      </c>
      <c r="H149" s="34" t="s">
        <v>2906</v>
      </c>
      <c r="I149" s="30" t="s">
        <v>1256</v>
      </c>
      <c r="J149" s="36" t="s">
        <v>1257</v>
      </c>
      <c r="K149" s="36" t="s">
        <v>2901</v>
      </c>
      <c r="L149" s="35" t="s">
        <v>1258</v>
      </c>
      <c r="M149" s="12">
        <f t="shared" si="3"/>
        <v>146</v>
      </c>
    </row>
    <row r="150" spans="1:13" ht="20.399999999999999" x14ac:dyDescent="0.25">
      <c r="A150" s="30">
        <v>147</v>
      </c>
      <c r="B150" s="37" t="s">
        <v>1951</v>
      </c>
      <c r="C150" s="37">
        <v>400424686</v>
      </c>
      <c r="D150" s="39"/>
      <c r="E150" s="40">
        <v>3012005286016</v>
      </c>
      <c r="F150" s="37" t="s">
        <v>1260</v>
      </c>
      <c r="G150" s="37">
        <v>749</v>
      </c>
      <c r="H150" s="41" t="s">
        <v>1261</v>
      </c>
      <c r="I150" s="37" t="s">
        <v>1262</v>
      </c>
      <c r="J150" s="43" t="s">
        <v>1263</v>
      </c>
      <c r="K150" s="36" t="s">
        <v>3452</v>
      </c>
      <c r="L150" s="36" t="s">
        <v>1264</v>
      </c>
      <c r="M150" s="12">
        <f t="shared" si="3"/>
        <v>147</v>
      </c>
    </row>
    <row r="151" spans="1:13" ht="20.399999999999999" x14ac:dyDescent="0.25">
      <c r="A151" s="30">
        <v>148</v>
      </c>
      <c r="B151" s="38" t="s">
        <v>239</v>
      </c>
      <c r="C151" s="37">
        <v>101139097</v>
      </c>
      <c r="D151" s="39" t="s">
        <v>1270</v>
      </c>
      <c r="E151" s="40" t="s">
        <v>4070</v>
      </c>
      <c r="F151" s="37" t="s">
        <v>1271</v>
      </c>
      <c r="G151" s="37" t="s">
        <v>3992</v>
      </c>
      <c r="H151" s="41" t="s">
        <v>2906</v>
      </c>
      <c r="I151" s="37" t="s">
        <v>1272</v>
      </c>
      <c r="J151" s="43" t="s">
        <v>1273</v>
      </c>
      <c r="K151" s="43" t="s">
        <v>2901</v>
      </c>
      <c r="L151" s="43" t="s">
        <v>1274</v>
      </c>
      <c r="M151" s="12">
        <f t="shared" si="3"/>
        <v>148</v>
      </c>
    </row>
    <row r="152" spans="1:13" ht="30.6" x14ac:dyDescent="0.25">
      <c r="A152" s="30">
        <v>149</v>
      </c>
      <c r="B152" s="38" t="s">
        <v>1638</v>
      </c>
      <c r="C152" s="37">
        <v>691584453</v>
      </c>
      <c r="D152" s="39" t="s">
        <v>1275</v>
      </c>
      <c r="E152" s="40">
        <v>3012207492005</v>
      </c>
      <c r="F152" s="37" t="s">
        <v>1276</v>
      </c>
      <c r="G152" s="37">
        <v>270</v>
      </c>
      <c r="H152" s="41" t="s">
        <v>2906</v>
      </c>
      <c r="I152" s="37" t="s">
        <v>1277</v>
      </c>
      <c r="J152" s="43" t="s">
        <v>1278</v>
      </c>
      <c r="K152" s="36" t="s">
        <v>2901</v>
      </c>
      <c r="L152" s="36" t="s">
        <v>1279</v>
      </c>
      <c r="M152" s="12">
        <f t="shared" si="3"/>
        <v>149</v>
      </c>
    </row>
    <row r="153" spans="1:13" ht="20.399999999999999" x14ac:dyDescent="0.25">
      <c r="A153" s="30">
        <v>150</v>
      </c>
      <c r="B153" s="38" t="s">
        <v>1280</v>
      </c>
      <c r="C153" s="37">
        <v>191759737</v>
      </c>
      <c r="D153" s="39" t="s">
        <v>1281</v>
      </c>
      <c r="E153" s="40">
        <v>3012021239002</v>
      </c>
      <c r="F153" s="37" t="s">
        <v>1282</v>
      </c>
      <c r="G153" s="37">
        <v>175</v>
      </c>
      <c r="H153" s="41" t="s">
        <v>1578</v>
      </c>
      <c r="I153" s="37" t="s">
        <v>2060</v>
      </c>
      <c r="J153" s="43" t="s">
        <v>2061</v>
      </c>
      <c r="K153" s="43" t="s">
        <v>2062</v>
      </c>
      <c r="L153" s="42" t="s">
        <v>2063</v>
      </c>
      <c r="M153" s="12">
        <f t="shared" si="3"/>
        <v>150</v>
      </c>
    </row>
    <row r="154" spans="1:13" ht="20.399999999999999" x14ac:dyDescent="0.25">
      <c r="A154" s="30">
        <v>151</v>
      </c>
      <c r="B154" s="38" t="s">
        <v>2117</v>
      </c>
      <c r="C154" s="37">
        <v>190819886</v>
      </c>
      <c r="D154" s="39"/>
      <c r="E154" s="40">
        <v>3012000466011</v>
      </c>
      <c r="F154" s="37" t="s">
        <v>2064</v>
      </c>
      <c r="G154" s="37">
        <v>820</v>
      </c>
      <c r="H154" s="41" t="s">
        <v>464</v>
      </c>
      <c r="I154" s="37" t="s">
        <v>2065</v>
      </c>
      <c r="J154" s="43" t="s">
        <v>2066</v>
      </c>
      <c r="K154" s="43" t="s">
        <v>2901</v>
      </c>
      <c r="L154" s="42" t="s">
        <v>2067</v>
      </c>
      <c r="M154" s="12">
        <f t="shared" si="3"/>
        <v>151</v>
      </c>
    </row>
    <row r="155" spans="1:13" ht="30.6" x14ac:dyDescent="0.25">
      <c r="A155" s="30">
        <v>152</v>
      </c>
      <c r="B155" s="38" t="s">
        <v>863</v>
      </c>
      <c r="C155" s="37">
        <v>690849523</v>
      </c>
      <c r="D155" s="39"/>
      <c r="E155" s="40">
        <v>3012013718007</v>
      </c>
      <c r="F155" s="37" t="s">
        <v>2068</v>
      </c>
      <c r="G155" s="37">
        <v>175</v>
      </c>
      <c r="H155" s="41" t="s">
        <v>464</v>
      </c>
      <c r="I155" s="37" t="s">
        <v>2069</v>
      </c>
      <c r="J155" s="43" t="s">
        <v>2070</v>
      </c>
      <c r="K155" s="43" t="s">
        <v>2901</v>
      </c>
      <c r="L155" s="42" t="s">
        <v>2071</v>
      </c>
      <c r="M155" s="12">
        <f t="shared" si="3"/>
        <v>152</v>
      </c>
    </row>
    <row r="156" spans="1:13" ht="30.6" x14ac:dyDescent="0.25">
      <c r="A156" s="30">
        <v>153</v>
      </c>
      <c r="B156" s="37" t="s">
        <v>998</v>
      </c>
      <c r="C156" s="37">
        <v>690820813</v>
      </c>
      <c r="D156" s="39" t="s">
        <v>1749</v>
      </c>
      <c r="E156" s="40">
        <v>3012170619002</v>
      </c>
      <c r="F156" s="37" t="s">
        <v>1750</v>
      </c>
      <c r="G156" s="37">
        <v>226</v>
      </c>
      <c r="H156" s="41" t="s">
        <v>464</v>
      </c>
      <c r="I156" s="37" t="s">
        <v>1751</v>
      </c>
      <c r="J156" s="43" t="s">
        <v>1752</v>
      </c>
      <c r="K156" s="43" t="s">
        <v>2901</v>
      </c>
      <c r="L156" s="42" t="s">
        <v>1753</v>
      </c>
      <c r="M156" s="12">
        <f t="shared" si="3"/>
        <v>153</v>
      </c>
    </row>
    <row r="157" spans="1:13" ht="20.399999999999999" x14ac:dyDescent="0.25">
      <c r="A157" s="30">
        <v>154</v>
      </c>
      <c r="B157" s="31" t="s">
        <v>528</v>
      </c>
      <c r="C157" s="30">
        <v>100068356</v>
      </c>
      <c r="D157" s="32" t="s">
        <v>1754</v>
      </c>
      <c r="E157" s="33">
        <v>3012100249019</v>
      </c>
      <c r="F157" s="30" t="s">
        <v>1755</v>
      </c>
      <c r="G157" s="30">
        <v>369</v>
      </c>
      <c r="H157" s="41" t="s">
        <v>2906</v>
      </c>
      <c r="I157" s="37" t="s">
        <v>1756</v>
      </c>
      <c r="J157" s="43" t="s">
        <v>1757</v>
      </c>
      <c r="K157" s="43" t="s">
        <v>1758</v>
      </c>
      <c r="L157" s="43" t="s">
        <v>1759</v>
      </c>
      <c r="M157" s="12">
        <f t="shared" si="3"/>
        <v>154</v>
      </c>
    </row>
    <row r="158" spans="1:13" ht="20.399999999999999" x14ac:dyDescent="0.25">
      <c r="A158" s="30">
        <v>155</v>
      </c>
      <c r="B158" s="38" t="s">
        <v>1005</v>
      </c>
      <c r="C158" s="37">
        <v>101116081</v>
      </c>
      <c r="D158" s="39" t="s">
        <v>3486</v>
      </c>
      <c r="E158" s="40">
        <v>3012102936014</v>
      </c>
      <c r="F158" s="30" t="s">
        <v>1762</v>
      </c>
      <c r="G158" s="37">
        <v>369</v>
      </c>
      <c r="H158" s="34" t="s">
        <v>464</v>
      </c>
      <c r="I158" s="30" t="s">
        <v>1763</v>
      </c>
      <c r="J158" s="36" t="s">
        <v>1764</v>
      </c>
      <c r="K158" s="36" t="s">
        <v>3469</v>
      </c>
      <c r="L158" s="35" t="s">
        <v>1765</v>
      </c>
      <c r="M158" s="12">
        <f t="shared" si="3"/>
        <v>155</v>
      </c>
    </row>
    <row r="159" spans="1:13" s="288" customFormat="1" ht="30.6" x14ac:dyDescent="0.25">
      <c r="A159" s="30">
        <v>156</v>
      </c>
      <c r="B159" s="37" t="s">
        <v>1766</v>
      </c>
      <c r="C159" s="37">
        <v>192425076</v>
      </c>
      <c r="D159" s="39"/>
      <c r="E159" s="40">
        <v>3012212206013</v>
      </c>
      <c r="F159" s="37" t="s">
        <v>3429</v>
      </c>
      <c r="G159" s="37">
        <v>270</v>
      </c>
      <c r="H159" s="41" t="s">
        <v>2997</v>
      </c>
      <c r="I159" s="30" t="s">
        <v>3431</v>
      </c>
      <c r="J159" s="43" t="s">
        <v>3430</v>
      </c>
      <c r="K159" s="43" t="s">
        <v>2901</v>
      </c>
      <c r="L159" s="42" t="s">
        <v>3432</v>
      </c>
      <c r="M159" s="12">
        <f t="shared" si="3"/>
        <v>156</v>
      </c>
    </row>
    <row r="160" spans="1:13" ht="30.6" x14ac:dyDescent="0.25">
      <c r="A160" s="30">
        <v>157</v>
      </c>
      <c r="B160" s="37" t="s">
        <v>5</v>
      </c>
      <c r="C160" s="37">
        <v>100067717</v>
      </c>
      <c r="D160" s="39"/>
      <c r="E160" s="40">
        <v>3604000770090</v>
      </c>
      <c r="F160" s="37" t="s">
        <v>3433</v>
      </c>
      <c r="G160" s="37">
        <v>815</v>
      </c>
      <c r="H160" s="41" t="s">
        <v>2906</v>
      </c>
      <c r="I160" s="37" t="s">
        <v>3434</v>
      </c>
      <c r="J160" s="43" t="s">
        <v>3435</v>
      </c>
      <c r="K160" s="43" t="s">
        <v>2901</v>
      </c>
      <c r="L160" s="43" t="s">
        <v>3436</v>
      </c>
      <c r="M160" s="12">
        <f t="shared" si="3"/>
        <v>157</v>
      </c>
    </row>
    <row r="161" spans="1:13" ht="40.799999999999997" x14ac:dyDescent="0.25">
      <c r="A161" s="30">
        <v>158</v>
      </c>
      <c r="B161" s="38" t="s">
        <v>3139</v>
      </c>
      <c r="C161" s="37">
        <v>800003702</v>
      </c>
      <c r="D161" s="39" t="s">
        <v>3437</v>
      </c>
      <c r="E161" s="40">
        <v>3012200427006</v>
      </c>
      <c r="F161" s="37" t="s">
        <v>3438</v>
      </c>
      <c r="G161" s="37">
        <v>270</v>
      </c>
      <c r="H161" s="41" t="s">
        <v>2906</v>
      </c>
      <c r="I161" s="37" t="s">
        <v>3439</v>
      </c>
      <c r="J161" s="43" t="s">
        <v>3440</v>
      </c>
      <c r="K161" s="43" t="s">
        <v>2901</v>
      </c>
      <c r="L161" s="42" t="s">
        <v>3441</v>
      </c>
      <c r="M161" s="12">
        <f t="shared" si="3"/>
        <v>158</v>
      </c>
    </row>
    <row r="162" spans="1:13" ht="20.399999999999999" x14ac:dyDescent="0.25">
      <c r="A162" s="30">
        <v>159</v>
      </c>
      <c r="B162" s="38" t="s">
        <v>3778</v>
      </c>
      <c r="C162" s="37">
        <v>191486288</v>
      </c>
      <c r="D162" s="39" t="s">
        <v>3442</v>
      </c>
      <c r="E162" s="40">
        <v>3012021056015</v>
      </c>
      <c r="F162" s="37" t="s">
        <v>3443</v>
      </c>
      <c r="G162" s="37">
        <v>749</v>
      </c>
      <c r="H162" s="41" t="s">
        <v>464</v>
      </c>
      <c r="I162" s="37" t="s">
        <v>3444</v>
      </c>
      <c r="J162" s="42" t="s">
        <v>3445</v>
      </c>
      <c r="K162" s="43" t="s">
        <v>2901</v>
      </c>
      <c r="L162" s="42" t="s">
        <v>3446</v>
      </c>
      <c r="M162" s="12">
        <f t="shared" si="3"/>
        <v>159</v>
      </c>
    </row>
    <row r="163" spans="1:13" ht="20.399999999999999" x14ac:dyDescent="0.25">
      <c r="A163" s="30">
        <v>160</v>
      </c>
      <c r="B163" s="37" t="s">
        <v>1927</v>
      </c>
      <c r="C163" s="37">
        <v>190032958</v>
      </c>
      <c r="D163" s="39" t="s">
        <v>3447</v>
      </c>
      <c r="E163" s="40">
        <v>3012000369013</v>
      </c>
      <c r="F163" s="37" t="s">
        <v>3448</v>
      </c>
      <c r="G163" s="37">
        <v>749</v>
      </c>
      <c r="H163" s="41" t="s">
        <v>3449</v>
      </c>
      <c r="I163" s="37" t="s">
        <v>3450</v>
      </c>
      <c r="J163" s="43" t="s">
        <v>3453</v>
      </c>
      <c r="K163" s="43" t="s">
        <v>3454</v>
      </c>
      <c r="L163" s="43" t="s">
        <v>3451</v>
      </c>
      <c r="M163" s="12">
        <f t="shared" si="3"/>
        <v>160</v>
      </c>
    </row>
    <row r="164" spans="1:13" ht="30.6" x14ac:dyDescent="0.25">
      <c r="A164" s="30">
        <v>161</v>
      </c>
      <c r="B164" s="38" t="s">
        <v>911</v>
      </c>
      <c r="C164" s="37">
        <v>191224163</v>
      </c>
      <c r="D164" s="39"/>
      <c r="E164" s="40">
        <v>3012343780011</v>
      </c>
      <c r="F164" s="37" t="s">
        <v>3455</v>
      </c>
      <c r="G164" s="37">
        <v>739</v>
      </c>
      <c r="H164" s="41" t="s">
        <v>2906</v>
      </c>
      <c r="I164" s="37" t="s">
        <v>3456</v>
      </c>
      <c r="J164" s="42" t="s">
        <v>3457</v>
      </c>
      <c r="K164" s="43" t="s">
        <v>2901</v>
      </c>
      <c r="L164" s="42" t="s">
        <v>3458</v>
      </c>
      <c r="M164" s="12">
        <f t="shared" si="3"/>
        <v>161</v>
      </c>
    </row>
    <row r="165" spans="1:13" ht="20.399999999999999" x14ac:dyDescent="0.25">
      <c r="A165" s="30">
        <v>162</v>
      </c>
      <c r="B165" s="38" t="s">
        <v>3629</v>
      </c>
      <c r="C165" s="37">
        <v>100286955</v>
      </c>
      <c r="D165" s="39" t="s">
        <v>3459</v>
      </c>
      <c r="E165" s="40">
        <v>3012003433813</v>
      </c>
      <c r="F165" s="37" t="s">
        <v>3460</v>
      </c>
      <c r="G165" s="37">
        <v>739</v>
      </c>
      <c r="H165" s="41" t="s">
        <v>1179</v>
      </c>
      <c r="I165" s="37" t="s">
        <v>3461</v>
      </c>
      <c r="J165" s="42" t="s">
        <v>3462</v>
      </c>
      <c r="K165" s="43" t="s">
        <v>2901</v>
      </c>
      <c r="L165" s="42" t="s">
        <v>3463</v>
      </c>
      <c r="M165" s="12">
        <f t="shared" si="3"/>
        <v>162</v>
      </c>
    </row>
    <row r="166" spans="1:13" ht="30.6" x14ac:dyDescent="0.25">
      <c r="A166" s="30">
        <v>163</v>
      </c>
      <c r="B166" s="31" t="s">
        <v>2107</v>
      </c>
      <c r="C166" s="30">
        <v>691531787</v>
      </c>
      <c r="D166" s="32" t="s">
        <v>3464</v>
      </c>
      <c r="E166" s="33">
        <v>3012007824003</v>
      </c>
      <c r="F166" s="30" t="s">
        <v>3465</v>
      </c>
      <c r="G166" s="30">
        <v>226</v>
      </c>
      <c r="H166" s="41" t="s">
        <v>464</v>
      </c>
      <c r="I166" s="37" t="s">
        <v>3466</v>
      </c>
      <c r="J166" s="43" t="s">
        <v>3467</v>
      </c>
      <c r="K166" s="43" t="s">
        <v>2901</v>
      </c>
      <c r="L166" s="42" t="s">
        <v>3468</v>
      </c>
      <c r="M166" s="12">
        <f t="shared" si="3"/>
        <v>163</v>
      </c>
    </row>
    <row r="167" spans="1:13" ht="40.799999999999997" x14ac:dyDescent="0.25">
      <c r="A167" s="30">
        <v>164</v>
      </c>
      <c r="B167" s="38" t="s">
        <v>2744</v>
      </c>
      <c r="C167" s="37">
        <v>691576283</v>
      </c>
      <c r="D167" s="39"/>
      <c r="E167" s="40">
        <v>3012017657005</v>
      </c>
      <c r="F167" s="37" t="s">
        <v>3470</v>
      </c>
      <c r="G167" s="37"/>
      <c r="H167" s="34" t="s">
        <v>464</v>
      </c>
      <c r="I167" s="30" t="s">
        <v>3471</v>
      </c>
      <c r="J167" s="36" t="s">
        <v>3472</v>
      </c>
      <c r="K167" s="36" t="s">
        <v>2901</v>
      </c>
      <c r="L167" s="35" t="s">
        <v>3473</v>
      </c>
      <c r="M167" s="12">
        <f t="shared" si="3"/>
        <v>164</v>
      </c>
    </row>
    <row r="168" spans="1:13" ht="30.6" x14ac:dyDescent="0.25">
      <c r="A168" s="37">
        <v>165</v>
      </c>
      <c r="B168" s="38" t="s">
        <v>244</v>
      </c>
      <c r="C168" s="37">
        <v>100071593</v>
      </c>
      <c r="D168" s="39"/>
      <c r="E168" s="40">
        <v>3012100226016</v>
      </c>
      <c r="F168" s="37" t="s">
        <v>3334</v>
      </c>
      <c r="G168" s="37">
        <v>369</v>
      </c>
      <c r="H168" s="41" t="s">
        <v>2906</v>
      </c>
      <c r="I168" s="37" t="s">
        <v>3474</v>
      </c>
      <c r="J168" s="43" t="s">
        <v>3475</v>
      </c>
      <c r="K168" s="43" t="s">
        <v>3476</v>
      </c>
      <c r="L168" s="42" t="s">
        <v>3335</v>
      </c>
      <c r="M168" s="12">
        <f t="shared" si="3"/>
        <v>165</v>
      </c>
    </row>
    <row r="169" spans="1:13" ht="20.399999999999999" x14ac:dyDescent="0.25">
      <c r="A169" s="30">
        <v>166</v>
      </c>
      <c r="B169" s="38" t="s">
        <v>3477</v>
      </c>
      <c r="C169" s="37">
        <v>601058698</v>
      </c>
      <c r="D169" s="39" t="s">
        <v>3478</v>
      </c>
      <c r="E169" s="40">
        <v>3012062722316</v>
      </c>
      <c r="F169" s="37" t="s">
        <v>3479</v>
      </c>
      <c r="G169" s="37">
        <v>601</v>
      </c>
      <c r="H169" s="41" t="s">
        <v>1033</v>
      </c>
      <c r="I169" s="37" t="s">
        <v>3480</v>
      </c>
      <c r="J169" s="43" t="s">
        <v>3481</v>
      </c>
      <c r="K169" s="43" t="s">
        <v>3482</v>
      </c>
      <c r="L169" s="42" t="s">
        <v>3483</v>
      </c>
      <c r="M169" s="12">
        <f t="shared" si="3"/>
        <v>166</v>
      </c>
    </row>
    <row r="170" spans="1:13" ht="20.399999999999999" x14ac:dyDescent="0.25">
      <c r="A170" s="30">
        <v>167</v>
      </c>
      <c r="B170" s="38" t="s">
        <v>821</v>
      </c>
      <c r="C170" s="37">
        <v>191288011</v>
      </c>
      <c r="D170" s="39" t="s">
        <v>3336</v>
      </c>
      <c r="E170" s="40">
        <v>3012078941008</v>
      </c>
      <c r="F170" s="37" t="s">
        <v>3337</v>
      </c>
      <c r="G170" s="37"/>
      <c r="H170" s="41" t="s">
        <v>2906</v>
      </c>
      <c r="I170" s="37" t="s">
        <v>3338</v>
      </c>
      <c r="J170" s="42" t="s">
        <v>3339</v>
      </c>
      <c r="K170" s="43" t="s">
        <v>2901</v>
      </c>
      <c r="L170" s="42" t="s">
        <v>3340</v>
      </c>
      <c r="M170" s="12">
        <f t="shared" si="3"/>
        <v>167</v>
      </c>
    </row>
    <row r="171" spans="1:13" ht="30.6" x14ac:dyDescent="0.25">
      <c r="A171" s="30">
        <v>168</v>
      </c>
      <c r="B171" s="38" t="s">
        <v>3341</v>
      </c>
      <c r="C171" s="37">
        <v>690237156</v>
      </c>
      <c r="D171" s="39"/>
      <c r="E171" s="40">
        <v>3012095400001</v>
      </c>
      <c r="F171" s="37" t="s">
        <v>3342</v>
      </c>
      <c r="G171" s="37">
        <v>175</v>
      </c>
      <c r="H171" s="34" t="s">
        <v>2906</v>
      </c>
      <c r="I171" s="30" t="s">
        <v>3343</v>
      </c>
      <c r="J171" s="36" t="s">
        <v>3344</v>
      </c>
      <c r="K171" s="36" t="s">
        <v>2901</v>
      </c>
      <c r="L171" s="36" t="s">
        <v>3345</v>
      </c>
      <c r="M171" s="12">
        <f t="shared" si="3"/>
        <v>168</v>
      </c>
    </row>
    <row r="172" spans="1:13" ht="20.399999999999999" x14ac:dyDescent="0.25">
      <c r="A172" s="30">
        <v>169</v>
      </c>
      <c r="B172" s="30" t="s">
        <v>981</v>
      </c>
      <c r="C172" s="30">
        <v>101366890</v>
      </c>
      <c r="D172" s="32"/>
      <c r="E172" s="33">
        <v>3012000079469</v>
      </c>
      <c r="F172" s="30" t="s">
        <v>3346</v>
      </c>
      <c r="G172" s="30">
        <v>742</v>
      </c>
      <c r="H172" s="41" t="s">
        <v>464</v>
      </c>
      <c r="I172" s="37" t="s">
        <v>3347</v>
      </c>
      <c r="J172" s="43" t="s">
        <v>3348</v>
      </c>
      <c r="K172" s="43" t="s">
        <v>2901</v>
      </c>
      <c r="L172" s="42" t="s">
        <v>3349</v>
      </c>
      <c r="M172" s="12">
        <f t="shared" si="3"/>
        <v>169</v>
      </c>
    </row>
    <row r="173" spans="1:13" ht="40.799999999999997" x14ac:dyDescent="0.25">
      <c r="A173" s="30">
        <v>170</v>
      </c>
      <c r="B173" s="38" t="s">
        <v>3590</v>
      </c>
      <c r="C173" s="37">
        <v>691571317</v>
      </c>
      <c r="D173" s="39" t="s">
        <v>3350</v>
      </c>
      <c r="E173" s="40">
        <v>3012147460016</v>
      </c>
      <c r="F173" s="37" t="s">
        <v>3351</v>
      </c>
      <c r="G173" s="37">
        <v>117</v>
      </c>
      <c r="H173" s="34" t="s">
        <v>2906</v>
      </c>
      <c r="I173" s="30" t="s">
        <v>3352</v>
      </c>
      <c r="J173" s="36" t="s">
        <v>3353</v>
      </c>
      <c r="K173" s="36" t="s">
        <v>2901</v>
      </c>
      <c r="L173" s="36" t="s">
        <v>3354</v>
      </c>
      <c r="M173" s="12">
        <f t="shared" si="3"/>
        <v>170</v>
      </c>
    </row>
    <row r="174" spans="1:13" ht="30.6" x14ac:dyDescent="0.25">
      <c r="A174" s="30">
        <v>171</v>
      </c>
      <c r="B174" s="37" t="s">
        <v>3838</v>
      </c>
      <c r="C174" s="37">
        <v>191075936</v>
      </c>
      <c r="D174" s="39"/>
      <c r="E174" s="40">
        <v>3012019529017</v>
      </c>
      <c r="F174" s="37" t="s">
        <v>3362</v>
      </c>
      <c r="G174" s="37">
        <v>749</v>
      </c>
      <c r="H174" s="41" t="s">
        <v>464</v>
      </c>
      <c r="I174" s="37" t="s">
        <v>3363</v>
      </c>
      <c r="J174" s="43" t="s">
        <v>3364</v>
      </c>
      <c r="K174" s="43" t="s">
        <v>1084</v>
      </c>
      <c r="L174" s="43" t="s">
        <v>3365</v>
      </c>
      <c r="M174" s="12">
        <f t="shared" si="3"/>
        <v>171</v>
      </c>
    </row>
    <row r="175" spans="1:13" ht="40.799999999999997" x14ac:dyDescent="0.25">
      <c r="A175" s="30">
        <v>172</v>
      </c>
      <c r="B175" s="38" t="s">
        <v>224</v>
      </c>
      <c r="C175" s="37">
        <v>190304908</v>
      </c>
      <c r="D175" s="39" t="s">
        <v>3366</v>
      </c>
      <c r="E175" s="40">
        <v>3012001539019</v>
      </c>
      <c r="F175" s="37" t="s">
        <v>3367</v>
      </c>
      <c r="G175" s="37">
        <v>820</v>
      </c>
      <c r="H175" s="41" t="s">
        <v>3368</v>
      </c>
      <c r="I175" s="37" t="s">
        <v>763</v>
      </c>
      <c r="J175" s="42" t="s">
        <v>764</v>
      </c>
      <c r="K175" s="42" t="s">
        <v>765</v>
      </c>
      <c r="L175" s="42" t="s">
        <v>766</v>
      </c>
      <c r="M175" s="12">
        <f t="shared" si="3"/>
        <v>172</v>
      </c>
    </row>
    <row r="176" spans="1:13" ht="20.399999999999999" x14ac:dyDescent="0.25">
      <c r="A176" s="30">
        <v>173</v>
      </c>
      <c r="B176" s="38" t="s">
        <v>767</v>
      </c>
      <c r="C176" s="37">
        <v>190818729</v>
      </c>
      <c r="D176" s="39"/>
      <c r="E176" s="40">
        <v>3012010137047</v>
      </c>
      <c r="F176" s="37" t="s">
        <v>768</v>
      </c>
      <c r="G176" s="37">
        <v>749</v>
      </c>
      <c r="H176" s="41" t="s">
        <v>2906</v>
      </c>
      <c r="I176" s="37" t="s">
        <v>769</v>
      </c>
      <c r="J176" s="43" t="s">
        <v>770</v>
      </c>
      <c r="K176" s="43" t="s">
        <v>2901</v>
      </c>
      <c r="L176" s="42" t="s">
        <v>771</v>
      </c>
      <c r="M176" s="12">
        <f t="shared" si="3"/>
        <v>173</v>
      </c>
    </row>
    <row r="177" spans="1:13" ht="20.399999999999999" x14ac:dyDescent="0.25">
      <c r="A177" s="30">
        <v>174</v>
      </c>
      <c r="B177" s="38" t="s">
        <v>188</v>
      </c>
      <c r="C177" s="37">
        <v>190270596</v>
      </c>
      <c r="D177" s="39" t="s">
        <v>772</v>
      </c>
      <c r="E177" s="40">
        <v>3012100610018</v>
      </c>
      <c r="F177" s="37" t="s">
        <v>773</v>
      </c>
      <c r="G177" s="37">
        <v>117</v>
      </c>
      <c r="H177" s="41" t="s">
        <v>2906</v>
      </c>
      <c r="I177" s="37" t="s">
        <v>774</v>
      </c>
      <c r="J177" s="43" t="s">
        <v>776</v>
      </c>
      <c r="K177" s="43" t="s">
        <v>2901</v>
      </c>
      <c r="L177" s="42" t="s">
        <v>775</v>
      </c>
      <c r="M177" s="12">
        <f t="shared" si="3"/>
        <v>174</v>
      </c>
    </row>
    <row r="178" spans="1:13" ht="20.399999999999999" x14ac:dyDescent="0.25">
      <c r="A178" s="30">
        <v>175</v>
      </c>
      <c r="B178" s="38" t="s">
        <v>3220</v>
      </c>
      <c r="C178" s="37">
        <v>101371967</v>
      </c>
      <c r="D178" s="39" t="s">
        <v>777</v>
      </c>
      <c r="E178" s="40">
        <v>3012524021777</v>
      </c>
      <c r="F178" s="37" t="s">
        <v>780</v>
      </c>
      <c r="G178" s="37">
        <v>795</v>
      </c>
      <c r="H178" s="41" t="s">
        <v>3085</v>
      </c>
      <c r="I178" s="37" t="s">
        <v>778</v>
      </c>
      <c r="J178" s="42" t="s">
        <v>779</v>
      </c>
      <c r="K178" s="43" t="s">
        <v>2901</v>
      </c>
      <c r="L178" s="42" t="s">
        <v>781</v>
      </c>
      <c r="M178" s="12">
        <f t="shared" si="3"/>
        <v>175</v>
      </c>
    </row>
    <row r="179" spans="1:13" ht="30.6" x14ac:dyDescent="0.25">
      <c r="A179" s="30">
        <v>176</v>
      </c>
      <c r="B179" s="38" t="s">
        <v>3650</v>
      </c>
      <c r="C179" s="37">
        <v>600204179</v>
      </c>
      <c r="D179" s="39"/>
      <c r="E179" s="40">
        <v>3012062720608</v>
      </c>
      <c r="F179" s="37" t="s">
        <v>782</v>
      </c>
      <c r="G179" s="37">
        <v>601</v>
      </c>
      <c r="H179" s="41" t="s">
        <v>2906</v>
      </c>
      <c r="I179" s="37" t="s">
        <v>783</v>
      </c>
      <c r="J179" s="43" t="s">
        <v>784</v>
      </c>
      <c r="K179" s="43" t="s">
        <v>2901</v>
      </c>
      <c r="L179" s="42" t="s">
        <v>785</v>
      </c>
      <c r="M179" s="12">
        <f t="shared" si="3"/>
        <v>176</v>
      </c>
    </row>
    <row r="180" spans="1:13" ht="20.399999999999999" x14ac:dyDescent="0.25">
      <c r="A180" s="30">
        <v>177</v>
      </c>
      <c r="B180" s="38" t="s">
        <v>1644</v>
      </c>
      <c r="C180" s="37">
        <v>100315288</v>
      </c>
      <c r="D180" s="39" t="s">
        <v>786</v>
      </c>
      <c r="E180" s="40">
        <v>3012105376017</v>
      </c>
      <c r="F180" s="37" t="s">
        <v>1481</v>
      </c>
      <c r="G180" s="37">
        <v>331</v>
      </c>
      <c r="H180" s="41" t="s">
        <v>1151</v>
      </c>
      <c r="I180" s="37" t="s">
        <v>787</v>
      </c>
      <c r="J180" s="43" t="s">
        <v>788</v>
      </c>
      <c r="K180" s="43" t="s">
        <v>1482</v>
      </c>
      <c r="L180" s="42" t="s">
        <v>789</v>
      </c>
      <c r="M180" s="12">
        <f t="shared" si="3"/>
        <v>177</v>
      </c>
    </row>
    <row r="181" spans="1:13" ht="20.399999999999999" x14ac:dyDescent="0.25">
      <c r="A181" s="30">
        <v>178</v>
      </c>
      <c r="B181" s="38" t="s">
        <v>1656</v>
      </c>
      <c r="C181" s="37">
        <v>101439397</v>
      </c>
      <c r="D181" s="39" t="s">
        <v>790</v>
      </c>
      <c r="E181" s="40">
        <v>3012100020507</v>
      </c>
      <c r="F181" s="37" t="s">
        <v>791</v>
      </c>
      <c r="G181" s="37">
        <v>742</v>
      </c>
      <c r="H181" s="41" t="s">
        <v>464</v>
      </c>
      <c r="I181" s="37" t="s">
        <v>792</v>
      </c>
      <c r="J181" s="43" t="s">
        <v>793</v>
      </c>
      <c r="K181" s="43" t="s">
        <v>2901</v>
      </c>
      <c r="L181" s="42" t="s">
        <v>794</v>
      </c>
      <c r="M181" s="12">
        <f t="shared" si="3"/>
        <v>178</v>
      </c>
    </row>
    <row r="182" spans="1:13" ht="30.6" x14ac:dyDescent="0.25">
      <c r="A182" s="30">
        <v>179</v>
      </c>
      <c r="B182" s="38" t="s">
        <v>339</v>
      </c>
      <c r="C182" s="37">
        <v>690629013</v>
      </c>
      <c r="D182" s="39"/>
      <c r="E182" s="40">
        <v>3012036640018</v>
      </c>
      <c r="F182" s="37" t="s">
        <v>795</v>
      </c>
      <c r="G182" s="37">
        <v>815</v>
      </c>
      <c r="H182" s="41" t="s">
        <v>464</v>
      </c>
      <c r="I182" s="37" t="s">
        <v>796</v>
      </c>
      <c r="J182" s="43" t="s">
        <v>1368</v>
      </c>
      <c r="K182" s="425" t="s">
        <v>1736</v>
      </c>
      <c r="L182" s="42" t="s">
        <v>797</v>
      </c>
      <c r="M182" s="12">
        <f t="shared" si="3"/>
        <v>179</v>
      </c>
    </row>
    <row r="183" spans="1:13" ht="20.399999999999999" x14ac:dyDescent="0.25">
      <c r="A183" s="30">
        <v>180</v>
      </c>
      <c r="B183" s="38" t="s">
        <v>3627</v>
      </c>
      <c r="C183" s="37">
        <v>690027166</v>
      </c>
      <c r="D183" s="39" t="s">
        <v>1369</v>
      </c>
      <c r="E183" s="40">
        <v>301232960012</v>
      </c>
      <c r="F183" s="37" t="s">
        <v>1370</v>
      </c>
      <c r="G183" s="37">
        <v>117</v>
      </c>
      <c r="H183" s="41" t="s">
        <v>464</v>
      </c>
      <c r="I183" s="37" t="s">
        <v>1371</v>
      </c>
      <c r="J183" s="42" t="s">
        <v>1372</v>
      </c>
      <c r="K183" s="43" t="s">
        <v>1373</v>
      </c>
      <c r="L183" s="42" t="s">
        <v>1374</v>
      </c>
      <c r="M183" s="12">
        <f t="shared" si="3"/>
        <v>180</v>
      </c>
    </row>
    <row r="184" spans="1:13" ht="30.6" x14ac:dyDescent="0.25">
      <c r="A184" s="30">
        <v>181</v>
      </c>
      <c r="B184" s="38" t="s">
        <v>1375</v>
      </c>
      <c r="C184" s="37">
        <v>191131834</v>
      </c>
      <c r="D184" s="39"/>
      <c r="E184" s="40">
        <v>3012765730004</v>
      </c>
      <c r="F184" s="37" t="s">
        <v>1376</v>
      </c>
      <c r="G184" s="37">
        <v>765</v>
      </c>
      <c r="H184" s="41" t="s">
        <v>464</v>
      </c>
      <c r="I184" s="37" t="s">
        <v>1378</v>
      </c>
      <c r="J184" s="43" t="s">
        <v>1379</v>
      </c>
      <c r="K184" s="43" t="s">
        <v>2901</v>
      </c>
      <c r="L184" s="42" t="s">
        <v>1377</v>
      </c>
      <c r="M184" s="12">
        <f t="shared" si="3"/>
        <v>181</v>
      </c>
    </row>
    <row r="185" spans="1:13" ht="20.399999999999999" x14ac:dyDescent="0.25">
      <c r="A185" s="30">
        <v>182</v>
      </c>
      <c r="B185" s="31" t="s">
        <v>1383</v>
      </c>
      <c r="C185" s="30">
        <v>100129695</v>
      </c>
      <c r="D185" s="32"/>
      <c r="E185" s="33">
        <v>3012007513019</v>
      </c>
      <c r="F185" s="30" t="s">
        <v>1380</v>
      </c>
      <c r="G185" s="30">
        <v>749</v>
      </c>
      <c r="H185" s="34" t="s">
        <v>1458</v>
      </c>
      <c r="I185" s="30" t="s">
        <v>1381</v>
      </c>
      <c r="J185" s="36" t="s">
        <v>1456</v>
      </c>
      <c r="K185" s="36" t="s">
        <v>1457</v>
      </c>
      <c r="L185" s="35" t="s">
        <v>1382</v>
      </c>
      <c r="M185" s="12">
        <f t="shared" si="3"/>
        <v>182</v>
      </c>
    </row>
    <row r="186" spans="1:13" ht="20.399999999999999" x14ac:dyDescent="0.25">
      <c r="A186" s="30">
        <v>183</v>
      </c>
      <c r="B186" s="38" t="s">
        <v>209</v>
      </c>
      <c r="C186" s="37">
        <v>191118996</v>
      </c>
      <c r="D186" s="39" t="s">
        <v>1384</v>
      </c>
      <c r="E186" s="40" t="s">
        <v>4006</v>
      </c>
      <c r="F186" s="37" t="s">
        <v>1385</v>
      </c>
      <c r="G186" s="37" t="s">
        <v>4007</v>
      </c>
      <c r="H186" s="41" t="s">
        <v>2906</v>
      </c>
      <c r="I186" s="37" t="s">
        <v>1386</v>
      </c>
      <c r="J186" s="42" t="s">
        <v>1387</v>
      </c>
      <c r="K186" s="43" t="s">
        <v>2901</v>
      </c>
      <c r="L186" s="42" t="s">
        <v>4008</v>
      </c>
      <c r="M186" s="12">
        <f t="shared" si="3"/>
        <v>183</v>
      </c>
    </row>
    <row r="187" spans="1:13" ht="20.399999999999999" x14ac:dyDescent="0.25">
      <c r="A187" s="30">
        <v>184</v>
      </c>
      <c r="B187" s="38" t="s">
        <v>1393</v>
      </c>
      <c r="C187" s="37">
        <v>101026338</v>
      </c>
      <c r="D187" s="39" t="s">
        <v>1388</v>
      </c>
      <c r="E187" s="40">
        <v>3632633300008</v>
      </c>
      <c r="F187" s="37" t="s">
        <v>1389</v>
      </c>
      <c r="G187" s="37">
        <v>254</v>
      </c>
      <c r="H187" s="41" t="s">
        <v>2906</v>
      </c>
      <c r="I187" s="37" t="s">
        <v>1390</v>
      </c>
      <c r="J187" s="43" t="s">
        <v>1391</v>
      </c>
      <c r="K187" s="43" t="s">
        <v>2901</v>
      </c>
      <c r="L187" s="42" t="s">
        <v>1392</v>
      </c>
      <c r="M187" s="12">
        <f t="shared" si="3"/>
        <v>184</v>
      </c>
    </row>
    <row r="188" spans="1:13" ht="30.6" x14ac:dyDescent="0.25">
      <c r="A188" s="30">
        <v>185</v>
      </c>
      <c r="B188" s="38" t="s">
        <v>1394</v>
      </c>
      <c r="C188" s="37">
        <v>691771928</v>
      </c>
      <c r="D188" s="39"/>
      <c r="E188" s="40">
        <v>3012217088005</v>
      </c>
      <c r="F188" s="37" t="s">
        <v>1395</v>
      </c>
      <c r="G188" s="37">
        <v>270</v>
      </c>
      <c r="H188" s="34" t="s">
        <v>464</v>
      </c>
      <c r="I188" s="30" t="s">
        <v>1396</v>
      </c>
      <c r="J188" s="36" t="s">
        <v>1397</v>
      </c>
      <c r="K188" s="36" t="s">
        <v>2901</v>
      </c>
      <c r="L188" s="35" t="s">
        <v>1398</v>
      </c>
      <c r="M188" s="12">
        <f t="shared" si="3"/>
        <v>185</v>
      </c>
    </row>
    <row r="189" spans="1:13" ht="30.6" x14ac:dyDescent="0.25">
      <c r="A189" s="30">
        <v>186</v>
      </c>
      <c r="B189" s="38" t="s">
        <v>1906</v>
      </c>
      <c r="C189" s="37">
        <v>690250660</v>
      </c>
      <c r="D189" s="39"/>
      <c r="E189" s="40">
        <v>3012307620025</v>
      </c>
      <c r="F189" s="37" t="s">
        <v>1399</v>
      </c>
      <c r="G189" s="37">
        <v>108</v>
      </c>
      <c r="H189" s="41" t="s">
        <v>464</v>
      </c>
      <c r="I189" s="37" t="s">
        <v>1400</v>
      </c>
      <c r="J189" s="42" t="s">
        <v>1401</v>
      </c>
      <c r="K189" s="43" t="s">
        <v>2901</v>
      </c>
      <c r="L189" s="42" t="s">
        <v>1402</v>
      </c>
      <c r="M189" s="12">
        <f t="shared" si="3"/>
        <v>186</v>
      </c>
    </row>
    <row r="190" spans="1:13" ht="20.399999999999999" x14ac:dyDescent="0.25">
      <c r="A190" s="30">
        <v>187</v>
      </c>
      <c r="B190" s="38" t="s">
        <v>1919</v>
      </c>
      <c r="C190" s="37">
        <v>100179084</v>
      </c>
      <c r="D190" s="39"/>
      <c r="E190" s="40">
        <v>3012035750013</v>
      </c>
      <c r="F190" s="37" t="s">
        <v>1403</v>
      </c>
      <c r="G190" s="37">
        <v>815</v>
      </c>
      <c r="H190" s="41" t="s">
        <v>464</v>
      </c>
      <c r="I190" s="37" t="s">
        <v>1404</v>
      </c>
      <c r="J190" s="42" t="s">
        <v>1405</v>
      </c>
      <c r="K190" s="43" t="s">
        <v>2901</v>
      </c>
      <c r="L190" s="42" t="s">
        <v>1406</v>
      </c>
      <c r="M190" s="12">
        <f t="shared" si="3"/>
        <v>187</v>
      </c>
    </row>
    <row r="191" spans="1:13" ht="30.6" x14ac:dyDescent="0.25">
      <c r="A191" s="30">
        <v>188</v>
      </c>
      <c r="B191" s="38" t="s">
        <v>2826</v>
      </c>
      <c r="C191" s="37">
        <v>101117856</v>
      </c>
      <c r="D191" s="39" t="s">
        <v>1407</v>
      </c>
      <c r="E191" s="40">
        <v>3012038620011</v>
      </c>
      <c r="F191" s="37" t="s">
        <v>1408</v>
      </c>
      <c r="G191" s="37">
        <v>117</v>
      </c>
      <c r="H191" s="41" t="s">
        <v>2906</v>
      </c>
      <c r="I191" s="37" t="s">
        <v>1409</v>
      </c>
      <c r="J191" s="42" t="s">
        <v>1410</v>
      </c>
      <c r="K191" s="43" t="s">
        <v>2901</v>
      </c>
      <c r="L191" s="42" t="s">
        <v>1411</v>
      </c>
      <c r="M191" s="12">
        <f t="shared" si="3"/>
        <v>188</v>
      </c>
    </row>
    <row r="192" spans="1:13" ht="20.399999999999999" x14ac:dyDescent="0.25">
      <c r="A192" s="30">
        <v>189</v>
      </c>
      <c r="B192" s="38" t="s">
        <v>1412</v>
      </c>
      <c r="C192" s="37">
        <v>191761646</v>
      </c>
      <c r="D192" s="39" t="s">
        <v>1413</v>
      </c>
      <c r="E192" s="40">
        <v>3012203800015</v>
      </c>
      <c r="F192" s="37" t="s">
        <v>1414</v>
      </c>
      <c r="G192" s="37">
        <v>117</v>
      </c>
      <c r="H192" s="34" t="s">
        <v>464</v>
      </c>
      <c r="I192" s="30" t="s">
        <v>1415</v>
      </c>
      <c r="J192" s="36" t="s">
        <v>1416</v>
      </c>
      <c r="K192" s="36" t="s">
        <v>2901</v>
      </c>
      <c r="L192" s="36" t="s">
        <v>1417</v>
      </c>
      <c r="M192" s="12">
        <f t="shared" si="3"/>
        <v>189</v>
      </c>
    </row>
    <row r="193" spans="1:13" ht="20.399999999999999" x14ac:dyDescent="0.25">
      <c r="A193" s="30">
        <v>190</v>
      </c>
      <c r="B193" s="38" t="s">
        <v>1419</v>
      </c>
      <c r="C193" s="37">
        <v>192629271</v>
      </c>
      <c r="D193" s="39"/>
      <c r="E193" s="40">
        <v>3012000094893</v>
      </c>
      <c r="F193" s="37" t="s">
        <v>1420</v>
      </c>
      <c r="G193" s="37">
        <v>742</v>
      </c>
      <c r="H193" s="41" t="s">
        <v>464</v>
      </c>
      <c r="I193" s="37" t="s">
        <v>1422</v>
      </c>
      <c r="J193" s="43" t="s">
        <v>1421</v>
      </c>
      <c r="K193" s="43" t="s">
        <v>2901</v>
      </c>
      <c r="L193" s="42" t="s">
        <v>1423</v>
      </c>
      <c r="M193" s="12">
        <f t="shared" si="3"/>
        <v>190</v>
      </c>
    </row>
    <row r="194" spans="1:13" ht="30.6" x14ac:dyDescent="0.25">
      <c r="A194" s="30">
        <v>191</v>
      </c>
      <c r="B194" s="31" t="s">
        <v>1424</v>
      </c>
      <c r="C194" s="30">
        <v>190819978</v>
      </c>
      <c r="D194" s="32" t="s">
        <v>1425</v>
      </c>
      <c r="E194" s="33">
        <v>3012009978115</v>
      </c>
      <c r="F194" s="30" t="s">
        <v>1426</v>
      </c>
      <c r="G194" s="30">
        <v>749</v>
      </c>
      <c r="H194" s="41" t="s">
        <v>464</v>
      </c>
      <c r="I194" s="37" t="s">
        <v>1427</v>
      </c>
      <c r="J194" s="43" t="s">
        <v>1428</v>
      </c>
      <c r="K194" s="43" t="s">
        <v>2901</v>
      </c>
      <c r="L194" s="42" t="s">
        <v>1429</v>
      </c>
      <c r="M194" s="12">
        <f t="shared" si="3"/>
        <v>191</v>
      </c>
    </row>
    <row r="195" spans="1:13" ht="20.399999999999999" x14ac:dyDescent="0.25">
      <c r="A195" s="30">
        <v>192</v>
      </c>
      <c r="B195" s="38" t="s">
        <v>2668</v>
      </c>
      <c r="C195" s="37">
        <v>191428080</v>
      </c>
      <c r="D195" s="39"/>
      <c r="E195" s="40">
        <v>3012036912014</v>
      </c>
      <c r="F195" s="37" t="s">
        <v>1430</v>
      </c>
      <c r="G195" s="37">
        <v>749</v>
      </c>
      <c r="H195" s="41" t="s">
        <v>464</v>
      </c>
      <c r="I195" s="37" t="s">
        <v>1433</v>
      </c>
      <c r="J195" s="42" t="s">
        <v>1431</v>
      </c>
      <c r="K195" s="43" t="s">
        <v>1228</v>
      </c>
      <c r="L195" s="42" t="s">
        <v>1432</v>
      </c>
      <c r="M195" s="12">
        <f t="shared" si="3"/>
        <v>192</v>
      </c>
    </row>
    <row r="196" spans="1:13" ht="20.399999999999999" x14ac:dyDescent="0.25">
      <c r="A196" s="30">
        <v>193</v>
      </c>
      <c r="B196" s="38" t="s">
        <v>421</v>
      </c>
      <c r="C196" s="37">
        <v>808000701</v>
      </c>
      <c r="D196" s="39"/>
      <c r="E196" s="40">
        <v>3012004407014</v>
      </c>
      <c r="F196" s="37" t="s">
        <v>1434</v>
      </c>
      <c r="G196" s="37">
        <v>749</v>
      </c>
      <c r="H196" s="41" t="s">
        <v>2906</v>
      </c>
      <c r="I196" s="37" t="s">
        <v>1437</v>
      </c>
      <c r="J196" s="42" t="s">
        <v>1435</v>
      </c>
      <c r="K196" s="43" t="s">
        <v>2901</v>
      </c>
      <c r="L196" s="42" t="s">
        <v>1436</v>
      </c>
      <c r="M196" s="12">
        <f t="shared" si="3"/>
        <v>193</v>
      </c>
    </row>
    <row r="197" spans="1:13" ht="20.399999999999999" x14ac:dyDescent="0.25">
      <c r="A197" s="30">
        <v>194</v>
      </c>
      <c r="B197" s="38" t="s">
        <v>1438</v>
      </c>
      <c r="C197" s="37">
        <v>101309873</v>
      </c>
      <c r="D197" s="39"/>
      <c r="E197" s="40">
        <v>3015001481008</v>
      </c>
      <c r="F197" s="37" t="s">
        <v>1439</v>
      </c>
      <c r="G197" s="37">
        <v>755</v>
      </c>
      <c r="H197" s="41" t="s">
        <v>1440</v>
      </c>
      <c r="I197" s="37" t="s">
        <v>1441</v>
      </c>
      <c r="J197" s="42" t="s">
        <v>1442</v>
      </c>
      <c r="K197" s="43" t="s">
        <v>2901</v>
      </c>
      <c r="L197" s="42" t="s">
        <v>1443</v>
      </c>
      <c r="M197" s="12">
        <f t="shared" ref="M197:M260" si="4">ROW()-3</f>
        <v>194</v>
      </c>
    </row>
    <row r="198" spans="1:13" ht="30.6" x14ac:dyDescent="0.25">
      <c r="A198" s="30">
        <v>195</v>
      </c>
      <c r="B198" s="38" t="s">
        <v>1444</v>
      </c>
      <c r="C198" s="37">
        <v>191426884</v>
      </c>
      <c r="D198" s="39" t="s">
        <v>1445</v>
      </c>
      <c r="E198" s="40">
        <v>3012100793015</v>
      </c>
      <c r="F198" s="37" t="s">
        <v>1446</v>
      </c>
      <c r="G198" s="37">
        <v>369</v>
      </c>
      <c r="H198" s="41" t="s">
        <v>1245</v>
      </c>
      <c r="I198" s="37" t="s">
        <v>1447</v>
      </c>
      <c r="J198" s="42" t="s">
        <v>1449</v>
      </c>
      <c r="K198" s="43" t="s">
        <v>1450</v>
      </c>
      <c r="L198" s="43" t="s">
        <v>1448</v>
      </c>
      <c r="M198" s="12">
        <f t="shared" si="4"/>
        <v>195</v>
      </c>
    </row>
    <row r="199" spans="1:13" ht="20.399999999999999" x14ac:dyDescent="0.25">
      <c r="A199" s="30">
        <v>196</v>
      </c>
      <c r="B199" s="38" t="s">
        <v>892</v>
      </c>
      <c r="C199" s="37">
        <v>100390954</v>
      </c>
      <c r="D199" s="39" t="s">
        <v>1451</v>
      </c>
      <c r="E199" s="40">
        <v>3012100228014</v>
      </c>
      <c r="F199" s="37" t="s">
        <v>1452</v>
      </c>
      <c r="G199" s="37">
        <v>369</v>
      </c>
      <c r="H199" s="41" t="s">
        <v>2906</v>
      </c>
      <c r="I199" s="37" t="s">
        <v>1453</v>
      </c>
      <c r="J199" s="43" t="s">
        <v>1454</v>
      </c>
      <c r="K199" s="43" t="s">
        <v>2901</v>
      </c>
      <c r="L199" s="42" t="s">
        <v>1455</v>
      </c>
      <c r="M199" s="12">
        <f t="shared" si="4"/>
        <v>196</v>
      </c>
    </row>
    <row r="200" spans="1:13" ht="40.799999999999997" x14ac:dyDescent="0.25">
      <c r="A200" s="30">
        <v>197</v>
      </c>
      <c r="B200" s="38" t="s">
        <v>3099</v>
      </c>
      <c r="C200" s="37">
        <v>690397548</v>
      </c>
      <c r="D200" s="39" t="s">
        <v>1460</v>
      </c>
      <c r="E200" s="40">
        <v>3012210890010</v>
      </c>
      <c r="F200" s="37" t="s">
        <v>1461</v>
      </c>
      <c r="G200" s="37">
        <v>942</v>
      </c>
      <c r="H200" s="41" t="s">
        <v>464</v>
      </c>
      <c r="I200" s="37" t="s">
        <v>1462</v>
      </c>
      <c r="J200" s="42" t="s">
        <v>1463</v>
      </c>
      <c r="K200" s="43" t="s">
        <v>2901</v>
      </c>
      <c r="L200" s="42" t="s">
        <v>1464</v>
      </c>
      <c r="M200" s="12">
        <f t="shared" si="4"/>
        <v>197</v>
      </c>
    </row>
    <row r="201" spans="1:13" ht="30.6" x14ac:dyDescent="0.25">
      <c r="A201" s="30">
        <v>198</v>
      </c>
      <c r="B201" s="31" t="s">
        <v>1471</v>
      </c>
      <c r="C201" s="30">
        <v>100320382</v>
      </c>
      <c r="D201" s="32" t="s">
        <v>1465</v>
      </c>
      <c r="E201" s="33">
        <v>3012208210018</v>
      </c>
      <c r="F201" s="30" t="s">
        <v>1466</v>
      </c>
      <c r="G201" s="30">
        <v>800</v>
      </c>
      <c r="H201" s="34" t="s">
        <v>1467</v>
      </c>
      <c r="I201" s="30" t="s">
        <v>1468</v>
      </c>
      <c r="J201" s="35" t="s">
        <v>1469</v>
      </c>
      <c r="K201" s="36" t="s">
        <v>1470</v>
      </c>
      <c r="L201" s="35"/>
      <c r="M201" s="12">
        <f t="shared" si="4"/>
        <v>198</v>
      </c>
    </row>
    <row r="202" spans="1:13" ht="40.799999999999997" x14ac:dyDescent="0.25">
      <c r="A202" s="30">
        <v>199</v>
      </c>
      <c r="B202" s="38" t="s">
        <v>3582</v>
      </c>
      <c r="C202" s="37">
        <v>100338635</v>
      </c>
      <c r="D202" s="39" t="s">
        <v>1472</v>
      </c>
      <c r="E202" s="40">
        <v>3012000024013</v>
      </c>
      <c r="F202" s="37" t="s">
        <v>1473</v>
      </c>
      <c r="G202" s="37">
        <v>749</v>
      </c>
      <c r="H202" s="41" t="s">
        <v>464</v>
      </c>
      <c r="I202" s="37" t="s">
        <v>1474</v>
      </c>
      <c r="J202" s="43" t="s">
        <v>1476</v>
      </c>
      <c r="K202" s="43" t="s">
        <v>2901</v>
      </c>
      <c r="L202" s="42" t="s">
        <v>1475</v>
      </c>
      <c r="M202" s="12">
        <f t="shared" si="4"/>
        <v>199</v>
      </c>
    </row>
    <row r="203" spans="1:13" x14ac:dyDescent="0.25">
      <c r="A203" s="30">
        <v>200</v>
      </c>
      <c r="B203" s="38" t="s">
        <v>226</v>
      </c>
      <c r="C203" s="37">
        <v>190654467</v>
      </c>
      <c r="D203" s="39"/>
      <c r="E203" s="40">
        <v>3012013730014</v>
      </c>
      <c r="F203" s="37" t="s">
        <v>1480</v>
      </c>
      <c r="G203" s="37">
        <v>117</v>
      </c>
      <c r="H203" s="41" t="s">
        <v>2906</v>
      </c>
      <c r="I203" s="37" t="s">
        <v>1477</v>
      </c>
      <c r="J203" s="43" t="s">
        <v>1478</v>
      </c>
      <c r="K203" s="43" t="s">
        <v>2901</v>
      </c>
      <c r="L203" s="42" t="s">
        <v>1479</v>
      </c>
      <c r="M203" s="12">
        <f t="shared" si="4"/>
        <v>200</v>
      </c>
    </row>
    <row r="204" spans="1:13" ht="20.399999999999999" x14ac:dyDescent="0.25">
      <c r="A204" s="30">
        <v>201</v>
      </c>
      <c r="B204" s="31" t="s">
        <v>3605</v>
      </c>
      <c r="C204" s="30">
        <v>190398861</v>
      </c>
      <c r="D204" s="32" t="s">
        <v>1483</v>
      </c>
      <c r="E204" s="33">
        <v>3012005994018</v>
      </c>
      <c r="F204" s="30" t="s">
        <v>1484</v>
      </c>
      <c r="G204" s="30">
        <v>749</v>
      </c>
      <c r="H204" s="34" t="s">
        <v>464</v>
      </c>
      <c r="I204" s="30" t="s">
        <v>1485</v>
      </c>
      <c r="J204" s="36" t="s">
        <v>1486</v>
      </c>
      <c r="K204" s="36" t="s">
        <v>2901</v>
      </c>
      <c r="L204" s="35" t="s">
        <v>1487</v>
      </c>
      <c r="M204" s="12">
        <f t="shared" si="4"/>
        <v>201</v>
      </c>
    </row>
    <row r="205" spans="1:13" ht="30.6" x14ac:dyDescent="0.25">
      <c r="A205" s="30">
        <v>202</v>
      </c>
      <c r="B205" s="38" t="s">
        <v>893</v>
      </c>
      <c r="C205" s="37">
        <v>691535129</v>
      </c>
      <c r="D205" s="39" t="s">
        <v>1488</v>
      </c>
      <c r="E205" s="40">
        <v>3012008811007</v>
      </c>
      <c r="F205" s="37" t="s">
        <v>1489</v>
      </c>
      <c r="G205" s="37">
        <v>175</v>
      </c>
      <c r="H205" s="41" t="s">
        <v>464</v>
      </c>
      <c r="I205" s="37" t="s">
        <v>1490</v>
      </c>
      <c r="J205" s="42" t="s">
        <v>1491</v>
      </c>
      <c r="K205" s="43" t="s">
        <v>2901</v>
      </c>
      <c r="L205" s="42" t="s">
        <v>1492</v>
      </c>
      <c r="M205" s="12">
        <f t="shared" si="4"/>
        <v>202</v>
      </c>
    </row>
    <row r="206" spans="1:13" ht="20.399999999999999" x14ac:dyDescent="0.25">
      <c r="A206" s="30">
        <v>203</v>
      </c>
      <c r="B206" s="38" t="s">
        <v>815</v>
      </c>
      <c r="C206" s="37">
        <v>100115154</v>
      </c>
      <c r="D206" s="39" t="s">
        <v>1493</v>
      </c>
      <c r="E206" s="40">
        <v>3012000032877</v>
      </c>
      <c r="F206" s="37" t="s">
        <v>1158</v>
      </c>
      <c r="G206" s="37">
        <v>603</v>
      </c>
      <c r="H206" s="41" t="s">
        <v>464</v>
      </c>
      <c r="I206" s="37" t="s">
        <v>1494</v>
      </c>
      <c r="J206" s="42" t="s">
        <v>1520</v>
      </c>
      <c r="K206" s="43" t="s">
        <v>2901</v>
      </c>
      <c r="L206" s="42" t="s">
        <v>1495</v>
      </c>
      <c r="M206" s="12">
        <f t="shared" si="4"/>
        <v>203</v>
      </c>
    </row>
    <row r="207" spans="1:13" ht="51" x14ac:dyDescent="0.25">
      <c r="A207" s="30">
        <v>204</v>
      </c>
      <c r="B207" s="38" t="s">
        <v>1623</v>
      </c>
      <c r="C207" s="37">
        <v>691422903</v>
      </c>
      <c r="D207" s="39"/>
      <c r="E207" s="40">
        <v>3012180672013</v>
      </c>
      <c r="F207" s="37" t="s">
        <v>1496</v>
      </c>
      <c r="G207" s="37">
        <v>226</v>
      </c>
      <c r="H207" s="41" t="s">
        <v>1497</v>
      </c>
      <c r="I207" s="37" t="s">
        <v>1509</v>
      </c>
      <c r="J207" s="42" t="s">
        <v>1498</v>
      </c>
      <c r="K207" s="43" t="s">
        <v>2901</v>
      </c>
      <c r="L207" s="42" t="s">
        <v>1510</v>
      </c>
      <c r="M207" s="12">
        <f t="shared" si="4"/>
        <v>204</v>
      </c>
    </row>
    <row r="208" spans="1:13" ht="20.399999999999999" x14ac:dyDescent="0.25">
      <c r="A208" s="30">
        <v>205</v>
      </c>
      <c r="B208" s="38" t="s">
        <v>1499</v>
      </c>
      <c r="C208" s="37">
        <v>190288096</v>
      </c>
      <c r="D208" s="39"/>
      <c r="E208" s="40">
        <v>3012900280006</v>
      </c>
      <c r="F208" s="37" t="s">
        <v>3002</v>
      </c>
      <c r="G208" s="37">
        <v>182</v>
      </c>
      <c r="H208" s="34" t="s">
        <v>1500</v>
      </c>
      <c r="I208" s="30" t="s">
        <v>1501</v>
      </c>
      <c r="J208" s="36" t="s">
        <v>1502</v>
      </c>
      <c r="K208" s="36" t="s">
        <v>2901</v>
      </c>
      <c r="L208" s="35" t="s">
        <v>1511</v>
      </c>
      <c r="M208" s="12">
        <f t="shared" si="4"/>
        <v>205</v>
      </c>
    </row>
    <row r="209" spans="1:13" ht="30.6" x14ac:dyDescent="0.25">
      <c r="A209" s="30">
        <v>206</v>
      </c>
      <c r="B209" s="31" t="s">
        <v>1503</v>
      </c>
      <c r="C209" s="30">
        <v>690655067</v>
      </c>
      <c r="D209" s="32" t="s">
        <v>1504</v>
      </c>
      <c r="E209" s="33">
        <v>3012052670012</v>
      </c>
      <c r="F209" s="30" t="s">
        <v>1508</v>
      </c>
      <c r="G209" s="30">
        <v>272</v>
      </c>
      <c r="H209" s="41" t="s">
        <v>1500</v>
      </c>
      <c r="I209" s="37" t="s">
        <v>1505</v>
      </c>
      <c r="J209" s="43" t="s">
        <v>1506</v>
      </c>
      <c r="K209" s="43" t="s">
        <v>2901</v>
      </c>
      <c r="L209" s="42" t="s">
        <v>1507</v>
      </c>
      <c r="M209" s="12">
        <f t="shared" si="4"/>
        <v>206</v>
      </c>
    </row>
    <row r="210" spans="1:13" ht="30.6" x14ac:dyDescent="0.25">
      <c r="A210" s="30">
        <v>207</v>
      </c>
      <c r="B210" s="38" t="s">
        <v>70</v>
      </c>
      <c r="C210" s="37">
        <v>600048566</v>
      </c>
      <c r="D210" s="39" t="s">
        <v>1513</v>
      </c>
      <c r="E210" s="40">
        <v>3012158320013</v>
      </c>
      <c r="F210" s="37" t="s">
        <v>1519</v>
      </c>
      <c r="G210" s="37">
        <v>614</v>
      </c>
      <c r="H210" s="41" t="s">
        <v>1514</v>
      </c>
      <c r="I210" s="37" t="s">
        <v>1515</v>
      </c>
      <c r="J210" s="43" t="s">
        <v>1516</v>
      </c>
      <c r="K210" s="42" t="s">
        <v>1517</v>
      </c>
      <c r="L210" s="42" t="s">
        <v>1518</v>
      </c>
      <c r="M210" s="12">
        <f t="shared" si="4"/>
        <v>207</v>
      </c>
    </row>
    <row r="211" spans="1:13" ht="20.399999999999999" x14ac:dyDescent="0.25">
      <c r="A211" s="30">
        <v>208</v>
      </c>
      <c r="B211" s="38" t="s">
        <v>1309</v>
      </c>
      <c r="C211" s="37" t="s">
        <v>3993</v>
      </c>
      <c r="D211" s="39" t="s">
        <v>1521</v>
      </c>
      <c r="E211" s="40" t="s">
        <v>3994</v>
      </c>
      <c r="F211" s="37" t="s">
        <v>3996</v>
      </c>
      <c r="G211" s="37" t="s">
        <v>3995</v>
      </c>
      <c r="H211" s="41" t="s">
        <v>2906</v>
      </c>
      <c r="I211" s="37" t="s">
        <v>1522</v>
      </c>
      <c r="J211" s="43" t="s">
        <v>1523</v>
      </c>
      <c r="K211" s="43" t="s">
        <v>1308</v>
      </c>
      <c r="L211" s="42" t="s">
        <v>3997</v>
      </c>
      <c r="M211" s="12">
        <f t="shared" si="4"/>
        <v>208</v>
      </c>
    </row>
    <row r="212" spans="1:13" ht="40.799999999999997" x14ac:dyDescent="0.25">
      <c r="A212" s="30">
        <v>209</v>
      </c>
      <c r="B212" s="37" t="s">
        <v>3862</v>
      </c>
      <c r="C212" s="37">
        <v>601058802</v>
      </c>
      <c r="D212" s="39" t="s">
        <v>1860</v>
      </c>
      <c r="E212" s="40">
        <v>3012116570010</v>
      </c>
      <c r="F212" s="37" t="s">
        <v>1861</v>
      </c>
      <c r="G212" s="37">
        <v>601</v>
      </c>
      <c r="H212" s="34" t="s">
        <v>464</v>
      </c>
      <c r="I212" s="30" t="s">
        <v>1862</v>
      </c>
      <c r="J212" s="36" t="s">
        <v>1863</v>
      </c>
      <c r="K212" s="36" t="s">
        <v>1864</v>
      </c>
      <c r="L212" s="35" t="s">
        <v>1865</v>
      </c>
      <c r="M212" s="12">
        <f t="shared" si="4"/>
        <v>209</v>
      </c>
    </row>
    <row r="213" spans="1:13" ht="40.799999999999997" x14ac:dyDescent="0.25">
      <c r="A213" s="30">
        <v>210</v>
      </c>
      <c r="B213" s="30" t="s">
        <v>1868</v>
      </c>
      <c r="C213" s="30">
        <v>192320449</v>
      </c>
      <c r="D213" s="32"/>
      <c r="E213" s="33">
        <v>3012230530010</v>
      </c>
      <c r="F213" s="30" t="s">
        <v>1869</v>
      </c>
      <c r="G213" s="30">
        <v>963</v>
      </c>
      <c r="H213" s="41" t="s">
        <v>464</v>
      </c>
      <c r="I213" s="37" t="s">
        <v>1870</v>
      </c>
      <c r="J213" s="43" t="s">
        <v>1871</v>
      </c>
      <c r="K213" s="43" t="s">
        <v>2901</v>
      </c>
      <c r="L213" s="43" t="s">
        <v>1872</v>
      </c>
      <c r="M213" s="12">
        <f t="shared" si="4"/>
        <v>210</v>
      </c>
    </row>
    <row r="214" spans="1:13" ht="30.6" x14ac:dyDescent="0.25">
      <c r="A214" s="30">
        <v>211</v>
      </c>
      <c r="B214" s="38" t="s">
        <v>1873</v>
      </c>
      <c r="C214" s="37">
        <v>192643343</v>
      </c>
      <c r="D214" s="39" t="s">
        <v>1874</v>
      </c>
      <c r="E214" s="40">
        <v>3012648580017</v>
      </c>
      <c r="F214" s="37" t="s">
        <v>1875</v>
      </c>
      <c r="G214" s="37">
        <v>739</v>
      </c>
      <c r="H214" s="34" t="s">
        <v>2906</v>
      </c>
      <c r="I214" s="30" t="s">
        <v>1876</v>
      </c>
      <c r="J214" s="36" t="s">
        <v>1877</v>
      </c>
      <c r="K214" s="36" t="s">
        <v>2901</v>
      </c>
      <c r="L214" s="35" t="s">
        <v>1878</v>
      </c>
      <c r="M214" s="12">
        <f t="shared" si="4"/>
        <v>211</v>
      </c>
    </row>
    <row r="215" spans="1:13" ht="30.6" x14ac:dyDescent="0.25">
      <c r="A215" s="30">
        <v>212</v>
      </c>
      <c r="B215" s="38" t="s">
        <v>1879</v>
      </c>
      <c r="C215" s="37">
        <v>291232873</v>
      </c>
      <c r="D215" s="39"/>
      <c r="E215" s="40">
        <v>3012522339013</v>
      </c>
      <c r="F215" s="37" t="s">
        <v>1880</v>
      </c>
      <c r="G215" s="37">
        <v>749</v>
      </c>
      <c r="H215" s="41" t="s">
        <v>464</v>
      </c>
      <c r="I215" s="37" t="s">
        <v>1881</v>
      </c>
      <c r="J215" s="43" t="s">
        <v>1882</v>
      </c>
      <c r="K215" s="43" t="s">
        <v>2901</v>
      </c>
      <c r="L215" s="42" t="s">
        <v>1883</v>
      </c>
      <c r="M215" s="12">
        <f t="shared" si="4"/>
        <v>212</v>
      </c>
    </row>
    <row r="216" spans="1:13" ht="30.6" x14ac:dyDescent="0.25">
      <c r="A216" s="30">
        <v>213</v>
      </c>
      <c r="B216" s="31" t="s">
        <v>1889</v>
      </c>
      <c r="C216" s="30">
        <v>191750982</v>
      </c>
      <c r="D216" s="32" t="s">
        <v>1884</v>
      </c>
      <c r="E216" s="33">
        <v>3012158874016</v>
      </c>
      <c r="F216" s="30" t="s">
        <v>1887</v>
      </c>
      <c r="G216" s="30">
        <v>369</v>
      </c>
      <c r="H216" s="34" t="s">
        <v>2906</v>
      </c>
      <c r="I216" s="30" t="s">
        <v>1885</v>
      </c>
      <c r="J216" s="36" t="s">
        <v>1886</v>
      </c>
      <c r="K216" s="36" t="s">
        <v>2901</v>
      </c>
      <c r="L216" s="35" t="s">
        <v>1888</v>
      </c>
      <c r="M216" s="12">
        <f t="shared" si="4"/>
        <v>213</v>
      </c>
    </row>
    <row r="217" spans="1:13" ht="30.6" x14ac:dyDescent="0.25">
      <c r="A217" s="30">
        <v>214</v>
      </c>
      <c r="B217" s="37" t="s">
        <v>1890</v>
      </c>
      <c r="C217" s="37">
        <v>100953229</v>
      </c>
      <c r="D217" s="39" t="s">
        <v>1891</v>
      </c>
      <c r="E217" s="40">
        <v>3012002668015</v>
      </c>
      <c r="F217" s="37" t="s">
        <v>1892</v>
      </c>
      <c r="G217" s="37">
        <v>749</v>
      </c>
      <c r="H217" s="41" t="s">
        <v>464</v>
      </c>
      <c r="I217" s="37" t="s">
        <v>1895</v>
      </c>
      <c r="J217" s="43" t="s">
        <v>1893</v>
      </c>
      <c r="K217" s="43" t="s">
        <v>2901</v>
      </c>
      <c r="L217" s="42" t="s">
        <v>1894</v>
      </c>
      <c r="M217" s="12">
        <f t="shared" si="4"/>
        <v>214</v>
      </c>
    </row>
    <row r="218" spans="1:13" ht="20.399999999999999" x14ac:dyDescent="0.25">
      <c r="A218" s="30">
        <v>215</v>
      </c>
      <c r="B218" s="30" t="s">
        <v>980</v>
      </c>
      <c r="C218" s="30">
        <v>100015784</v>
      </c>
      <c r="D218" s="32" t="s">
        <v>1896</v>
      </c>
      <c r="E218" s="33">
        <v>3012103527015</v>
      </c>
      <c r="F218" s="30" t="s">
        <v>1900</v>
      </c>
      <c r="G218" s="30">
        <v>369</v>
      </c>
      <c r="H218" s="34" t="s">
        <v>2906</v>
      </c>
      <c r="I218" s="30" t="s">
        <v>1897</v>
      </c>
      <c r="J218" s="36" t="s">
        <v>1898</v>
      </c>
      <c r="K218" s="36" t="s">
        <v>2901</v>
      </c>
      <c r="L218" s="36" t="s">
        <v>1899</v>
      </c>
      <c r="M218" s="12">
        <f t="shared" si="4"/>
        <v>215</v>
      </c>
    </row>
    <row r="219" spans="1:13" ht="40.799999999999997" x14ac:dyDescent="0.25">
      <c r="A219" s="30">
        <v>216</v>
      </c>
      <c r="B219" s="38" t="s">
        <v>2851</v>
      </c>
      <c r="C219" s="37">
        <v>691463537</v>
      </c>
      <c r="D219" s="39" t="s">
        <v>745</v>
      </c>
      <c r="E219" s="40">
        <v>3012099470008</v>
      </c>
      <c r="F219" s="37" t="s">
        <v>746</v>
      </c>
      <c r="G219" s="37">
        <v>175</v>
      </c>
      <c r="H219" s="41" t="s">
        <v>464</v>
      </c>
      <c r="I219" s="37" t="s">
        <v>747</v>
      </c>
      <c r="J219" s="43" t="s">
        <v>748</v>
      </c>
      <c r="K219" s="425" t="s">
        <v>749</v>
      </c>
      <c r="L219" s="42" t="s">
        <v>750</v>
      </c>
      <c r="M219" s="12">
        <f t="shared" si="4"/>
        <v>216</v>
      </c>
    </row>
    <row r="220" spans="1:13" x14ac:dyDescent="0.25">
      <c r="A220" s="30">
        <v>217</v>
      </c>
      <c r="B220" s="38" t="s">
        <v>1640</v>
      </c>
      <c r="C220" s="37">
        <v>100262573</v>
      </c>
      <c r="D220" s="39" t="s">
        <v>751</v>
      </c>
      <c r="E220" s="40">
        <v>3012007865015</v>
      </c>
      <c r="F220" s="37" t="s">
        <v>752</v>
      </c>
      <c r="G220" s="37">
        <v>749</v>
      </c>
      <c r="H220" s="41" t="s">
        <v>2906</v>
      </c>
      <c r="I220" s="37" t="s">
        <v>753</v>
      </c>
      <c r="J220" s="43" t="s">
        <v>754</v>
      </c>
      <c r="K220" s="43" t="s">
        <v>2901</v>
      </c>
      <c r="L220" s="43" t="s">
        <v>755</v>
      </c>
      <c r="M220" s="12">
        <f t="shared" si="4"/>
        <v>217</v>
      </c>
    </row>
    <row r="221" spans="1:13" ht="30.6" x14ac:dyDescent="0.25">
      <c r="A221" s="30">
        <v>218</v>
      </c>
      <c r="B221" s="38" t="s">
        <v>1840</v>
      </c>
      <c r="C221" s="37">
        <v>600068399</v>
      </c>
      <c r="D221" s="39" t="s">
        <v>756</v>
      </c>
      <c r="E221" s="40">
        <v>3012005528019</v>
      </c>
      <c r="F221" s="37" t="s">
        <v>757</v>
      </c>
      <c r="G221" s="37">
        <v>749</v>
      </c>
      <c r="H221" s="41" t="s">
        <v>758</v>
      </c>
      <c r="I221" s="37" t="s">
        <v>759</v>
      </c>
      <c r="J221" s="42" t="s">
        <v>760</v>
      </c>
      <c r="K221" s="43" t="s">
        <v>2901</v>
      </c>
      <c r="L221" s="42">
        <v>3627465</v>
      </c>
      <c r="M221" s="12">
        <f t="shared" si="4"/>
        <v>218</v>
      </c>
    </row>
    <row r="222" spans="1:13" ht="40.799999999999997" x14ac:dyDescent="0.25">
      <c r="A222" s="30">
        <v>219</v>
      </c>
      <c r="B222" s="38" t="s">
        <v>4183</v>
      </c>
      <c r="C222" s="37">
        <v>691061027</v>
      </c>
      <c r="D222" s="39" t="s">
        <v>761</v>
      </c>
      <c r="E222" s="40">
        <v>3012167155003</v>
      </c>
      <c r="F222" s="37" t="s">
        <v>762</v>
      </c>
      <c r="G222" s="37">
        <v>226</v>
      </c>
      <c r="H222" s="41" t="s">
        <v>464</v>
      </c>
      <c r="I222" s="37" t="s">
        <v>1194</v>
      </c>
      <c r="J222" s="43" t="s">
        <v>1195</v>
      </c>
      <c r="K222" s="43" t="s">
        <v>2901</v>
      </c>
      <c r="L222" s="42" t="s">
        <v>1196</v>
      </c>
      <c r="M222" s="12">
        <f t="shared" si="4"/>
        <v>219</v>
      </c>
    </row>
    <row r="223" spans="1:13" ht="30.6" x14ac:dyDescent="0.25">
      <c r="A223" s="30">
        <v>220</v>
      </c>
      <c r="B223" s="30" t="s">
        <v>2676</v>
      </c>
      <c r="C223" s="30">
        <v>690594220</v>
      </c>
      <c r="D223" s="32" t="s">
        <v>1197</v>
      </c>
      <c r="E223" s="33">
        <v>3012014066012</v>
      </c>
      <c r="F223" s="30" t="s">
        <v>1198</v>
      </c>
      <c r="G223" s="30">
        <v>749</v>
      </c>
      <c r="H223" s="34" t="s">
        <v>2906</v>
      </c>
      <c r="I223" s="30" t="s">
        <v>1199</v>
      </c>
      <c r="J223" s="36" t="s">
        <v>1200</v>
      </c>
      <c r="K223" s="36" t="s">
        <v>2901</v>
      </c>
      <c r="L223" s="36" t="s">
        <v>1201</v>
      </c>
      <c r="M223" s="12">
        <f t="shared" si="4"/>
        <v>220</v>
      </c>
    </row>
    <row r="224" spans="1:13" ht="20.399999999999999" x14ac:dyDescent="0.25">
      <c r="A224" s="30">
        <v>221</v>
      </c>
      <c r="B224" s="38" t="s">
        <v>1202</v>
      </c>
      <c r="C224" s="37">
        <v>191209942</v>
      </c>
      <c r="D224" s="39" t="s">
        <v>1203</v>
      </c>
      <c r="E224" s="40">
        <v>3012082520017</v>
      </c>
      <c r="F224" s="37" t="s">
        <v>1204</v>
      </c>
      <c r="G224" s="37">
        <v>720</v>
      </c>
      <c r="H224" s="34" t="s">
        <v>464</v>
      </c>
      <c r="I224" s="30" t="s">
        <v>1207</v>
      </c>
      <c r="J224" s="36" t="s">
        <v>1205</v>
      </c>
      <c r="K224" s="36" t="s">
        <v>2901</v>
      </c>
      <c r="L224" s="35" t="s">
        <v>1206</v>
      </c>
      <c r="M224" s="12">
        <f t="shared" si="4"/>
        <v>221</v>
      </c>
    </row>
    <row r="225" spans="1:13" ht="20.399999999999999" x14ac:dyDescent="0.25">
      <c r="A225" s="30">
        <v>222</v>
      </c>
      <c r="B225" s="38" t="s">
        <v>3324</v>
      </c>
      <c r="C225" s="37">
        <v>190253060</v>
      </c>
      <c r="D225" s="39" t="s">
        <v>1209</v>
      </c>
      <c r="E225" s="40">
        <v>3012234850018</v>
      </c>
      <c r="F225" s="37" t="s">
        <v>1210</v>
      </c>
      <c r="G225" s="37">
        <v>117</v>
      </c>
      <c r="H225" s="41" t="s">
        <v>464</v>
      </c>
      <c r="I225" s="37" t="s">
        <v>1211</v>
      </c>
      <c r="J225" s="43" t="s">
        <v>1212</v>
      </c>
      <c r="K225" s="43" t="s">
        <v>2901</v>
      </c>
      <c r="L225" s="42" t="s">
        <v>1213</v>
      </c>
      <c r="M225" s="12">
        <f t="shared" si="4"/>
        <v>222</v>
      </c>
    </row>
    <row r="226" spans="1:13" ht="20.399999999999999" x14ac:dyDescent="0.25">
      <c r="A226" s="30">
        <v>223</v>
      </c>
      <c r="B226" s="38" t="s">
        <v>4223</v>
      </c>
      <c r="C226" s="37">
        <v>192212697</v>
      </c>
      <c r="D226" s="39"/>
      <c r="E226" s="40">
        <v>3012226890015</v>
      </c>
      <c r="F226" s="37" t="s">
        <v>1214</v>
      </c>
      <c r="G226" s="37">
        <v>117</v>
      </c>
      <c r="H226" s="41" t="s">
        <v>464</v>
      </c>
      <c r="I226" s="37" t="s">
        <v>1215</v>
      </c>
      <c r="J226" s="43" t="s">
        <v>1216</v>
      </c>
      <c r="K226" s="43" t="s">
        <v>2901</v>
      </c>
      <c r="L226" s="42" t="s">
        <v>1217</v>
      </c>
      <c r="M226" s="12">
        <f t="shared" si="4"/>
        <v>223</v>
      </c>
    </row>
    <row r="227" spans="1:13" ht="20.399999999999999" x14ac:dyDescent="0.25">
      <c r="A227" s="30">
        <v>224</v>
      </c>
      <c r="B227" s="30" t="s">
        <v>19</v>
      </c>
      <c r="C227" s="30">
        <v>100955538</v>
      </c>
      <c r="D227" s="32"/>
      <c r="E227" s="33">
        <v>3012012660017</v>
      </c>
      <c r="F227" s="30" t="s">
        <v>1218</v>
      </c>
      <c r="G227" s="30">
        <v>272</v>
      </c>
      <c r="H227" s="34" t="s">
        <v>464</v>
      </c>
      <c r="I227" s="30" t="s">
        <v>1219</v>
      </c>
      <c r="J227" s="36" t="s">
        <v>1220</v>
      </c>
      <c r="K227" s="36" t="s">
        <v>2901</v>
      </c>
      <c r="L227" s="35" t="s">
        <v>1221</v>
      </c>
      <c r="M227" s="12">
        <f t="shared" si="4"/>
        <v>224</v>
      </c>
    </row>
    <row r="228" spans="1:13" ht="30.6" x14ac:dyDescent="0.25">
      <c r="A228" s="30">
        <v>225</v>
      </c>
      <c r="B228" s="38" t="s">
        <v>1222</v>
      </c>
      <c r="C228" s="37">
        <v>691364780</v>
      </c>
      <c r="D228" s="39"/>
      <c r="E228" s="40">
        <v>3012115030016</v>
      </c>
      <c r="F228" s="37" t="s">
        <v>1223</v>
      </c>
      <c r="G228" s="37">
        <v>117</v>
      </c>
      <c r="H228" s="41" t="s">
        <v>3048</v>
      </c>
      <c r="I228" s="37" t="s">
        <v>3779</v>
      </c>
      <c r="J228" s="43" t="s">
        <v>3780</v>
      </c>
      <c r="K228" s="42" t="s">
        <v>3781</v>
      </c>
      <c r="L228" s="42" t="s">
        <v>3782</v>
      </c>
      <c r="M228" s="12">
        <f t="shared" si="4"/>
        <v>225</v>
      </c>
    </row>
    <row r="229" spans="1:13" ht="30.6" x14ac:dyDescent="0.25">
      <c r="A229" s="30">
        <v>226</v>
      </c>
      <c r="B229" s="37" t="s">
        <v>3783</v>
      </c>
      <c r="C229" s="37">
        <v>691072066</v>
      </c>
      <c r="D229" s="39"/>
      <c r="E229" s="40">
        <v>3012487890016</v>
      </c>
      <c r="F229" s="37" t="s">
        <v>3784</v>
      </c>
      <c r="G229" s="37">
        <v>942</v>
      </c>
      <c r="H229" s="41" t="s">
        <v>464</v>
      </c>
      <c r="I229" s="37" t="s">
        <v>3785</v>
      </c>
      <c r="J229" s="43" t="s">
        <v>3786</v>
      </c>
      <c r="K229" s="43" t="s">
        <v>2901</v>
      </c>
      <c r="L229" s="42"/>
      <c r="M229" s="12">
        <f t="shared" si="4"/>
        <v>226</v>
      </c>
    </row>
    <row r="230" spans="1:13" ht="20.399999999999999" x14ac:dyDescent="0.25">
      <c r="A230" s="30">
        <v>227</v>
      </c>
      <c r="B230" s="38" t="s">
        <v>2609</v>
      </c>
      <c r="C230" s="37">
        <v>190549048</v>
      </c>
      <c r="D230" s="39" t="s">
        <v>3787</v>
      </c>
      <c r="E230" s="40">
        <v>3012220004005</v>
      </c>
      <c r="F230" s="37" t="s">
        <v>3788</v>
      </c>
      <c r="G230" s="37">
        <v>270</v>
      </c>
      <c r="H230" s="41" t="s">
        <v>3792</v>
      </c>
      <c r="I230" s="37" t="s">
        <v>3789</v>
      </c>
      <c r="J230" s="43" t="s">
        <v>3790</v>
      </c>
      <c r="K230" s="43" t="s">
        <v>2901</v>
      </c>
      <c r="L230" s="42" t="s">
        <v>3791</v>
      </c>
      <c r="M230" s="12">
        <f t="shared" si="4"/>
        <v>227</v>
      </c>
    </row>
    <row r="231" spans="1:13" ht="30.6" x14ac:dyDescent="0.25">
      <c r="A231" s="30">
        <v>228</v>
      </c>
      <c r="B231" s="38" t="s">
        <v>3793</v>
      </c>
      <c r="C231" s="37">
        <v>100349659</v>
      </c>
      <c r="D231" s="39" t="s">
        <v>3794</v>
      </c>
      <c r="E231" s="40">
        <v>3012008913716</v>
      </c>
      <c r="F231" s="37" t="s">
        <v>3795</v>
      </c>
      <c r="G231" s="37">
        <v>739</v>
      </c>
      <c r="H231" s="41" t="s">
        <v>464</v>
      </c>
      <c r="I231" s="37" t="s">
        <v>3796</v>
      </c>
      <c r="J231" s="43" t="s">
        <v>3797</v>
      </c>
      <c r="K231" s="43" t="s">
        <v>2901</v>
      </c>
      <c r="L231" s="42" t="s">
        <v>3798</v>
      </c>
      <c r="M231" s="12">
        <f t="shared" si="4"/>
        <v>228</v>
      </c>
    </row>
    <row r="232" spans="1:13" ht="30.6" x14ac:dyDescent="0.25">
      <c r="A232" s="30">
        <v>229</v>
      </c>
      <c r="B232" s="38" t="s">
        <v>3799</v>
      </c>
      <c r="C232" s="37">
        <v>191124219</v>
      </c>
      <c r="D232" s="39" t="s">
        <v>3800</v>
      </c>
      <c r="E232" s="40">
        <v>3012016042018</v>
      </c>
      <c r="F232" s="37" t="s">
        <v>3801</v>
      </c>
      <c r="G232" s="37">
        <v>749</v>
      </c>
      <c r="H232" s="41" t="s">
        <v>464</v>
      </c>
      <c r="I232" s="37" t="s">
        <v>3802</v>
      </c>
      <c r="J232" s="43" t="s">
        <v>3803</v>
      </c>
      <c r="K232" s="43" t="s">
        <v>2901</v>
      </c>
      <c r="L232" s="42">
        <v>445378537</v>
      </c>
      <c r="M232" s="12">
        <f t="shared" si="4"/>
        <v>229</v>
      </c>
    </row>
    <row r="233" spans="1:13" ht="20.399999999999999" x14ac:dyDescent="0.25">
      <c r="A233" s="30">
        <v>230</v>
      </c>
      <c r="B233" s="38" t="s">
        <v>1607</v>
      </c>
      <c r="C233" s="37">
        <v>690643672</v>
      </c>
      <c r="D233" s="39" t="s">
        <v>3804</v>
      </c>
      <c r="E233" s="40">
        <v>3012027810018</v>
      </c>
      <c r="F233" s="37" t="s">
        <v>3701</v>
      </c>
      <c r="G233" s="37">
        <v>117</v>
      </c>
      <c r="H233" s="41" t="s">
        <v>2906</v>
      </c>
      <c r="I233" s="37" t="s">
        <v>3805</v>
      </c>
      <c r="J233" s="43" t="s">
        <v>3806</v>
      </c>
      <c r="K233" s="43" t="s">
        <v>2901</v>
      </c>
      <c r="L233" s="42" t="s">
        <v>3807</v>
      </c>
      <c r="M233" s="12">
        <f t="shared" si="4"/>
        <v>230</v>
      </c>
    </row>
    <row r="234" spans="1:13" ht="20.399999999999999" x14ac:dyDescent="0.25">
      <c r="A234" s="30">
        <v>231</v>
      </c>
      <c r="B234" s="38" t="s">
        <v>3548</v>
      </c>
      <c r="C234" s="37">
        <v>100192928</v>
      </c>
      <c r="D234" s="39" t="s">
        <v>3808</v>
      </c>
      <c r="E234" s="40">
        <v>3012018200019</v>
      </c>
      <c r="F234" s="37" t="s">
        <v>3809</v>
      </c>
      <c r="G234" s="37">
        <v>272</v>
      </c>
      <c r="H234" s="41" t="s">
        <v>3719</v>
      </c>
      <c r="I234" s="37" t="s">
        <v>3812</v>
      </c>
      <c r="J234" s="43" t="s">
        <v>3810</v>
      </c>
      <c r="K234" s="43" t="s">
        <v>3811</v>
      </c>
      <c r="L234" s="42" t="s">
        <v>3813</v>
      </c>
      <c r="M234" s="12">
        <f t="shared" si="4"/>
        <v>231</v>
      </c>
    </row>
    <row r="235" spans="1:13" ht="40.799999999999997" x14ac:dyDescent="0.25">
      <c r="A235" s="30">
        <v>232</v>
      </c>
      <c r="B235" s="38" t="s">
        <v>2795</v>
      </c>
      <c r="C235" s="37">
        <v>691536707</v>
      </c>
      <c r="D235" s="39" t="s">
        <v>3814</v>
      </c>
      <c r="E235" s="40">
        <v>3012069320010</v>
      </c>
      <c r="F235" s="37" t="s">
        <v>3816</v>
      </c>
      <c r="G235" s="37">
        <v>272</v>
      </c>
      <c r="H235" s="41" t="s">
        <v>464</v>
      </c>
      <c r="I235" s="37" t="s">
        <v>3817</v>
      </c>
      <c r="J235" s="43" t="s">
        <v>3815</v>
      </c>
      <c r="K235" s="43" t="s">
        <v>2901</v>
      </c>
      <c r="L235" s="42" t="s">
        <v>3818</v>
      </c>
      <c r="M235" s="12">
        <f t="shared" si="4"/>
        <v>232</v>
      </c>
    </row>
    <row r="236" spans="1:13" ht="20.399999999999999" x14ac:dyDescent="0.25">
      <c r="A236" s="30">
        <v>233</v>
      </c>
      <c r="B236" s="38" t="s">
        <v>3819</v>
      </c>
      <c r="C236" s="37">
        <v>101528843</v>
      </c>
      <c r="D236" s="39" t="s">
        <v>3820</v>
      </c>
      <c r="E236" s="40">
        <v>3012202410021</v>
      </c>
      <c r="F236" s="342" t="s">
        <v>3821</v>
      </c>
      <c r="G236" s="37">
        <v>115</v>
      </c>
      <c r="H236" s="41" t="s">
        <v>3822</v>
      </c>
      <c r="I236" s="37" t="s">
        <v>3823</v>
      </c>
      <c r="J236" s="43" t="s">
        <v>3824</v>
      </c>
      <c r="K236" s="43" t="s">
        <v>3825</v>
      </c>
      <c r="L236" s="42" t="s">
        <v>3826</v>
      </c>
      <c r="M236" s="12">
        <f t="shared" si="4"/>
        <v>233</v>
      </c>
    </row>
    <row r="237" spans="1:13" ht="20.399999999999999" x14ac:dyDescent="0.25">
      <c r="A237" s="30">
        <v>234</v>
      </c>
      <c r="B237" s="38" t="s">
        <v>168</v>
      </c>
      <c r="C237" s="37">
        <v>192566948</v>
      </c>
      <c r="D237" s="39"/>
      <c r="E237" s="40">
        <v>3012193870012</v>
      </c>
      <c r="F237" s="37" t="s">
        <v>3830</v>
      </c>
      <c r="G237" s="37">
        <v>117</v>
      </c>
      <c r="H237" s="41" t="s">
        <v>464</v>
      </c>
      <c r="I237" s="37" t="s">
        <v>3831</v>
      </c>
      <c r="J237" s="43" t="s">
        <v>3832</v>
      </c>
      <c r="K237" s="43" t="s">
        <v>2901</v>
      </c>
      <c r="L237" s="42" t="s">
        <v>533</v>
      </c>
      <c r="M237" s="12">
        <f t="shared" si="4"/>
        <v>234</v>
      </c>
    </row>
    <row r="238" spans="1:13" ht="20.399999999999999" x14ac:dyDescent="0.25">
      <c r="A238" s="30">
        <v>235</v>
      </c>
      <c r="B238" s="38" t="s">
        <v>2757</v>
      </c>
      <c r="C238" s="37">
        <v>691523351</v>
      </c>
      <c r="D238" s="39"/>
      <c r="E238" s="40">
        <v>3012044733929</v>
      </c>
      <c r="F238" s="37" t="s">
        <v>530</v>
      </c>
      <c r="G238" s="37">
        <v>614</v>
      </c>
      <c r="H238" s="41" t="s">
        <v>2906</v>
      </c>
      <c r="I238" s="37" t="s">
        <v>531</v>
      </c>
      <c r="J238" s="43" t="s">
        <v>532</v>
      </c>
      <c r="K238" s="43" t="s">
        <v>2901</v>
      </c>
      <c r="L238" s="42">
        <v>80296837601</v>
      </c>
      <c r="M238" s="12">
        <f t="shared" si="4"/>
        <v>235</v>
      </c>
    </row>
    <row r="239" spans="1:13" x14ac:dyDescent="0.25">
      <c r="A239" s="30">
        <v>236</v>
      </c>
      <c r="B239" s="38" t="s">
        <v>3611</v>
      </c>
      <c r="C239" s="37">
        <v>190098681</v>
      </c>
      <c r="D239" s="39" t="s">
        <v>534</v>
      </c>
      <c r="E239" s="40">
        <v>3012003954018</v>
      </c>
      <c r="F239" s="37" t="s">
        <v>535</v>
      </c>
      <c r="G239" s="37">
        <v>749</v>
      </c>
      <c r="H239" s="41" t="s">
        <v>464</v>
      </c>
      <c r="I239" s="37" t="s">
        <v>536</v>
      </c>
      <c r="J239" s="43" t="s">
        <v>1283</v>
      </c>
      <c r="K239" s="43" t="s">
        <v>2901</v>
      </c>
      <c r="L239" s="42">
        <v>2160319</v>
      </c>
      <c r="M239" s="12">
        <f t="shared" si="4"/>
        <v>236</v>
      </c>
    </row>
    <row r="240" spans="1:13" ht="30.6" x14ac:dyDescent="0.25">
      <c r="A240" s="30">
        <v>237</v>
      </c>
      <c r="B240" s="38" t="s">
        <v>4232</v>
      </c>
      <c r="C240" s="37">
        <v>690616954</v>
      </c>
      <c r="D240" s="39"/>
      <c r="E240" s="40">
        <v>3012904860019</v>
      </c>
      <c r="F240" s="37" t="s">
        <v>1284</v>
      </c>
      <c r="G240" s="37">
        <v>739</v>
      </c>
      <c r="H240" s="41" t="s">
        <v>464</v>
      </c>
      <c r="I240" s="37" t="s">
        <v>1285</v>
      </c>
      <c r="J240" s="43" t="s">
        <v>1286</v>
      </c>
      <c r="K240" s="43" t="s">
        <v>2901</v>
      </c>
      <c r="L240" s="42" t="s">
        <v>1287</v>
      </c>
      <c r="M240" s="12">
        <f t="shared" si="4"/>
        <v>237</v>
      </c>
    </row>
    <row r="241" spans="1:13" ht="20.399999999999999" x14ac:dyDescent="0.25">
      <c r="A241" s="30">
        <v>238</v>
      </c>
      <c r="B241" s="38" t="s">
        <v>2072</v>
      </c>
      <c r="C241" s="37">
        <v>191251634</v>
      </c>
      <c r="D241" s="39"/>
      <c r="E241" s="40">
        <v>3012040340002</v>
      </c>
      <c r="F241" s="37" t="s">
        <v>1288</v>
      </c>
      <c r="G241" s="37">
        <v>175</v>
      </c>
      <c r="H241" s="41" t="s">
        <v>464</v>
      </c>
      <c r="I241" s="37" t="s">
        <v>1289</v>
      </c>
      <c r="J241" s="43" t="s">
        <v>1290</v>
      </c>
      <c r="K241" s="43" t="s">
        <v>2901</v>
      </c>
      <c r="L241" s="42" t="s">
        <v>1291</v>
      </c>
      <c r="M241" s="12">
        <f t="shared" si="4"/>
        <v>238</v>
      </c>
    </row>
    <row r="242" spans="1:13" ht="30.6" x14ac:dyDescent="0.25">
      <c r="A242" s="30">
        <v>239</v>
      </c>
      <c r="B242" s="38" t="s">
        <v>449</v>
      </c>
      <c r="C242" s="37">
        <v>100025732</v>
      </c>
      <c r="D242" s="39" t="s">
        <v>1293</v>
      </c>
      <c r="E242" s="40">
        <v>3012005525012</v>
      </c>
      <c r="F242" s="37" t="s">
        <v>1294</v>
      </c>
      <c r="G242" s="37">
        <v>749</v>
      </c>
      <c r="H242" s="41" t="s">
        <v>464</v>
      </c>
      <c r="I242" s="37" t="s">
        <v>1295</v>
      </c>
      <c r="J242" s="43" t="s">
        <v>1296</v>
      </c>
      <c r="K242" s="43" t="s">
        <v>2901</v>
      </c>
      <c r="L242" s="42" t="s">
        <v>1297</v>
      </c>
      <c r="M242" s="12">
        <f t="shared" si="4"/>
        <v>239</v>
      </c>
    </row>
    <row r="243" spans="1:13" ht="20.399999999999999" x14ac:dyDescent="0.25">
      <c r="A243" s="30">
        <v>240</v>
      </c>
      <c r="B243" s="37" t="s">
        <v>1298</v>
      </c>
      <c r="C243" s="37">
        <v>691425532</v>
      </c>
      <c r="D243" s="39"/>
      <c r="E243" s="40">
        <v>3012356380065</v>
      </c>
      <c r="F243" s="37" t="s">
        <v>1299</v>
      </c>
      <c r="G243" s="37">
        <v>765</v>
      </c>
      <c r="H243" s="41" t="s">
        <v>464</v>
      </c>
      <c r="I243" s="37" t="s">
        <v>1300</v>
      </c>
      <c r="J243" s="43" t="s">
        <v>1301</v>
      </c>
      <c r="K243" s="43" t="s">
        <v>2901</v>
      </c>
      <c r="L243" s="42" t="s">
        <v>1302</v>
      </c>
      <c r="M243" s="12">
        <f t="shared" si="4"/>
        <v>240</v>
      </c>
    </row>
    <row r="244" spans="1:13" ht="40.799999999999997" x14ac:dyDescent="0.25">
      <c r="A244" s="30">
        <v>241</v>
      </c>
      <c r="B244" s="38" t="s">
        <v>1306</v>
      </c>
      <c r="C244" s="37">
        <v>691452633</v>
      </c>
      <c r="D244" s="39"/>
      <c r="E244" s="40">
        <v>3012091820005</v>
      </c>
      <c r="F244" s="37" t="s">
        <v>1303</v>
      </c>
      <c r="G244" s="37">
        <v>175</v>
      </c>
      <c r="H244" s="41" t="s">
        <v>464</v>
      </c>
      <c r="I244" s="37" t="s">
        <v>1304</v>
      </c>
      <c r="J244" s="43" t="s">
        <v>1305</v>
      </c>
      <c r="K244" s="43" t="s">
        <v>2901</v>
      </c>
      <c r="L244" s="42" t="s">
        <v>1307</v>
      </c>
      <c r="M244" s="12">
        <f t="shared" si="4"/>
        <v>241</v>
      </c>
    </row>
    <row r="245" spans="1:13" ht="30.6" x14ac:dyDescent="0.25">
      <c r="A245" s="30">
        <v>242</v>
      </c>
      <c r="B245" s="37" t="s">
        <v>906</v>
      </c>
      <c r="C245" s="37">
        <v>100348119</v>
      </c>
      <c r="D245" s="39" t="s">
        <v>1311</v>
      </c>
      <c r="E245" s="40">
        <v>3012600060025</v>
      </c>
      <c r="F245" s="37" t="s">
        <v>1312</v>
      </c>
      <c r="G245" s="37">
        <v>739</v>
      </c>
      <c r="H245" s="41" t="s">
        <v>2906</v>
      </c>
      <c r="I245" s="37" t="s">
        <v>1313</v>
      </c>
      <c r="J245" s="43" t="s">
        <v>1316</v>
      </c>
      <c r="K245" s="43" t="s">
        <v>2901</v>
      </c>
      <c r="L245" s="43" t="s">
        <v>1314</v>
      </c>
      <c r="M245" s="12">
        <f t="shared" si="4"/>
        <v>242</v>
      </c>
    </row>
    <row r="246" spans="1:13" ht="20.399999999999999" x14ac:dyDescent="0.25">
      <c r="A246" s="30">
        <v>243</v>
      </c>
      <c r="B246" s="30" t="s">
        <v>1321</v>
      </c>
      <c r="C246" s="30">
        <v>190729471</v>
      </c>
      <c r="D246" s="32" t="s">
        <v>1317</v>
      </c>
      <c r="E246" s="33">
        <v>3012000036327</v>
      </c>
      <c r="F246" s="30" t="s">
        <v>2943</v>
      </c>
      <c r="G246" s="30">
        <v>742</v>
      </c>
      <c r="H246" s="41" t="s">
        <v>464</v>
      </c>
      <c r="I246" s="37" t="s">
        <v>1318</v>
      </c>
      <c r="J246" s="43" t="s">
        <v>1319</v>
      </c>
      <c r="K246" s="43" t="s">
        <v>2901</v>
      </c>
      <c r="L246" s="43" t="s">
        <v>1320</v>
      </c>
      <c r="M246" s="12">
        <f t="shared" si="4"/>
        <v>243</v>
      </c>
    </row>
    <row r="247" spans="1:13" ht="30.6" x14ac:dyDescent="0.25">
      <c r="A247" s="30">
        <v>244</v>
      </c>
      <c r="B247" s="38" t="s">
        <v>813</v>
      </c>
      <c r="C247" s="37">
        <v>100648873</v>
      </c>
      <c r="D247" s="39"/>
      <c r="E247" s="40">
        <v>3015006443719</v>
      </c>
      <c r="F247" s="37" t="s">
        <v>1322</v>
      </c>
      <c r="G247" s="37">
        <v>739</v>
      </c>
      <c r="H247" s="41" t="s">
        <v>4136</v>
      </c>
      <c r="I247" s="37" t="s">
        <v>1323</v>
      </c>
      <c r="J247" s="42" t="s">
        <v>1324</v>
      </c>
      <c r="K247" s="43" t="s">
        <v>2901</v>
      </c>
      <c r="L247" s="42" t="s">
        <v>1325</v>
      </c>
      <c r="M247" s="12">
        <f t="shared" si="4"/>
        <v>244</v>
      </c>
    </row>
    <row r="248" spans="1:13" ht="20.399999999999999" x14ac:dyDescent="0.25">
      <c r="A248" s="30">
        <v>245</v>
      </c>
      <c r="B248" s="31" t="s">
        <v>3228</v>
      </c>
      <c r="C248" s="30">
        <v>100025653</v>
      </c>
      <c r="D248" s="32" t="s">
        <v>1326</v>
      </c>
      <c r="E248" s="33">
        <v>3012200410017</v>
      </c>
      <c r="F248" s="30" t="s">
        <v>1327</v>
      </c>
      <c r="G248" s="30">
        <v>739</v>
      </c>
      <c r="H248" s="34" t="s">
        <v>1179</v>
      </c>
      <c r="I248" s="30" t="s">
        <v>1328</v>
      </c>
      <c r="J248" s="36" t="s">
        <v>1330</v>
      </c>
      <c r="K248" s="36" t="s">
        <v>2901</v>
      </c>
      <c r="L248" s="35" t="s">
        <v>1329</v>
      </c>
      <c r="M248" s="12">
        <f t="shared" si="4"/>
        <v>245</v>
      </c>
    </row>
    <row r="249" spans="1:13" ht="30.6" x14ac:dyDescent="0.25">
      <c r="A249" s="30">
        <v>246</v>
      </c>
      <c r="B249" s="38" t="s">
        <v>516</v>
      </c>
      <c r="C249" s="37">
        <v>691591762</v>
      </c>
      <c r="D249" s="39"/>
      <c r="E249" s="40">
        <v>3012185990014</v>
      </c>
      <c r="F249" s="37" t="s">
        <v>1331</v>
      </c>
      <c r="G249" s="37">
        <v>117</v>
      </c>
      <c r="H249" s="41" t="s">
        <v>464</v>
      </c>
      <c r="I249" s="37" t="s">
        <v>1332</v>
      </c>
      <c r="J249" s="42" t="s">
        <v>1333</v>
      </c>
      <c r="K249" s="43" t="s">
        <v>2901</v>
      </c>
      <c r="L249" s="42" t="s">
        <v>1334</v>
      </c>
      <c r="M249" s="12">
        <f t="shared" si="4"/>
        <v>246</v>
      </c>
    </row>
    <row r="250" spans="1:13" x14ac:dyDescent="0.25">
      <c r="A250" s="30">
        <v>247</v>
      </c>
      <c r="B250" s="30" t="s">
        <v>1335</v>
      </c>
      <c r="C250" s="30">
        <v>101489130</v>
      </c>
      <c r="D250" s="32"/>
      <c r="E250" s="33"/>
      <c r="F250" s="30" t="s">
        <v>1336</v>
      </c>
      <c r="G250" s="30">
        <v>749</v>
      </c>
      <c r="H250" s="41" t="s">
        <v>464</v>
      </c>
      <c r="I250" s="37" t="s">
        <v>1337</v>
      </c>
      <c r="J250" s="43" t="s">
        <v>1338</v>
      </c>
      <c r="K250" s="43" t="s">
        <v>2901</v>
      </c>
      <c r="L250" s="42" t="s">
        <v>1339</v>
      </c>
      <c r="M250" s="12">
        <f t="shared" si="4"/>
        <v>247</v>
      </c>
    </row>
    <row r="251" spans="1:13" ht="30.6" x14ac:dyDescent="0.25">
      <c r="A251" s="30">
        <v>248</v>
      </c>
      <c r="B251" s="38" t="s">
        <v>1340</v>
      </c>
      <c r="C251" s="37">
        <v>691131810</v>
      </c>
      <c r="D251" s="39" t="s">
        <v>2385</v>
      </c>
      <c r="E251" s="40">
        <v>3012100019616</v>
      </c>
      <c r="F251" s="37" t="s">
        <v>2386</v>
      </c>
      <c r="G251" s="37">
        <v>110</v>
      </c>
      <c r="H251" s="34" t="s">
        <v>464</v>
      </c>
      <c r="I251" s="30" t="s">
        <v>2384</v>
      </c>
      <c r="J251" s="36" t="s">
        <v>2387</v>
      </c>
      <c r="K251" s="36" t="s">
        <v>2901</v>
      </c>
      <c r="L251" s="36" t="s">
        <v>2388</v>
      </c>
      <c r="M251" s="12">
        <f t="shared" si="4"/>
        <v>248</v>
      </c>
    </row>
    <row r="252" spans="1:13" ht="30.6" x14ac:dyDescent="0.25">
      <c r="A252" s="30">
        <v>249</v>
      </c>
      <c r="B252" s="38" t="s">
        <v>2389</v>
      </c>
      <c r="C252" s="37">
        <v>190919588</v>
      </c>
      <c r="D252" s="39" t="s">
        <v>2390</v>
      </c>
      <c r="E252" s="40">
        <v>3012059010013</v>
      </c>
      <c r="F252" s="37" t="s">
        <v>2391</v>
      </c>
      <c r="G252" s="37">
        <v>704</v>
      </c>
      <c r="H252" s="41" t="s">
        <v>464</v>
      </c>
      <c r="I252" s="37" t="s">
        <v>2393</v>
      </c>
      <c r="J252" s="43" t="s">
        <v>2392</v>
      </c>
      <c r="K252" s="43" t="s">
        <v>2901</v>
      </c>
      <c r="L252" s="42" t="s">
        <v>2394</v>
      </c>
      <c r="M252" s="12">
        <f t="shared" si="4"/>
        <v>249</v>
      </c>
    </row>
    <row r="253" spans="1:13" ht="20.399999999999999" x14ac:dyDescent="0.25">
      <c r="A253" s="30">
        <v>250</v>
      </c>
      <c r="B253" s="38" t="s">
        <v>2760</v>
      </c>
      <c r="C253" s="37">
        <v>100801936</v>
      </c>
      <c r="D253" s="39"/>
      <c r="E253" s="40">
        <v>3012005537013</v>
      </c>
      <c r="F253" s="37" t="s">
        <v>2396</v>
      </c>
      <c r="G253" s="37"/>
      <c r="H253" s="41" t="s">
        <v>464</v>
      </c>
      <c r="I253" s="37" t="s">
        <v>2397</v>
      </c>
      <c r="J253" s="43" t="s">
        <v>2395</v>
      </c>
      <c r="K253" s="43" t="s">
        <v>2901</v>
      </c>
      <c r="L253" s="42" t="s">
        <v>2398</v>
      </c>
      <c r="M253" s="12">
        <f t="shared" si="4"/>
        <v>250</v>
      </c>
    </row>
    <row r="254" spans="1:13" ht="30.6" x14ac:dyDescent="0.25">
      <c r="A254" s="30">
        <v>251</v>
      </c>
      <c r="B254" s="38" t="s">
        <v>1341</v>
      </c>
      <c r="C254" s="37">
        <v>191593564</v>
      </c>
      <c r="D254" s="39"/>
      <c r="E254" s="40">
        <v>3012718060008</v>
      </c>
      <c r="F254" s="37" t="s">
        <v>1376</v>
      </c>
      <c r="G254" s="37">
        <v>765</v>
      </c>
      <c r="H254" s="41" t="s">
        <v>464</v>
      </c>
      <c r="I254" s="37" t="s">
        <v>1343</v>
      </c>
      <c r="J254" s="43" t="s">
        <v>1342</v>
      </c>
      <c r="K254" s="43" t="s">
        <v>2901</v>
      </c>
      <c r="L254" s="42" t="s">
        <v>1344</v>
      </c>
      <c r="M254" s="12">
        <f t="shared" si="4"/>
        <v>251</v>
      </c>
    </row>
    <row r="255" spans="1:13" ht="30.6" x14ac:dyDescent="0.25">
      <c r="A255" s="30">
        <v>252</v>
      </c>
      <c r="B255" s="38" t="s">
        <v>4226</v>
      </c>
      <c r="C255" s="37">
        <v>191112043</v>
      </c>
      <c r="D255" s="39" t="s">
        <v>1345</v>
      </c>
      <c r="E255" s="40">
        <v>3012109540017</v>
      </c>
      <c r="F255" s="37" t="s">
        <v>1346</v>
      </c>
      <c r="G255" s="37">
        <v>117</v>
      </c>
      <c r="H255" s="41" t="s">
        <v>464</v>
      </c>
      <c r="I255" s="37" t="s">
        <v>1347</v>
      </c>
      <c r="J255" s="43" t="s">
        <v>1348</v>
      </c>
      <c r="K255" s="42" t="s">
        <v>1349</v>
      </c>
      <c r="L255" s="42" t="s">
        <v>1350</v>
      </c>
      <c r="M255" s="12">
        <f t="shared" si="4"/>
        <v>252</v>
      </c>
    </row>
    <row r="256" spans="1:13" ht="30.6" x14ac:dyDescent="0.25">
      <c r="A256" s="30">
        <v>253</v>
      </c>
      <c r="B256" s="37" t="s">
        <v>172</v>
      </c>
      <c r="C256" s="37">
        <v>100025985</v>
      </c>
      <c r="D256" s="39" t="s">
        <v>1351</v>
      </c>
      <c r="E256" s="40">
        <v>3012005480014</v>
      </c>
      <c r="F256" s="37" t="s">
        <v>1352</v>
      </c>
      <c r="G256" s="37">
        <v>749</v>
      </c>
      <c r="H256" s="41" t="s">
        <v>464</v>
      </c>
      <c r="I256" s="37" t="s">
        <v>1354</v>
      </c>
      <c r="J256" s="43" t="s">
        <v>1353</v>
      </c>
      <c r="K256" s="43" t="s">
        <v>2901</v>
      </c>
      <c r="L256" s="42" t="s">
        <v>1355</v>
      </c>
      <c r="M256" s="12">
        <f t="shared" si="4"/>
        <v>253</v>
      </c>
    </row>
    <row r="257" spans="1:13" ht="30.6" x14ac:dyDescent="0.25">
      <c r="A257" s="30">
        <v>254</v>
      </c>
      <c r="B257" s="37" t="s">
        <v>1361</v>
      </c>
      <c r="C257" s="37">
        <v>101497699</v>
      </c>
      <c r="D257" s="39"/>
      <c r="E257" s="40" t="s">
        <v>4091</v>
      </c>
      <c r="F257" s="37" t="s">
        <v>1356</v>
      </c>
      <c r="G257" s="37" t="s">
        <v>4092</v>
      </c>
      <c r="H257" s="41" t="s">
        <v>464</v>
      </c>
      <c r="I257" s="37" t="s">
        <v>1357</v>
      </c>
      <c r="J257" s="43" t="s">
        <v>1358</v>
      </c>
      <c r="K257" s="43" t="s">
        <v>1359</v>
      </c>
      <c r="L257" s="43" t="s">
        <v>1360</v>
      </c>
      <c r="M257" s="12">
        <f t="shared" si="4"/>
        <v>254</v>
      </c>
    </row>
    <row r="258" spans="1:13" ht="30.6" x14ac:dyDescent="0.25">
      <c r="A258" s="30">
        <v>255</v>
      </c>
      <c r="B258" s="38" t="s">
        <v>320</v>
      </c>
      <c r="C258" s="37">
        <v>690831296</v>
      </c>
      <c r="D258" s="39" t="s">
        <v>1362</v>
      </c>
      <c r="E258" s="40" t="s">
        <v>4241</v>
      </c>
      <c r="F258" s="30" t="s">
        <v>1363</v>
      </c>
      <c r="G258" s="37" t="s">
        <v>4014</v>
      </c>
      <c r="H258" s="41" t="s">
        <v>2906</v>
      </c>
      <c r="I258" s="30" t="s">
        <v>1364</v>
      </c>
      <c r="J258" s="43" t="s">
        <v>1010</v>
      </c>
      <c r="K258" s="43" t="s">
        <v>2901</v>
      </c>
      <c r="L258" s="42" t="s">
        <v>1011</v>
      </c>
      <c r="M258" s="12">
        <f t="shared" si="4"/>
        <v>255</v>
      </c>
    </row>
    <row r="259" spans="1:13" ht="51" x14ac:dyDescent="0.25">
      <c r="A259" s="30">
        <v>256</v>
      </c>
      <c r="B259" s="38" t="s">
        <v>3622</v>
      </c>
      <c r="C259" s="37">
        <v>190787319</v>
      </c>
      <c r="D259" s="39" t="s">
        <v>1012</v>
      </c>
      <c r="E259" s="40">
        <v>3012022413511</v>
      </c>
      <c r="F259" s="37" t="s">
        <v>1013</v>
      </c>
      <c r="G259" s="37">
        <v>739</v>
      </c>
      <c r="H259" s="41" t="s">
        <v>464</v>
      </c>
      <c r="I259" s="37" t="s">
        <v>1014</v>
      </c>
      <c r="J259" s="42" t="s">
        <v>1015</v>
      </c>
      <c r="K259" s="43" t="s">
        <v>2901</v>
      </c>
      <c r="L259" s="42" t="s">
        <v>1016</v>
      </c>
      <c r="M259" s="12">
        <f t="shared" si="4"/>
        <v>256</v>
      </c>
    </row>
    <row r="260" spans="1:13" ht="30.6" x14ac:dyDescent="0.25">
      <c r="A260" s="30">
        <v>257</v>
      </c>
      <c r="B260" s="38" t="s">
        <v>3238</v>
      </c>
      <c r="C260" s="37">
        <v>191870208</v>
      </c>
      <c r="D260" s="39"/>
      <c r="E260" s="40">
        <v>3012908930017</v>
      </c>
      <c r="F260" s="37" t="s">
        <v>1017</v>
      </c>
      <c r="G260" s="37">
        <v>739</v>
      </c>
      <c r="H260" s="41" t="s">
        <v>464</v>
      </c>
      <c r="I260" s="37" t="s">
        <v>1018</v>
      </c>
      <c r="J260" s="43" t="s">
        <v>1019</v>
      </c>
      <c r="K260" s="43" t="s">
        <v>2901</v>
      </c>
      <c r="L260" s="42" t="s">
        <v>1020</v>
      </c>
      <c r="M260" s="12">
        <f t="shared" si="4"/>
        <v>257</v>
      </c>
    </row>
    <row r="261" spans="1:13" ht="20.399999999999999" x14ac:dyDescent="0.25">
      <c r="A261" s="30">
        <v>258</v>
      </c>
      <c r="B261" s="38" t="s">
        <v>270</v>
      </c>
      <c r="C261" s="37">
        <v>190672348</v>
      </c>
      <c r="D261" s="39" t="s">
        <v>271</v>
      </c>
      <c r="E261" s="40">
        <v>3012004688008</v>
      </c>
      <c r="F261" s="37" t="s">
        <v>272</v>
      </c>
      <c r="G261" s="37">
        <v>226</v>
      </c>
      <c r="H261" s="41" t="s">
        <v>1225</v>
      </c>
      <c r="I261" s="37" t="s">
        <v>273</v>
      </c>
      <c r="J261" s="42" t="s">
        <v>274</v>
      </c>
      <c r="K261" s="43" t="s">
        <v>2901</v>
      </c>
      <c r="L261" s="42" t="s">
        <v>275</v>
      </c>
      <c r="M261" s="12">
        <f t="shared" ref="M261:M324" si="5">ROW()-3</f>
        <v>258</v>
      </c>
    </row>
    <row r="262" spans="1:13" ht="20.399999999999999" x14ac:dyDescent="0.25">
      <c r="A262" s="30">
        <v>259</v>
      </c>
      <c r="B262" s="38" t="s">
        <v>1801</v>
      </c>
      <c r="C262" s="37">
        <v>690230682</v>
      </c>
      <c r="D262" s="39" t="s">
        <v>276</v>
      </c>
      <c r="E262" s="40">
        <v>3012010451295</v>
      </c>
      <c r="F262" s="37" t="s">
        <v>277</v>
      </c>
      <c r="G262" s="37"/>
      <c r="H262" s="41" t="s">
        <v>464</v>
      </c>
      <c r="I262" s="37" t="s">
        <v>278</v>
      </c>
      <c r="J262" s="42" t="s">
        <v>279</v>
      </c>
      <c r="K262" s="43" t="s">
        <v>2901</v>
      </c>
      <c r="L262" s="42" t="s">
        <v>280</v>
      </c>
      <c r="M262" s="12">
        <f t="shared" si="5"/>
        <v>259</v>
      </c>
    </row>
    <row r="263" spans="1:13" ht="30.6" x14ac:dyDescent="0.25">
      <c r="A263" s="30">
        <v>260</v>
      </c>
      <c r="B263" s="38" t="s">
        <v>3289</v>
      </c>
      <c r="C263" s="37">
        <v>691459653</v>
      </c>
      <c r="D263" s="39" t="s">
        <v>281</v>
      </c>
      <c r="E263" s="40">
        <v>3012026117119</v>
      </c>
      <c r="F263" s="37" t="s">
        <v>282</v>
      </c>
      <c r="G263" s="37">
        <v>749</v>
      </c>
      <c r="H263" s="41" t="s">
        <v>283</v>
      </c>
      <c r="I263" s="37" t="s">
        <v>286</v>
      </c>
      <c r="J263" s="43" t="s">
        <v>285</v>
      </c>
      <c r="K263" s="43" t="s">
        <v>2901</v>
      </c>
      <c r="L263" s="42" t="s">
        <v>284</v>
      </c>
      <c r="M263" s="12">
        <f t="shared" si="5"/>
        <v>260</v>
      </c>
    </row>
    <row r="264" spans="1:13" ht="30.6" x14ac:dyDescent="0.25">
      <c r="A264" s="30">
        <v>261</v>
      </c>
      <c r="B264" s="38" t="s">
        <v>287</v>
      </c>
      <c r="C264" s="37">
        <v>100233681</v>
      </c>
      <c r="D264" s="39" t="s">
        <v>288</v>
      </c>
      <c r="E264" s="40">
        <v>3012009619086</v>
      </c>
      <c r="F264" s="37" t="s">
        <v>289</v>
      </c>
      <c r="G264" s="37">
        <v>720</v>
      </c>
      <c r="H264" s="41" t="s">
        <v>464</v>
      </c>
      <c r="I264" s="37" t="s">
        <v>290</v>
      </c>
      <c r="J264" s="43" t="s">
        <v>291</v>
      </c>
      <c r="K264" s="43" t="s">
        <v>2901</v>
      </c>
      <c r="L264" s="42" t="s">
        <v>292</v>
      </c>
      <c r="M264" s="12">
        <f t="shared" si="5"/>
        <v>261</v>
      </c>
    </row>
    <row r="265" spans="1:13" ht="20.399999999999999" x14ac:dyDescent="0.25">
      <c r="A265" s="30">
        <v>262</v>
      </c>
      <c r="B265" s="38" t="s">
        <v>293</v>
      </c>
      <c r="C265" s="37">
        <v>691533075</v>
      </c>
      <c r="D265" s="39"/>
      <c r="E265" s="40">
        <v>3012157025013</v>
      </c>
      <c r="F265" s="37" t="s">
        <v>294</v>
      </c>
      <c r="G265" s="37">
        <v>369</v>
      </c>
      <c r="H265" s="41" t="s">
        <v>464</v>
      </c>
      <c r="I265" s="37" t="s">
        <v>295</v>
      </c>
      <c r="J265" s="43" t="s">
        <v>296</v>
      </c>
      <c r="K265" s="43" t="s">
        <v>2901</v>
      </c>
      <c r="L265" s="42" t="s">
        <v>297</v>
      </c>
      <c r="M265" s="12">
        <f t="shared" si="5"/>
        <v>262</v>
      </c>
    </row>
    <row r="266" spans="1:13" ht="51" x14ac:dyDescent="0.25">
      <c r="A266" s="30">
        <v>263</v>
      </c>
      <c r="B266" s="38" t="s">
        <v>298</v>
      </c>
      <c r="C266" s="37">
        <v>100315395</v>
      </c>
      <c r="D266" s="39" t="s">
        <v>299</v>
      </c>
      <c r="E266" s="40">
        <v>3012103524018</v>
      </c>
      <c r="F266" s="37" t="s">
        <v>300</v>
      </c>
      <c r="G266" s="37">
        <v>153001369</v>
      </c>
      <c r="H266" s="41" t="s">
        <v>301</v>
      </c>
      <c r="I266" s="37" t="s">
        <v>305</v>
      </c>
      <c r="J266" s="43" t="s">
        <v>302</v>
      </c>
      <c r="K266" s="43" t="s">
        <v>303</v>
      </c>
      <c r="L266" s="42" t="s">
        <v>304</v>
      </c>
      <c r="M266" s="12">
        <f t="shared" si="5"/>
        <v>263</v>
      </c>
    </row>
    <row r="267" spans="1:13" ht="30.6" x14ac:dyDescent="0.25">
      <c r="A267" s="30">
        <v>264</v>
      </c>
      <c r="B267" s="38" t="s">
        <v>39</v>
      </c>
      <c r="C267" s="37">
        <v>691428702</v>
      </c>
      <c r="D267" s="39"/>
      <c r="E267" s="40">
        <v>3012180475005</v>
      </c>
      <c r="F267" s="37" t="s">
        <v>3229</v>
      </c>
      <c r="G267" s="37">
        <v>226</v>
      </c>
      <c r="H267" s="41" t="s">
        <v>464</v>
      </c>
      <c r="I267" s="37" t="s">
        <v>3230</v>
      </c>
      <c r="J267" s="42" t="s">
        <v>3231</v>
      </c>
      <c r="K267" s="42" t="s">
        <v>2901</v>
      </c>
      <c r="L267" s="42" t="s">
        <v>3232</v>
      </c>
      <c r="M267" s="12">
        <f t="shared" si="5"/>
        <v>264</v>
      </c>
    </row>
    <row r="268" spans="1:13" ht="30.6" x14ac:dyDescent="0.25">
      <c r="A268" s="30">
        <v>265</v>
      </c>
      <c r="B268" s="38" t="s">
        <v>2409</v>
      </c>
      <c r="C268" s="37">
        <v>691464441</v>
      </c>
      <c r="D268" s="39"/>
      <c r="E268" s="40">
        <v>3012137980014</v>
      </c>
      <c r="F268" s="37" t="s">
        <v>3233</v>
      </c>
      <c r="G268" s="37">
        <v>117</v>
      </c>
      <c r="H268" s="41" t="s">
        <v>464</v>
      </c>
      <c r="I268" s="37" t="s">
        <v>3234</v>
      </c>
      <c r="J268" s="42" t="s">
        <v>3235</v>
      </c>
      <c r="K268" s="43" t="s">
        <v>2901</v>
      </c>
      <c r="L268" s="42" t="s">
        <v>3236</v>
      </c>
      <c r="M268" s="12">
        <f t="shared" si="5"/>
        <v>265</v>
      </c>
    </row>
    <row r="269" spans="1:13" ht="20.399999999999999" x14ac:dyDescent="0.25">
      <c r="A269" s="30">
        <v>266</v>
      </c>
      <c r="B269" s="38" t="s">
        <v>1703</v>
      </c>
      <c r="C269" s="37">
        <v>100826028</v>
      </c>
      <c r="D269" s="39" t="s">
        <v>75</v>
      </c>
      <c r="E269" s="40">
        <v>3012200650011</v>
      </c>
      <c r="F269" s="37" t="s">
        <v>76</v>
      </c>
      <c r="G269" s="37">
        <v>898</v>
      </c>
      <c r="H269" s="41" t="s">
        <v>2906</v>
      </c>
      <c r="I269" s="37" t="s">
        <v>77</v>
      </c>
      <c r="J269" s="42" t="s">
        <v>78</v>
      </c>
      <c r="K269" s="43" t="s">
        <v>2901</v>
      </c>
      <c r="L269" s="42" t="s">
        <v>79</v>
      </c>
      <c r="M269" s="12">
        <f t="shared" si="5"/>
        <v>266</v>
      </c>
    </row>
    <row r="270" spans="1:13" ht="30.6" x14ac:dyDescent="0.25">
      <c r="A270" s="30">
        <v>267</v>
      </c>
      <c r="B270" s="38" t="s">
        <v>80</v>
      </c>
      <c r="C270" s="37">
        <v>691433424</v>
      </c>
      <c r="D270" s="39"/>
      <c r="E270" s="40">
        <v>3012150955018</v>
      </c>
      <c r="F270" s="37" t="s">
        <v>3716</v>
      </c>
      <c r="G270" s="37">
        <v>369</v>
      </c>
      <c r="H270" s="41" t="s">
        <v>2906</v>
      </c>
      <c r="I270" s="37" t="s">
        <v>81</v>
      </c>
      <c r="J270" s="43" t="s">
        <v>82</v>
      </c>
      <c r="K270" s="43" t="s">
        <v>2901</v>
      </c>
      <c r="L270" s="42" t="s">
        <v>83</v>
      </c>
      <c r="M270" s="12">
        <f t="shared" si="5"/>
        <v>267</v>
      </c>
    </row>
    <row r="271" spans="1:13" ht="30.6" x14ac:dyDescent="0.25">
      <c r="A271" s="30">
        <v>268</v>
      </c>
      <c r="B271" s="38" t="s">
        <v>85</v>
      </c>
      <c r="C271" s="37">
        <v>192199251</v>
      </c>
      <c r="D271" s="39"/>
      <c r="E271" s="40">
        <v>3012226400014</v>
      </c>
      <c r="F271" s="37" t="s">
        <v>86</v>
      </c>
      <c r="G271" s="37">
        <v>117</v>
      </c>
      <c r="H271" s="41" t="s">
        <v>3719</v>
      </c>
      <c r="I271" s="37" t="s">
        <v>87</v>
      </c>
      <c r="J271" s="43" t="s">
        <v>88</v>
      </c>
      <c r="K271" s="43" t="s">
        <v>2901</v>
      </c>
      <c r="L271" s="42" t="s">
        <v>89</v>
      </c>
      <c r="M271" s="12">
        <f t="shared" si="5"/>
        <v>268</v>
      </c>
    </row>
    <row r="272" spans="1:13" ht="40.799999999999997" x14ac:dyDescent="0.25">
      <c r="A272" s="30">
        <v>269</v>
      </c>
      <c r="B272" s="38" t="s">
        <v>428</v>
      </c>
      <c r="C272" s="37">
        <v>100783448</v>
      </c>
      <c r="D272" s="39" t="s">
        <v>90</v>
      </c>
      <c r="E272" s="40">
        <v>3604000000193</v>
      </c>
      <c r="F272" s="37" t="s">
        <v>91</v>
      </c>
      <c r="G272" s="37">
        <v>815</v>
      </c>
      <c r="H272" s="41" t="s">
        <v>2906</v>
      </c>
      <c r="I272" s="37" t="s">
        <v>92</v>
      </c>
      <c r="J272" s="43" t="s">
        <v>93</v>
      </c>
      <c r="K272" s="43" t="s">
        <v>2901</v>
      </c>
      <c r="L272" s="42" t="s">
        <v>94</v>
      </c>
      <c r="M272" s="12">
        <f t="shared" si="5"/>
        <v>269</v>
      </c>
    </row>
    <row r="273" spans="1:13" ht="40.799999999999997" x14ac:dyDescent="0.25">
      <c r="A273" s="30">
        <v>270</v>
      </c>
      <c r="B273" s="38" t="s">
        <v>95</v>
      </c>
      <c r="C273" s="37">
        <v>690622445</v>
      </c>
      <c r="D273" s="39"/>
      <c r="E273" s="40">
        <v>3012415080016</v>
      </c>
      <c r="F273" s="37" t="s">
        <v>96</v>
      </c>
      <c r="G273" s="37">
        <v>942</v>
      </c>
      <c r="H273" s="41" t="s">
        <v>464</v>
      </c>
      <c r="I273" s="37" t="s">
        <v>99</v>
      </c>
      <c r="J273" s="43" t="s">
        <v>97</v>
      </c>
      <c r="K273" s="43" t="s">
        <v>2901</v>
      </c>
      <c r="L273" s="42" t="s">
        <v>98</v>
      </c>
      <c r="M273" s="12">
        <f t="shared" si="5"/>
        <v>270</v>
      </c>
    </row>
    <row r="274" spans="1:13" ht="40.799999999999997" x14ac:dyDescent="0.25">
      <c r="A274" s="30">
        <v>271</v>
      </c>
      <c r="B274" s="38" t="s">
        <v>100</v>
      </c>
      <c r="C274" s="37">
        <v>691317872</v>
      </c>
      <c r="D274" s="39"/>
      <c r="E274" s="40">
        <v>30124160080015</v>
      </c>
      <c r="F274" s="37" t="s">
        <v>96</v>
      </c>
      <c r="G274" s="37">
        <v>942</v>
      </c>
      <c r="H274" s="41" t="s">
        <v>464</v>
      </c>
      <c r="I274" s="37" t="s">
        <v>102</v>
      </c>
      <c r="J274" s="43" t="s">
        <v>101</v>
      </c>
      <c r="K274" s="43" t="s">
        <v>2901</v>
      </c>
      <c r="L274" s="42" t="s">
        <v>98</v>
      </c>
      <c r="M274" s="12">
        <f t="shared" si="5"/>
        <v>271</v>
      </c>
    </row>
    <row r="275" spans="1:13" ht="30.6" x14ac:dyDescent="0.25">
      <c r="A275" s="30">
        <v>272</v>
      </c>
      <c r="B275" s="38" t="s">
        <v>940</v>
      </c>
      <c r="C275" s="37">
        <v>690024195</v>
      </c>
      <c r="D275" s="39" t="s">
        <v>103</v>
      </c>
      <c r="E275" s="40">
        <v>3012107283007</v>
      </c>
      <c r="F275" s="37" t="s">
        <v>104</v>
      </c>
      <c r="G275" s="37">
        <v>153001226</v>
      </c>
      <c r="H275" s="41" t="s">
        <v>464</v>
      </c>
      <c r="I275" s="37" t="s">
        <v>105</v>
      </c>
      <c r="J275" s="43" t="s">
        <v>106</v>
      </c>
      <c r="K275" s="43" t="s">
        <v>2901</v>
      </c>
      <c r="L275" s="42" t="s">
        <v>107</v>
      </c>
      <c r="M275" s="12">
        <f t="shared" si="5"/>
        <v>272</v>
      </c>
    </row>
    <row r="276" spans="1:13" ht="30.6" x14ac:dyDescent="0.25">
      <c r="A276" s="30">
        <v>273</v>
      </c>
      <c r="B276" s="38" t="s">
        <v>108</v>
      </c>
      <c r="C276" s="37">
        <v>100051189</v>
      </c>
      <c r="D276" s="39" t="s">
        <v>109</v>
      </c>
      <c r="E276" s="40">
        <v>3012201180014</v>
      </c>
      <c r="F276" s="37" t="s">
        <v>110</v>
      </c>
      <c r="G276" s="37">
        <v>898</v>
      </c>
      <c r="H276" s="41" t="s">
        <v>464</v>
      </c>
      <c r="I276" s="37" t="s">
        <v>111</v>
      </c>
      <c r="J276" s="43" t="s">
        <v>112</v>
      </c>
      <c r="K276" s="43" t="s">
        <v>2901</v>
      </c>
      <c r="L276" s="42" t="s">
        <v>113</v>
      </c>
      <c r="M276" s="12">
        <f t="shared" si="5"/>
        <v>273</v>
      </c>
    </row>
    <row r="277" spans="1:13" ht="20.399999999999999" x14ac:dyDescent="0.25">
      <c r="A277" s="30">
        <v>274</v>
      </c>
      <c r="B277" s="38" t="s">
        <v>2719</v>
      </c>
      <c r="C277" s="37">
        <v>191116406</v>
      </c>
      <c r="D277" s="39" t="s">
        <v>119</v>
      </c>
      <c r="E277" s="40">
        <v>3012035450008</v>
      </c>
      <c r="F277" s="37" t="s">
        <v>120</v>
      </c>
      <c r="G277" s="37">
        <v>175</v>
      </c>
      <c r="H277" s="41" t="s">
        <v>2906</v>
      </c>
      <c r="I277" s="37" t="s">
        <v>121</v>
      </c>
      <c r="J277" s="43" t="s">
        <v>122</v>
      </c>
      <c r="K277" s="43" t="s">
        <v>2901</v>
      </c>
      <c r="L277" s="43" t="s">
        <v>123</v>
      </c>
      <c r="M277" s="12">
        <f t="shared" si="5"/>
        <v>274</v>
      </c>
    </row>
    <row r="278" spans="1:13" ht="20.399999999999999" x14ac:dyDescent="0.25">
      <c r="A278" s="30">
        <v>275</v>
      </c>
      <c r="B278" s="31" t="s">
        <v>124</v>
      </c>
      <c r="C278" s="30">
        <v>690636470</v>
      </c>
      <c r="D278" s="32"/>
      <c r="E278" s="33">
        <v>3012294880005</v>
      </c>
      <c r="F278" s="30" t="s">
        <v>125</v>
      </c>
      <c r="G278" s="30">
        <v>765</v>
      </c>
      <c r="H278" s="41"/>
      <c r="I278" s="37" t="s">
        <v>126</v>
      </c>
      <c r="J278" s="43"/>
      <c r="K278" s="43"/>
      <c r="L278" s="42" t="s">
        <v>127</v>
      </c>
      <c r="M278" s="12">
        <f t="shared" si="5"/>
        <v>275</v>
      </c>
    </row>
    <row r="279" spans="1:13" ht="20.399999999999999" x14ac:dyDescent="0.25">
      <c r="A279" s="30">
        <v>276</v>
      </c>
      <c r="B279" s="44" t="s">
        <v>537</v>
      </c>
      <c r="C279" s="37">
        <v>800002060</v>
      </c>
      <c r="D279" s="39" t="s">
        <v>538</v>
      </c>
      <c r="E279" s="40">
        <v>3012007770012</v>
      </c>
      <c r="F279" s="37" t="s">
        <v>539</v>
      </c>
      <c r="G279" s="37">
        <v>749</v>
      </c>
      <c r="H279" s="34" t="s">
        <v>464</v>
      </c>
      <c r="I279" s="30" t="s">
        <v>540</v>
      </c>
      <c r="J279" s="36" t="s">
        <v>541</v>
      </c>
      <c r="K279" s="36" t="s">
        <v>2901</v>
      </c>
      <c r="L279" s="35" t="s">
        <v>542</v>
      </c>
      <c r="M279" s="12">
        <f t="shared" si="5"/>
        <v>276</v>
      </c>
    </row>
    <row r="280" spans="1:13" ht="30.6" x14ac:dyDescent="0.25">
      <c r="A280" s="30">
        <v>277</v>
      </c>
      <c r="B280" s="38" t="s">
        <v>938</v>
      </c>
      <c r="C280" s="37">
        <v>100429530</v>
      </c>
      <c r="D280" s="39" t="s">
        <v>543</v>
      </c>
      <c r="E280" s="40">
        <v>3015563860011</v>
      </c>
      <c r="F280" s="37" t="s">
        <v>544</v>
      </c>
      <c r="G280" s="37">
        <v>739</v>
      </c>
      <c r="H280" s="41" t="s">
        <v>1440</v>
      </c>
      <c r="I280" s="37" t="s">
        <v>545</v>
      </c>
      <c r="J280" s="42" t="s">
        <v>546</v>
      </c>
      <c r="K280" s="42" t="s">
        <v>2901</v>
      </c>
      <c r="L280" s="42" t="s">
        <v>547</v>
      </c>
      <c r="M280" s="12">
        <f t="shared" si="5"/>
        <v>277</v>
      </c>
    </row>
    <row r="281" spans="1:13" ht="20.399999999999999" x14ac:dyDescent="0.25">
      <c r="A281" s="30">
        <v>278</v>
      </c>
      <c r="B281" s="38" t="s">
        <v>548</v>
      </c>
      <c r="C281" s="37">
        <v>192599529</v>
      </c>
      <c r="D281" s="39"/>
      <c r="E281" s="40">
        <v>3012000099016</v>
      </c>
      <c r="F281" s="37" t="s">
        <v>3346</v>
      </c>
      <c r="G281" s="37">
        <v>742</v>
      </c>
      <c r="H281" s="41" t="s">
        <v>464</v>
      </c>
      <c r="I281" s="37" t="s">
        <v>550</v>
      </c>
      <c r="J281" s="43" t="s">
        <v>549</v>
      </c>
      <c r="K281" s="43" t="s">
        <v>2901</v>
      </c>
      <c r="L281" s="43" t="s">
        <v>551</v>
      </c>
      <c r="M281" s="12">
        <f t="shared" si="5"/>
        <v>278</v>
      </c>
    </row>
    <row r="282" spans="1:13" ht="20.399999999999999" x14ac:dyDescent="0.25">
      <c r="A282" s="30">
        <v>279</v>
      </c>
      <c r="B282" s="38" t="s">
        <v>2707</v>
      </c>
      <c r="C282" s="37">
        <v>100667855</v>
      </c>
      <c r="D282" s="39" t="s">
        <v>552</v>
      </c>
      <c r="E282" s="40">
        <v>3015102223014</v>
      </c>
      <c r="F282" s="37" t="s">
        <v>553</v>
      </c>
      <c r="G282" s="37">
        <v>369</v>
      </c>
      <c r="H282" s="41" t="s">
        <v>554</v>
      </c>
      <c r="I282" s="37" t="s">
        <v>555</v>
      </c>
      <c r="J282" s="43" t="s">
        <v>556</v>
      </c>
      <c r="K282" s="43" t="s">
        <v>2901</v>
      </c>
      <c r="L282" s="42" t="s">
        <v>557</v>
      </c>
      <c r="M282" s="12">
        <f t="shared" si="5"/>
        <v>279</v>
      </c>
    </row>
    <row r="283" spans="1:13" ht="30.6" x14ac:dyDescent="0.25">
      <c r="A283" s="30">
        <v>280</v>
      </c>
      <c r="B283" s="38" t="s">
        <v>3600</v>
      </c>
      <c r="C283" s="37">
        <v>690628627</v>
      </c>
      <c r="D283" s="39"/>
      <c r="E283" s="40">
        <v>3012011370017</v>
      </c>
      <c r="F283" s="37" t="s">
        <v>558</v>
      </c>
      <c r="G283" s="37">
        <v>749</v>
      </c>
      <c r="H283" s="41" t="s">
        <v>2906</v>
      </c>
      <c r="I283" s="37" t="s">
        <v>559</v>
      </c>
      <c r="J283" s="43" t="s">
        <v>560</v>
      </c>
      <c r="K283" s="43" t="s">
        <v>2901</v>
      </c>
      <c r="L283" s="42" t="s">
        <v>561</v>
      </c>
      <c r="M283" s="12">
        <f t="shared" si="5"/>
        <v>280</v>
      </c>
    </row>
    <row r="284" spans="1:13" ht="20.399999999999999" x14ac:dyDescent="0.25">
      <c r="A284" s="30">
        <v>281</v>
      </c>
      <c r="B284" s="38" t="s">
        <v>2169</v>
      </c>
      <c r="C284" s="37">
        <v>100103346</v>
      </c>
      <c r="D284" s="39" t="s">
        <v>2170</v>
      </c>
      <c r="E284" s="40" t="s">
        <v>4071</v>
      </c>
      <c r="F284" s="37" t="s">
        <v>2171</v>
      </c>
      <c r="G284" s="37" t="s">
        <v>4072</v>
      </c>
      <c r="H284" s="41" t="s">
        <v>1179</v>
      </c>
      <c r="I284" s="37" t="s">
        <v>2172</v>
      </c>
      <c r="J284" s="43" t="s">
        <v>2174</v>
      </c>
      <c r="K284" s="43" t="s">
        <v>2901</v>
      </c>
      <c r="L284" s="42" t="s">
        <v>2173</v>
      </c>
      <c r="M284" s="12">
        <f t="shared" si="5"/>
        <v>281</v>
      </c>
    </row>
    <row r="285" spans="1:13" ht="20.399999999999999" x14ac:dyDescent="0.25">
      <c r="A285" s="30">
        <v>282</v>
      </c>
      <c r="B285" s="31" t="s">
        <v>2875</v>
      </c>
      <c r="C285" s="30">
        <v>190996805</v>
      </c>
      <c r="D285" s="32"/>
      <c r="E285" s="33">
        <v>3012022150005</v>
      </c>
      <c r="F285" s="30" t="s">
        <v>2175</v>
      </c>
      <c r="G285" s="30">
        <v>175</v>
      </c>
      <c r="H285" s="41" t="s">
        <v>2906</v>
      </c>
      <c r="I285" s="37" t="s">
        <v>2176</v>
      </c>
      <c r="J285" s="43" t="s">
        <v>2177</v>
      </c>
      <c r="K285" s="43" t="s">
        <v>2901</v>
      </c>
      <c r="L285" s="42" t="s">
        <v>2178</v>
      </c>
      <c r="M285" s="12">
        <f t="shared" si="5"/>
        <v>282</v>
      </c>
    </row>
    <row r="286" spans="1:13" ht="30.6" x14ac:dyDescent="0.25">
      <c r="A286" s="30">
        <v>283</v>
      </c>
      <c r="B286" s="38" t="s">
        <v>1002</v>
      </c>
      <c r="C286" s="37">
        <v>690033956</v>
      </c>
      <c r="D286" s="39"/>
      <c r="E286" s="40">
        <v>3012012120010</v>
      </c>
      <c r="F286" s="37" t="s">
        <v>2179</v>
      </c>
      <c r="G286" s="37">
        <v>272</v>
      </c>
      <c r="H286" s="34" t="s">
        <v>464</v>
      </c>
      <c r="I286" s="30" t="s">
        <v>2180</v>
      </c>
      <c r="J286" s="36" t="s">
        <v>2181</v>
      </c>
      <c r="K286" s="43" t="s">
        <v>2901</v>
      </c>
      <c r="L286" s="42" t="s">
        <v>2182</v>
      </c>
      <c r="M286" s="12">
        <f t="shared" si="5"/>
        <v>283</v>
      </c>
    </row>
    <row r="287" spans="1:13" ht="20.399999999999999" x14ac:dyDescent="0.25">
      <c r="A287" s="30">
        <v>284</v>
      </c>
      <c r="B287" s="31" t="s">
        <v>2183</v>
      </c>
      <c r="C287" s="30">
        <v>500404755</v>
      </c>
      <c r="D287" s="32"/>
      <c r="E287" s="33">
        <v>3012610155011</v>
      </c>
      <c r="F287" s="30" t="s">
        <v>2184</v>
      </c>
      <c r="G287" s="30">
        <v>749</v>
      </c>
      <c r="H287" s="41" t="s">
        <v>464</v>
      </c>
      <c r="I287" s="37" t="s">
        <v>2185</v>
      </c>
      <c r="J287" s="43" t="s">
        <v>2186</v>
      </c>
      <c r="K287" s="43" t="s">
        <v>2901</v>
      </c>
      <c r="L287" s="42" t="s">
        <v>2187</v>
      </c>
      <c r="M287" s="12">
        <f t="shared" si="5"/>
        <v>284</v>
      </c>
    </row>
    <row r="288" spans="1:13" ht="30.6" x14ac:dyDescent="0.25">
      <c r="A288" s="30">
        <v>285</v>
      </c>
      <c r="B288" s="38" t="s">
        <v>1668</v>
      </c>
      <c r="C288" s="37">
        <v>600049639</v>
      </c>
      <c r="D288" s="39" t="s">
        <v>2188</v>
      </c>
      <c r="E288" s="40">
        <v>3012000053717</v>
      </c>
      <c r="F288" s="37" t="s">
        <v>2189</v>
      </c>
      <c r="G288" s="37">
        <v>7369</v>
      </c>
      <c r="H288" s="34" t="s">
        <v>2906</v>
      </c>
      <c r="I288" s="30" t="s">
        <v>2190</v>
      </c>
      <c r="J288" s="36" t="s">
        <v>2191</v>
      </c>
      <c r="K288" s="36" t="s">
        <v>2901</v>
      </c>
      <c r="L288" s="35" t="s">
        <v>2192</v>
      </c>
      <c r="M288" s="12">
        <f t="shared" si="5"/>
        <v>285</v>
      </c>
    </row>
    <row r="289" spans="1:13" ht="30.6" x14ac:dyDescent="0.25">
      <c r="A289" s="30">
        <v>286</v>
      </c>
      <c r="B289" s="38" t="s">
        <v>2111</v>
      </c>
      <c r="C289" s="37">
        <v>101129360</v>
      </c>
      <c r="D289" s="39" t="s">
        <v>2193</v>
      </c>
      <c r="E289" s="40">
        <v>3012010596010</v>
      </c>
      <c r="F289" s="37" t="s">
        <v>2194</v>
      </c>
      <c r="G289" s="37">
        <v>749</v>
      </c>
      <c r="H289" s="41" t="s">
        <v>1578</v>
      </c>
      <c r="I289" s="37" t="s">
        <v>2195</v>
      </c>
      <c r="J289" s="43" t="s">
        <v>2196</v>
      </c>
      <c r="K289" s="43" t="s">
        <v>2197</v>
      </c>
      <c r="L289" s="42" t="s">
        <v>2198</v>
      </c>
      <c r="M289" s="12">
        <f t="shared" si="5"/>
        <v>286</v>
      </c>
    </row>
    <row r="290" spans="1:13" ht="20.399999999999999" x14ac:dyDescent="0.25">
      <c r="A290" s="30">
        <v>287</v>
      </c>
      <c r="B290" s="38" t="s">
        <v>2199</v>
      </c>
      <c r="C290" s="37">
        <v>191602169</v>
      </c>
      <c r="D290" s="39"/>
      <c r="E290" s="40">
        <v>3012000063185</v>
      </c>
      <c r="F290" s="37" t="s">
        <v>2200</v>
      </c>
      <c r="G290" s="37">
        <v>742</v>
      </c>
      <c r="H290" s="41" t="s">
        <v>1578</v>
      </c>
      <c r="I290" s="37" t="s">
        <v>2207</v>
      </c>
      <c r="J290" s="43" t="s">
        <v>2201</v>
      </c>
      <c r="K290" s="43" t="s">
        <v>2202</v>
      </c>
      <c r="L290" s="42" t="s">
        <v>2203</v>
      </c>
      <c r="M290" s="12">
        <f t="shared" si="5"/>
        <v>287</v>
      </c>
    </row>
    <row r="291" spans="1:13" ht="30.6" x14ac:dyDescent="0.25">
      <c r="A291" s="30">
        <v>288</v>
      </c>
      <c r="B291" s="38" t="s">
        <v>2205</v>
      </c>
      <c r="C291" s="37">
        <v>812004321</v>
      </c>
      <c r="D291" s="39"/>
      <c r="E291" s="40">
        <v>3012303135016</v>
      </c>
      <c r="F291" s="37" t="s">
        <v>2206</v>
      </c>
      <c r="G291" s="37">
        <v>749</v>
      </c>
      <c r="H291" s="41" t="s">
        <v>464</v>
      </c>
      <c r="I291" s="37" t="s">
        <v>2209</v>
      </c>
      <c r="J291" s="43" t="s">
        <v>2210</v>
      </c>
      <c r="K291" s="43" t="s">
        <v>2901</v>
      </c>
      <c r="L291" s="42" t="s">
        <v>2211</v>
      </c>
      <c r="M291" s="12">
        <f t="shared" si="5"/>
        <v>288</v>
      </c>
    </row>
    <row r="292" spans="1:13" ht="30.6" x14ac:dyDescent="0.25">
      <c r="A292" s="30">
        <v>289</v>
      </c>
      <c r="B292" s="38" t="s">
        <v>393</v>
      </c>
      <c r="C292" s="37">
        <v>191487825</v>
      </c>
      <c r="D292" s="39"/>
      <c r="E292" s="40">
        <v>3012279860014</v>
      </c>
      <c r="F292" s="37" t="s">
        <v>2212</v>
      </c>
      <c r="G292" s="37">
        <v>964</v>
      </c>
      <c r="H292" s="41" t="s">
        <v>2906</v>
      </c>
      <c r="I292" s="37" t="s">
        <v>2213</v>
      </c>
      <c r="J292" s="42" t="s">
        <v>2214</v>
      </c>
      <c r="K292" s="43" t="s">
        <v>2901</v>
      </c>
      <c r="L292" s="42" t="s">
        <v>2215</v>
      </c>
      <c r="M292" s="12">
        <f t="shared" si="5"/>
        <v>289</v>
      </c>
    </row>
    <row r="293" spans="1:13" ht="30.6" x14ac:dyDescent="0.25">
      <c r="A293" s="30">
        <v>290</v>
      </c>
      <c r="B293" s="38" t="s">
        <v>2216</v>
      </c>
      <c r="C293" s="37">
        <v>191449767</v>
      </c>
      <c r="D293" s="39"/>
      <c r="E293" s="40">
        <v>3012006215004</v>
      </c>
      <c r="F293" s="37" t="s">
        <v>2217</v>
      </c>
      <c r="G293" s="37">
        <v>226</v>
      </c>
      <c r="H293" s="41" t="s">
        <v>464</v>
      </c>
      <c r="I293" s="37" t="s">
        <v>2218</v>
      </c>
      <c r="J293" s="42" t="s">
        <v>2219</v>
      </c>
      <c r="K293" s="42" t="s">
        <v>2901</v>
      </c>
      <c r="L293" s="42" t="s">
        <v>2220</v>
      </c>
      <c r="M293" s="12">
        <f t="shared" si="5"/>
        <v>290</v>
      </c>
    </row>
    <row r="294" spans="1:13" ht="30.6" x14ac:dyDescent="0.25">
      <c r="A294" s="30">
        <v>291</v>
      </c>
      <c r="B294" s="37" t="s">
        <v>3303</v>
      </c>
      <c r="C294" s="37">
        <v>100297103</v>
      </c>
      <c r="D294" s="39" t="s">
        <v>2221</v>
      </c>
      <c r="E294" s="40">
        <v>3012108855027</v>
      </c>
      <c r="F294" s="37" t="s">
        <v>2225</v>
      </c>
      <c r="G294" s="37">
        <v>369</v>
      </c>
      <c r="H294" s="41" t="s">
        <v>2222</v>
      </c>
      <c r="I294" s="37" t="s">
        <v>2223</v>
      </c>
      <c r="J294" s="43" t="s">
        <v>2224</v>
      </c>
      <c r="K294" s="43" t="s">
        <v>2226</v>
      </c>
      <c r="L294" s="43" t="s">
        <v>2246</v>
      </c>
      <c r="M294" s="12">
        <f t="shared" si="5"/>
        <v>291</v>
      </c>
    </row>
    <row r="295" spans="1:13" ht="20.399999999999999" x14ac:dyDescent="0.25">
      <c r="A295" s="30">
        <v>292</v>
      </c>
      <c r="B295" s="37" t="s">
        <v>3260</v>
      </c>
      <c r="C295" s="37">
        <v>690606064</v>
      </c>
      <c r="D295" s="39" t="s">
        <v>2227</v>
      </c>
      <c r="E295" s="40">
        <v>3012021610012</v>
      </c>
      <c r="F295" s="37" t="s">
        <v>2228</v>
      </c>
      <c r="G295" s="37"/>
      <c r="H295" s="41" t="s">
        <v>464</v>
      </c>
      <c r="I295" s="37" t="s">
        <v>2229</v>
      </c>
      <c r="J295" s="43" t="s">
        <v>2230</v>
      </c>
      <c r="K295" s="43" t="s">
        <v>2901</v>
      </c>
      <c r="L295" s="43" t="s">
        <v>2231</v>
      </c>
      <c r="M295" s="12">
        <f t="shared" si="5"/>
        <v>292</v>
      </c>
    </row>
    <row r="296" spans="1:13" ht="71.400000000000006" x14ac:dyDescent="0.25">
      <c r="A296" s="30">
        <v>293</v>
      </c>
      <c r="B296" s="38" t="s">
        <v>3492</v>
      </c>
      <c r="C296" s="37">
        <v>601070251</v>
      </c>
      <c r="D296" s="39" t="s">
        <v>2232</v>
      </c>
      <c r="E296" s="40">
        <v>3012000009353</v>
      </c>
      <c r="F296" s="37" t="s">
        <v>2233</v>
      </c>
      <c r="G296" s="37">
        <v>815</v>
      </c>
      <c r="H296" s="41" t="s">
        <v>2234</v>
      </c>
      <c r="I296" s="37" t="s">
        <v>2235</v>
      </c>
      <c r="J296" s="43" t="s">
        <v>2236</v>
      </c>
      <c r="K296" s="43" t="s">
        <v>2237</v>
      </c>
      <c r="L296" s="42" t="s">
        <v>2244</v>
      </c>
      <c r="M296" s="12">
        <f t="shared" si="5"/>
        <v>293</v>
      </c>
    </row>
    <row r="297" spans="1:13" ht="30.6" x14ac:dyDescent="0.25">
      <c r="A297" s="30">
        <v>294</v>
      </c>
      <c r="B297" s="429" t="s">
        <v>2238</v>
      </c>
      <c r="C297" s="39" t="s">
        <v>2242</v>
      </c>
      <c r="D297" s="39"/>
      <c r="E297" s="40">
        <v>3012524018722</v>
      </c>
      <c r="F297" s="37" t="s">
        <v>2239</v>
      </c>
      <c r="G297" s="37">
        <v>795</v>
      </c>
      <c r="H297" s="41" t="s">
        <v>464</v>
      </c>
      <c r="I297" s="37" t="s">
        <v>2240</v>
      </c>
      <c r="J297" s="43" t="s">
        <v>2168</v>
      </c>
      <c r="K297" s="43" t="s">
        <v>2901</v>
      </c>
      <c r="L297" s="42" t="s">
        <v>2241</v>
      </c>
      <c r="M297" s="12">
        <f t="shared" si="5"/>
        <v>294</v>
      </c>
    </row>
    <row r="298" spans="1:13" ht="30.6" x14ac:dyDescent="0.25">
      <c r="A298" s="30">
        <v>295</v>
      </c>
      <c r="B298" s="31" t="s">
        <v>3107</v>
      </c>
      <c r="C298" s="30">
        <v>100320487</v>
      </c>
      <c r="D298" s="32"/>
      <c r="E298" s="33"/>
      <c r="F298" s="30"/>
      <c r="G298" s="30"/>
      <c r="H298" s="34" t="s">
        <v>2906</v>
      </c>
      <c r="I298" s="30" t="s">
        <v>1241</v>
      </c>
      <c r="J298" s="36" t="s">
        <v>1242</v>
      </c>
      <c r="K298" s="36" t="s">
        <v>2901</v>
      </c>
      <c r="L298" s="35" t="s">
        <v>2245</v>
      </c>
      <c r="M298" s="12">
        <f t="shared" si="5"/>
        <v>295</v>
      </c>
    </row>
    <row r="299" spans="1:13" ht="30.6" x14ac:dyDescent="0.25">
      <c r="A299" s="30">
        <v>296</v>
      </c>
      <c r="B299" s="30" t="s">
        <v>2247</v>
      </c>
      <c r="C299" s="30">
        <v>692588221</v>
      </c>
      <c r="D299" s="32"/>
      <c r="E299" s="33">
        <v>3012125530001</v>
      </c>
      <c r="F299" s="30" t="s">
        <v>2248</v>
      </c>
      <c r="G299" s="30">
        <v>175</v>
      </c>
      <c r="H299" s="41" t="s">
        <v>464</v>
      </c>
      <c r="I299" s="37" t="s">
        <v>2249</v>
      </c>
      <c r="J299" s="42" t="s">
        <v>2250</v>
      </c>
      <c r="K299" s="43" t="s">
        <v>2901</v>
      </c>
      <c r="L299" s="42" t="s">
        <v>2251</v>
      </c>
      <c r="M299" s="12">
        <f t="shared" si="5"/>
        <v>296</v>
      </c>
    </row>
    <row r="300" spans="1:13" ht="20.399999999999999" x14ac:dyDescent="0.25">
      <c r="A300" s="30">
        <v>297</v>
      </c>
      <c r="B300" s="38" t="s">
        <v>2654</v>
      </c>
      <c r="C300" s="37">
        <v>800015299</v>
      </c>
      <c r="D300" s="39"/>
      <c r="E300" s="40">
        <v>3012005955015</v>
      </c>
      <c r="F300" s="37" t="s">
        <v>2252</v>
      </c>
      <c r="G300" s="37">
        <v>749</v>
      </c>
      <c r="H300" s="34" t="s">
        <v>464</v>
      </c>
      <c r="I300" s="30" t="s">
        <v>2253</v>
      </c>
      <c r="J300" s="36" t="s">
        <v>2254</v>
      </c>
      <c r="K300" s="36" t="s">
        <v>2901</v>
      </c>
      <c r="L300" s="35" t="s">
        <v>2255</v>
      </c>
      <c r="M300" s="12">
        <f t="shared" si="5"/>
        <v>297</v>
      </c>
    </row>
    <row r="301" spans="1:13" ht="30.6" x14ac:dyDescent="0.25">
      <c r="A301" s="30">
        <v>298</v>
      </c>
      <c r="B301" s="38" t="s">
        <v>2256</v>
      </c>
      <c r="C301" s="37">
        <v>190883306</v>
      </c>
      <c r="D301" s="39"/>
      <c r="E301" s="40">
        <v>3012010410112</v>
      </c>
      <c r="F301" s="37" t="s">
        <v>2257</v>
      </c>
      <c r="G301" s="39" t="s">
        <v>1255</v>
      </c>
      <c r="H301" s="41" t="s">
        <v>464</v>
      </c>
      <c r="I301" s="37" t="s">
        <v>2258</v>
      </c>
      <c r="J301" s="42" t="s">
        <v>2259</v>
      </c>
      <c r="K301" s="43" t="s">
        <v>2901</v>
      </c>
      <c r="L301" s="42" t="s">
        <v>2260</v>
      </c>
      <c r="M301" s="12">
        <f t="shared" si="5"/>
        <v>298</v>
      </c>
    </row>
    <row r="302" spans="1:13" x14ac:dyDescent="0.25">
      <c r="A302" s="30"/>
      <c r="B302" s="31"/>
      <c r="C302" s="30"/>
      <c r="D302" s="32"/>
      <c r="E302" s="33"/>
      <c r="F302" s="30"/>
      <c r="G302" s="30"/>
      <c r="H302" s="41"/>
      <c r="I302" s="37"/>
      <c r="J302" s="42"/>
      <c r="K302" s="43"/>
      <c r="L302" s="42"/>
      <c r="M302" s="12">
        <f t="shared" si="5"/>
        <v>299</v>
      </c>
    </row>
    <row r="303" spans="1:13" ht="20.399999999999999" x14ac:dyDescent="0.25">
      <c r="A303" s="30">
        <v>300</v>
      </c>
      <c r="B303" s="38" t="s">
        <v>2266</v>
      </c>
      <c r="C303" s="37">
        <v>101492947</v>
      </c>
      <c r="D303" s="39"/>
      <c r="E303" s="40">
        <v>3012003720011</v>
      </c>
      <c r="F303" s="37" t="s">
        <v>2998</v>
      </c>
      <c r="G303" s="37">
        <v>749</v>
      </c>
      <c r="H303" s="34" t="s">
        <v>3048</v>
      </c>
      <c r="I303" s="30" t="s">
        <v>2267</v>
      </c>
      <c r="J303" s="35" t="s">
        <v>2268</v>
      </c>
      <c r="K303" s="36" t="s">
        <v>2269</v>
      </c>
      <c r="L303" s="35" t="s">
        <v>2270</v>
      </c>
      <c r="M303" s="12">
        <f t="shared" si="5"/>
        <v>300</v>
      </c>
    </row>
    <row r="304" spans="1:13" ht="20.399999999999999" x14ac:dyDescent="0.25">
      <c r="A304" s="30">
        <v>301</v>
      </c>
      <c r="B304" s="38" t="s">
        <v>3843</v>
      </c>
      <c r="C304" s="37">
        <v>190771653</v>
      </c>
      <c r="D304" s="39" t="s">
        <v>2271</v>
      </c>
      <c r="E304" s="40">
        <v>3012009345113</v>
      </c>
      <c r="F304" s="37" t="s">
        <v>2272</v>
      </c>
      <c r="G304" s="37">
        <v>749</v>
      </c>
      <c r="H304" s="41" t="s">
        <v>2906</v>
      </c>
      <c r="I304" s="37" t="s">
        <v>2273</v>
      </c>
      <c r="J304" s="42" t="s">
        <v>2274</v>
      </c>
      <c r="K304" s="43" t="s">
        <v>2901</v>
      </c>
      <c r="L304" s="42" t="s">
        <v>2275</v>
      </c>
      <c r="M304" s="12">
        <f t="shared" si="5"/>
        <v>301</v>
      </c>
    </row>
    <row r="305" spans="1:13" ht="30.6" x14ac:dyDescent="0.25">
      <c r="A305" s="30">
        <v>302</v>
      </c>
      <c r="B305" s="38" t="s">
        <v>2276</v>
      </c>
      <c r="C305" s="37">
        <v>600231572</v>
      </c>
      <c r="D305" s="39" t="s">
        <v>2277</v>
      </c>
      <c r="E305" s="40">
        <v>3632062700936</v>
      </c>
      <c r="F305" s="37" t="s">
        <v>2278</v>
      </c>
      <c r="G305" s="37">
        <v>601</v>
      </c>
      <c r="H305" s="41" t="s">
        <v>2279</v>
      </c>
      <c r="I305" s="37" t="s">
        <v>2281</v>
      </c>
      <c r="J305" s="42" t="s">
        <v>2280</v>
      </c>
      <c r="K305" s="43" t="s">
        <v>2901</v>
      </c>
      <c r="L305" s="42" t="s">
        <v>2282</v>
      </c>
      <c r="M305" s="12">
        <f t="shared" si="5"/>
        <v>302</v>
      </c>
    </row>
    <row r="306" spans="1:13" ht="20.399999999999999" x14ac:dyDescent="0.25">
      <c r="A306" s="30">
        <v>303</v>
      </c>
      <c r="B306" s="38" t="s">
        <v>382</v>
      </c>
      <c r="C306" s="37">
        <v>100265715</v>
      </c>
      <c r="D306" s="39" t="s">
        <v>2283</v>
      </c>
      <c r="E306" s="40">
        <v>3012006024017</v>
      </c>
      <c r="F306" s="37" t="s">
        <v>2284</v>
      </c>
      <c r="G306" s="37">
        <v>749</v>
      </c>
      <c r="H306" s="41" t="s">
        <v>2906</v>
      </c>
      <c r="I306" s="37" t="s">
        <v>2285</v>
      </c>
      <c r="J306" s="42" t="s">
        <v>2286</v>
      </c>
      <c r="K306" s="43" t="s">
        <v>2901</v>
      </c>
      <c r="L306" s="42" t="s">
        <v>2287</v>
      </c>
      <c r="M306" s="12">
        <f t="shared" si="5"/>
        <v>303</v>
      </c>
    </row>
    <row r="307" spans="1:13" ht="30.6" x14ac:dyDescent="0.25">
      <c r="A307" s="30">
        <v>304</v>
      </c>
      <c r="B307" s="38" t="s">
        <v>4210</v>
      </c>
      <c r="C307" s="37">
        <v>100093319</v>
      </c>
      <c r="D307" s="39"/>
      <c r="E307" s="40">
        <v>3012231931010</v>
      </c>
      <c r="F307" s="37" t="s">
        <v>2289</v>
      </c>
      <c r="G307" s="37">
        <v>369</v>
      </c>
      <c r="H307" s="41" t="s">
        <v>2906</v>
      </c>
      <c r="I307" s="37" t="s">
        <v>2290</v>
      </c>
      <c r="J307" s="42" t="s">
        <v>2291</v>
      </c>
      <c r="K307" s="43" t="s">
        <v>2901</v>
      </c>
      <c r="L307" s="42" t="s">
        <v>2292</v>
      </c>
      <c r="M307" s="12">
        <f t="shared" si="5"/>
        <v>304</v>
      </c>
    </row>
    <row r="308" spans="1:13" ht="30.6" x14ac:dyDescent="0.25">
      <c r="A308" s="30">
        <v>305</v>
      </c>
      <c r="B308" s="38" t="s">
        <v>2293</v>
      </c>
      <c r="C308" s="37">
        <v>691346672</v>
      </c>
      <c r="D308" s="39"/>
      <c r="E308" s="40">
        <v>3012908990015</v>
      </c>
      <c r="F308" s="37" t="s">
        <v>2294</v>
      </c>
      <c r="G308" s="37">
        <v>739</v>
      </c>
      <c r="H308" s="41" t="s">
        <v>464</v>
      </c>
      <c r="I308" s="37" t="s">
        <v>2295</v>
      </c>
      <c r="J308" s="42" t="s">
        <v>2296</v>
      </c>
      <c r="K308" s="43" t="s">
        <v>2901</v>
      </c>
      <c r="L308" s="42" t="s">
        <v>2297</v>
      </c>
      <c r="M308" s="12">
        <f t="shared" si="5"/>
        <v>305</v>
      </c>
    </row>
    <row r="309" spans="1:13" ht="20.399999999999999" x14ac:dyDescent="0.25">
      <c r="A309" s="30">
        <v>306</v>
      </c>
      <c r="B309" s="38" t="s">
        <v>955</v>
      </c>
      <c r="C309" s="37">
        <v>191835639</v>
      </c>
      <c r="D309" s="39"/>
      <c r="E309" s="40">
        <v>3012145210017</v>
      </c>
      <c r="F309" s="37" t="s">
        <v>2298</v>
      </c>
      <c r="G309" s="37">
        <v>182</v>
      </c>
      <c r="H309" s="41" t="s">
        <v>464</v>
      </c>
      <c r="I309" s="37" t="s">
        <v>2300</v>
      </c>
      <c r="J309" s="42" t="s">
        <v>2299</v>
      </c>
      <c r="K309" s="43" t="s">
        <v>2901</v>
      </c>
      <c r="L309" s="42" t="s">
        <v>2301</v>
      </c>
      <c r="M309" s="12">
        <f t="shared" si="5"/>
        <v>306</v>
      </c>
    </row>
    <row r="310" spans="1:13" ht="30.6" x14ac:dyDescent="0.25">
      <c r="A310" s="30">
        <v>307</v>
      </c>
      <c r="B310" s="38" t="s">
        <v>309</v>
      </c>
      <c r="C310" s="37">
        <v>691072211</v>
      </c>
      <c r="D310" s="39"/>
      <c r="E310" s="40">
        <v>3012000066847</v>
      </c>
      <c r="F310" s="37" t="s">
        <v>2302</v>
      </c>
      <c r="G310" s="37">
        <v>742</v>
      </c>
      <c r="H310" s="41" t="s">
        <v>2906</v>
      </c>
      <c r="I310" s="37" t="s">
        <v>2303</v>
      </c>
      <c r="J310" s="43" t="s">
        <v>2304</v>
      </c>
      <c r="K310" s="43" t="s">
        <v>2901</v>
      </c>
      <c r="L310" s="42" t="s">
        <v>2305</v>
      </c>
      <c r="M310" s="12">
        <f t="shared" si="5"/>
        <v>307</v>
      </c>
    </row>
    <row r="311" spans="1:13" ht="20.399999999999999" x14ac:dyDescent="0.25">
      <c r="A311" s="30">
        <v>308</v>
      </c>
      <c r="B311" s="37" t="s">
        <v>2420</v>
      </c>
      <c r="C311" s="37">
        <v>100315367</v>
      </c>
      <c r="D311" s="39" t="s">
        <v>2309</v>
      </c>
      <c r="E311" s="40">
        <v>3012100248010</v>
      </c>
      <c r="F311" s="37" t="s">
        <v>2310</v>
      </c>
      <c r="G311" s="37">
        <v>369</v>
      </c>
      <c r="H311" s="41" t="s">
        <v>2306</v>
      </c>
      <c r="I311" s="37" t="s">
        <v>2307</v>
      </c>
      <c r="J311" s="43" t="s">
        <v>2308</v>
      </c>
      <c r="K311" s="43" t="s">
        <v>2311</v>
      </c>
      <c r="L311" s="43" t="s">
        <v>2312</v>
      </c>
      <c r="M311" s="12">
        <f t="shared" si="5"/>
        <v>308</v>
      </c>
    </row>
    <row r="312" spans="1:13" ht="30.6" x14ac:dyDescent="0.25">
      <c r="A312" s="30">
        <v>309</v>
      </c>
      <c r="B312" s="38" t="s">
        <v>859</v>
      </c>
      <c r="C312" s="37">
        <v>191564325</v>
      </c>
      <c r="D312" s="39" t="s">
        <v>4156</v>
      </c>
      <c r="E312" s="40">
        <v>3012641870014</v>
      </c>
      <c r="F312" s="37" t="s">
        <v>4157</v>
      </c>
      <c r="G312" s="37">
        <v>739</v>
      </c>
      <c r="H312" s="41" t="s">
        <v>464</v>
      </c>
      <c r="I312" s="37" t="s">
        <v>4158</v>
      </c>
      <c r="J312" s="42" t="s">
        <v>4159</v>
      </c>
      <c r="K312" s="43" t="s">
        <v>2901</v>
      </c>
      <c r="L312" s="42" t="s">
        <v>4160</v>
      </c>
      <c r="M312" s="12">
        <f t="shared" si="5"/>
        <v>309</v>
      </c>
    </row>
    <row r="313" spans="1:13" ht="30.6" x14ac:dyDescent="0.25">
      <c r="A313" s="30">
        <v>310</v>
      </c>
      <c r="B313" s="38" t="s">
        <v>4161</v>
      </c>
      <c r="C313" s="37">
        <v>690653858</v>
      </c>
      <c r="D313" s="39"/>
      <c r="E313" s="40">
        <v>3012017500012</v>
      </c>
      <c r="F313" s="37" t="s">
        <v>4162</v>
      </c>
      <c r="G313" s="37">
        <v>749</v>
      </c>
      <c r="H313" s="41" t="s">
        <v>464</v>
      </c>
      <c r="I313" s="37" t="s">
        <v>4163</v>
      </c>
      <c r="J313" s="42" t="s">
        <v>4164</v>
      </c>
      <c r="K313" s="43" t="s">
        <v>2901</v>
      </c>
      <c r="L313" s="42" t="s">
        <v>4165</v>
      </c>
      <c r="M313" s="12">
        <f t="shared" si="5"/>
        <v>310</v>
      </c>
    </row>
    <row r="314" spans="1:13" ht="20.399999999999999" x14ac:dyDescent="0.25">
      <c r="A314" s="30">
        <v>311</v>
      </c>
      <c r="B314" s="31" t="s">
        <v>3744</v>
      </c>
      <c r="C314" s="30">
        <v>100512805</v>
      </c>
      <c r="D314" s="32" t="s">
        <v>4166</v>
      </c>
      <c r="E314" s="33">
        <v>3604918740018</v>
      </c>
      <c r="F314" s="30" t="s">
        <v>4167</v>
      </c>
      <c r="G314" s="30">
        <v>739</v>
      </c>
      <c r="H314" s="34" t="s">
        <v>4169</v>
      </c>
      <c r="I314" s="30" t="s">
        <v>4168</v>
      </c>
      <c r="J314" s="35" t="s">
        <v>4170</v>
      </c>
      <c r="K314" s="36" t="s">
        <v>2901</v>
      </c>
      <c r="L314" s="35" t="s">
        <v>4171</v>
      </c>
      <c r="M314" s="12">
        <f t="shared" si="5"/>
        <v>311</v>
      </c>
    </row>
    <row r="315" spans="1:13" ht="30.6" x14ac:dyDescent="0.25">
      <c r="A315" s="30">
        <v>312</v>
      </c>
      <c r="B315" s="31" t="s">
        <v>2802</v>
      </c>
      <c r="C315" s="30"/>
      <c r="D315" s="32"/>
      <c r="E315" s="33">
        <v>3012250121011</v>
      </c>
      <c r="F315" s="30" t="s">
        <v>4172</v>
      </c>
      <c r="G315" s="30">
        <v>739</v>
      </c>
      <c r="H315" s="41" t="s">
        <v>464</v>
      </c>
      <c r="I315" s="37" t="s">
        <v>4173</v>
      </c>
      <c r="J315" s="42" t="s">
        <v>4174</v>
      </c>
      <c r="K315" s="43" t="s">
        <v>2901</v>
      </c>
      <c r="L315" s="42" t="s">
        <v>4175</v>
      </c>
      <c r="M315" s="12">
        <f t="shared" si="5"/>
        <v>312</v>
      </c>
    </row>
    <row r="316" spans="1:13" ht="20.399999999999999" x14ac:dyDescent="0.25">
      <c r="A316" s="30">
        <v>313</v>
      </c>
      <c r="B316" s="38" t="s">
        <v>4176</v>
      </c>
      <c r="C316" s="37">
        <v>690835419</v>
      </c>
      <c r="D316" s="39"/>
      <c r="E316" s="40">
        <v>3012307920015</v>
      </c>
      <c r="F316" s="37" t="s">
        <v>4177</v>
      </c>
      <c r="G316" s="37">
        <v>964</v>
      </c>
      <c r="H316" s="34" t="s">
        <v>464</v>
      </c>
      <c r="I316" s="30" t="s">
        <v>4178</v>
      </c>
      <c r="J316" s="35" t="s">
        <v>4179</v>
      </c>
      <c r="K316" s="36" t="s">
        <v>2901</v>
      </c>
      <c r="L316" s="35" t="s">
        <v>4180</v>
      </c>
      <c r="M316" s="12">
        <f t="shared" si="5"/>
        <v>313</v>
      </c>
    </row>
    <row r="317" spans="1:13" ht="30.6" x14ac:dyDescent="0.25">
      <c r="A317" s="30">
        <v>314</v>
      </c>
      <c r="B317" s="38" t="s">
        <v>263</v>
      </c>
      <c r="C317" s="37">
        <v>600182119</v>
      </c>
      <c r="D317" s="39" t="s">
        <v>3383</v>
      </c>
      <c r="E317" s="40">
        <v>3012105287018</v>
      </c>
      <c r="F317" s="37" t="s">
        <v>3384</v>
      </c>
      <c r="G317" s="37">
        <v>369</v>
      </c>
      <c r="H317" s="41" t="s">
        <v>2906</v>
      </c>
      <c r="I317" s="37" t="s">
        <v>3385</v>
      </c>
      <c r="J317" s="42" t="s">
        <v>3386</v>
      </c>
      <c r="K317" s="43" t="s">
        <v>3387</v>
      </c>
      <c r="L317" s="42" t="s">
        <v>3388</v>
      </c>
      <c r="M317" s="12">
        <f t="shared" si="5"/>
        <v>314</v>
      </c>
    </row>
    <row r="318" spans="1:13" ht="30.6" x14ac:dyDescent="0.25">
      <c r="A318" s="30">
        <v>315</v>
      </c>
      <c r="B318" s="38" t="s">
        <v>3623</v>
      </c>
      <c r="C318" s="37">
        <v>100265026</v>
      </c>
      <c r="D318" s="39" t="s">
        <v>3389</v>
      </c>
      <c r="E318" s="40">
        <v>3015740099012</v>
      </c>
      <c r="F318" s="430" t="s">
        <v>3395</v>
      </c>
      <c r="G318" s="37">
        <v>739</v>
      </c>
      <c r="H318" s="41" t="s">
        <v>3393</v>
      </c>
      <c r="I318" s="37" t="s">
        <v>3390</v>
      </c>
      <c r="J318" s="42" t="s">
        <v>3391</v>
      </c>
      <c r="K318" s="43" t="s">
        <v>3394</v>
      </c>
      <c r="L318" s="42" t="s">
        <v>3392</v>
      </c>
      <c r="M318" s="12">
        <f t="shared" si="5"/>
        <v>315</v>
      </c>
    </row>
    <row r="319" spans="1:13" ht="20.399999999999999" x14ac:dyDescent="0.25">
      <c r="A319" s="30">
        <v>316</v>
      </c>
      <c r="B319" s="38" t="s">
        <v>3396</v>
      </c>
      <c r="C319" s="37">
        <v>191475330</v>
      </c>
      <c r="D319" s="39"/>
      <c r="E319" s="40">
        <v>3012056790015</v>
      </c>
      <c r="F319" s="37" t="s">
        <v>3809</v>
      </c>
      <c r="G319" s="37">
        <v>272</v>
      </c>
      <c r="H319" s="34" t="s">
        <v>464</v>
      </c>
      <c r="I319" s="30" t="s">
        <v>3397</v>
      </c>
      <c r="J319" s="35" t="s">
        <v>3398</v>
      </c>
      <c r="K319" s="36" t="s">
        <v>2901</v>
      </c>
      <c r="L319" s="35" t="s">
        <v>3399</v>
      </c>
      <c r="M319" s="12">
        <f t="shared" si="5"/>
        <v>316</v>
      </c>
    </row>
    <row r="320" spans="1:13" ht="20.399999999999999" x14ac:dyDescent="0.25">
      <c r="A320" s="30">
        <v>317</v>
      </c>
      <c r="B320" s="38" t="s">
        <v>3774</v>
      </c>
      <c r="C320" s="37">
        <v>690019524</v>
      </c>
      <c r="D320" s="39"/>
      <c r="E320" s="40">
        <v>3012281460017</v>
      </c>
      <c r="F320" s="37" t="s">
        <v>3400</v>
      </c>
      <c r="G320" s="37">
        <v>913</v>
      </c>
      <c r="H320" s="41" t="s">
        <v>2906</v>
      </c>
      <c r="I320" s="37" t="s">
        <v>3401</v>
      </c>
      <c r="J320" s="42" t="s">
        <v>3402</v>
      </c>
      <c r="K320" s="43" t="s">
        <v>2901</v>
      </c>
      <c r="L320" s="42" t="s">
        <v>3403</v>
      </c>
      <c r="M320" s="12">
        <f t="shared" si="5"/>
        <v>317</v>
      </c>
    </row>
    <row r="321" spans="1:13" ht="20.399999999999999" x14ac:dyDescent="0.25">
      <c r="A321" s="30">
        <v>318</v>
      </c>
      <c r="B321" s="31" t="s">
        <v>2656</v>
      </c>
      <c r="C321" s="30">
        <v>691580100</v>
      </c>
      <c r="D321" s="32"/>
      <c r="E321" s="33">
        <v>3012009541002</v>
      </c>
      <c r="F321" s="30" t="s">
        <v>3404</v>
      </c>
      <c r="G321" s="30">
        <v>175</v>
      </c>
      <c r="H321" s="41" t="s">
        <v>464</v>
      </c>
      <c r="I321" s="37" t="s">
        <v>3407</v>
      </c>
      <c r="J321" s="42" t="s">
        <v>3405</v>
      </c>
      <c r="K321" s="43" t="s">
        <v>2901</v>
      </c>
      <c r="L321" s="42" t="s">
        <v>3406</v>
      </c>
      <c r="M321" s="12">
        <f t="shared" si="5"/>
        <v>318</v>
      </c>
    </row>
    <row r="322" spans="1:13" ht="30.6" x14ac:dyDescent="0.25">
      <c r="A322" s="30">
        <v>319</v>
      </c>
      <c r="B322" s="38" t="s">
        <v>2415</v>
      </c>
      <c r="C322" s="37">
        <v>100315341</v>
      </c>
      <c r="D322" s="39"/>
      <c r="E322" s="40">
        <v>3012104069019</v>
      </c>
      <c r="F322" s="37" t="s">
        <v>3409</v>
      </c>
      <c r="G322" s="37">
        <v>369</v>
      </c>
      <c r="H322" s="34" t="s">
        <v>3410</v>
      </c>
      <c r="I322" s="30" t="s">
        <v>3411</v>
      </c>
      <c r="J322" s="35" t="s">
        <v>3412</v>
      </c>
      <c r="K322" s="35" t="s">
        <v>2901</v>
      </c>
      <c r="L322" s="35" t="s">
        <v>3413</v>
      </c>
      <c r="M322" s="12">
        <f t="shared" si="5"/>
        <v>319</v>
      </c>
    </row>
    <row r="323" spans="1:13" ht="30.6" x14ac:dyDescent="0.25">
      <c r="A323" s="30">
        <v>320</v>
      </c>
      <c r="B323" s="38" t="s">
        <v>3414</v>
      </c>
      <c r="C323" s="37">
        <v>691525196</v>
      </c>
      <c r="D323" s="39"/>
      <c r="E323" s="40">
        <v>3012000067022</v>
      </c>
      <c r="F323" s="37" t="s">
        <v>3415</v>
      </c>
      <c r="G323" s="37">
        <v>742</v>
      </c>
      <c r="H323" s="34" t="s">
        <v>464</v>
      </c>
      <c r="I323" s="37" t="s">
        <v>3417</v>
      </c>
      <c r="J323" s="42" t="s">
        <v>3416</v>
      </c>
      <c r="K323" s="35" t="s">
        <v>2901</v>
      </c>
      <c r="L323" s="42"/>
      <c r="M323" s="12">
        <f t="shared" si="5"/>
        <v>320</v>
      </c>
    </row>
    <row r="324" spans="1:13" ht="20.399999999999999" x14ac:dyDescent="0.25">
      <c r="A324" s="30">
        <v>321</v>
      </c>
      <c r="B324" s="38" t="s">
        <v>50</v>
      </c>
      <c r="C324" s="37">
        <v>690325966</v>
      </c>
      <c r="D324" s="39"/>
      <c r="E324" s="40">
        <v>3012260235007</v>
      </c>
      <c r="F324" s="37" t="s">
        <v>3419</v>
      </c>
      <c r="G324" s="37">
        <v>270</v>
      </c>
      <c r="H324" s="41" t="s">
        <v>3719</v>
      </c>
      <c r="I324" s="37" t="s">
        <v>3418</v>
      </c>
      <c r="J324" s="42" t="s">
        <v>3720</v>
      </c>
      <c r="K324" s="43" t="s">
        <v>2901</v>
      </c>
      <c r="L324" s="42" t="s">
        <v>3721</v>
      </c>
      <c r="M324" s="12">
        <f t="shared" si="5"/>
        <v>321</v>
      </c>
    </row>
    <row r="325" spans="1:13" ht="20.399999999999999" x14ac:dyDescent="0.25">
      <c r="A325" s="30">
        <v>322</v>
      </c>
      <c r="B325" s="38" t="s">
        <v>3420</v>
      </c>
      <c r="C325" s="37">
        <v>191156245</v>
      </c>
      <c r="D325" s="39"/>
      <c r="E325" s="40">
        <v>3012253390018</v>
      </c>
      <c r="F325" s="37" t="s">
        <v>3421</v>
      </c>
      <c r="G325" s="37">
        <v>964</v>
      </c>
      <c r="H325" s="41" t="s">
        <v>464</v>
      </c>
      <c r="I325" s="37" t="s">
        <v>3422</v>
      </c>
      <c r="J325" s="42" t="s">
        <v>3423</v>
      </c>
      <c r="K325" s="43" t="s">
        <v>2901</v>
      </c>
      <c r="L325" s="42">
        <v>3987740.0293920799</v>
      </c>
      <c r="M325" s="12">
        <f t="shared" ref="M325:M388" si="6">ROW()-3</f>
        <v>322</v>
      </c>
    </row>
    <row r="326" spans="1:13" ht="20.399999999999999" x14ac:dyDescent="0.25">
      <c r="A326" s="30">
        <v>323</v>
      </c>
      <c r="B326" s="38" t="s">
        <v>2791</v>
      </c>
      <c r="C326" s="37">
        <v>100099572</v>
      </c>
      <c r="D326" s="39" t="s">
        <v>3424</v>
      </c>
      <c r="E326" s="40">
        <v>3632000000022</v>
      </c>
      <c r="F326" s="37" t="s">
        <v>3425</v>
      </c>
      <c r="G326" s="37">
        <v>815</v>
      </c>
      <c r="H326" s="41" t="s">
        <v>464</v>
      </c>
      <c r="I326" s="37" t="s">
        <v>3426</v>
      </c>
      <c r="J326" s="42" t="s">
        <v>3427</v>
      </c>
      <c r="K326" s="43" t="s">
        <v>2901</v>
      </c>
      <c r="L326" s="42" t="s">
        <v>3428</v>
      </c>
      <c r="M326" s="12">
        <f t="shared" si="6"/>
        <v>323</v>
      </c>
    </row>
    <row r="327" spans="1:13" ht="20.399999999999999" x14ac:dyDescent="0.25">
      <c r="A327" s="30">
        <v>324</v>
      </c>
      <c r="B327" s="38" t="s">
        <v>1007</v>
      </c>
      <c r="C327" s="37">
        <v>192814863</v>
      </c>
      <c r="D327" s="39"/>
      <c r="E327" s="40">
        <v>3012053139014</v>
      </c>
      <c r="F327" s="37" t="s">
        <v>1139</v>
      </c>
      <c r="G327" s="37">
        <v>749</v>
      </c>
      <c r="H327" s="41" t="s">
        <v>464</v>
      </c>
      <c r="I327" s="37" t="s">
        <v>1009</v>
      </c>
      <c r="J327" s="42" t="s">
        <v>1008</v>
      </c>
      <c r="K327" s="43" t="s">
        <v>2901</v>
      </c>
      <c r="L327" s="307">
        <v>3147886</v>
      </c>
      <c r="M327" s="12">
        <f t="shared" si="6"/>
        <v>324</v>
      </c>
    </row>
    <row r="328" spans="1:13" ht="30.6" x14ac:dyDescent="0.25">
      <c r="A328" s="30">
        <v>325</v>
      </c>
      <c r="B328" s="38" t="s">
        <v>2462</v>
      </c>
      <c r="C328" s="37">
        <v>691763321</v>
      </c>
      <c r="D328" s="39"/>
      <c r="E328" s="40">
        <v>3012167510013</v>
      </c>
      <c r="F328" s="37" t="s">
        <v>2463</v>
      </c>
      <c r="G328" s="37">
        <v>369</v>
      </c>
      <c r="H328" s="41" t="s">
        <v>464</v>
      </c>
      <c r="I328" s="37" t="s">
        <v>2464</v>
      </c>
      <c r="J328" s="42" t="s">
        <v>2465</v>
      </c>
      <c r="K328" s="43" t="s">
        <v>2901</v>
      </c>
      <c r="L328" s="42" t="s">
        <v>2466</v>
      </c>
      <c r="M328" s="12">
        <f t="shared" si="6"/>
        <v>325</v>
      </c>
    </row>
    <row r="329" spans="1:13" ht="20.399999999999999" x14ac:dyDescent="0.25">
      <c r="A329" s="30">
        <v>326</v>
      </c>
      <c r="B329" s="38" t="s">
        <v>2467</v>
      </c>
      <c r="C329" s="37">
        <v>192046273</v>
      </c>
      <c r="D329" s="39"/>
      <c r="E329" s="40">
        <v>3012031031017</v>
      </c>
      <c r="F329" s="37" t="s">
        <v>2468</v>
      </c>
      <c r="G329" s="37">
        <v>749</v>
      </c>
      <c r="H329" s="41" t="s">
        <v>464</v>
      </c>
      <c r="I329" s="37" t="s">
        <v>2470</v>
      </c>
      <c r="J329" s="42" t="s">
        <v>2469</v>
      </c>
      <c r="K329" s="43" t="s">
        <v>2901</v>
      </c>
      <c r="L329" s="42" t="s">
        <v>2471</v>
      </c>
      <c r="M329" s="12">
        <f t="shared" si="6"/>
        <v>326</v>
      </c>
    </row>
    <row r="330" spans="1:13" ht="20.399999999999999" x14ac:dyDescent="0.25">
      <c r="A330" s="30">
        <v>327</v>
      </c>
      <c r="B330" s="38" t="s">
        <v>2472</v>
      </c>
      <c r="C330" s="37">
        <v>691797999</v>
      </c>
      <c r="D330" s="39"/>
      <c r="E330" s="40">
        <v>3012041243013</v>
      </c>
      <c r="F330" s="37" t="s">
        <v>2473</v>
      </c>
      <c r="G330" s="37">
        <v>749</v>
      </c>
      <c r="H330" s="41" t="s">
        <v>464</v>
      </c>
      <c r="I330" s="37" t="s">
        <v>2474</v>
      </c>
      <c r="J330" s="42" t="s">
        <v>2475</v>
      </c>
      <c r="K330" s="43" t="s">
        <v>2901</v>
      </c>
      <c r="L330" s="42" t="s">
        <v>2476</v>
      </c>
      <c r="M330" s="12">
        <f t="shared" si="6"/>
        <v>327</v>
      </c>
    </row>
    <row r="331" spans="1:13" ht="30.6" x14ac:dyDescent="0.25">
      <c r="A331" s="30">
        <v>328</v>
      </c>
      <c r="B331" s="38" t="s">
        <v>903</v>
      </c>
      <c r="C331" s="37">
        <v>191764339</v>
      </c>
      <c r="D331" s="39"/>
      <c r="E331" s="40">
        <v>3012358390008</v>
      </c>
      <c r="F331" s="37" t="s">
        <v>2478</v>
      </c>
      <c r="G331" s="37">
        <v>765</v>
      </c>
      <c r="H331" s="41" t="s">
        <v>464</v>
      </c>
      <c r="I331" s="37" t="s">
        <v>2479</v>
      </c>
      <c r="J331" s="42" t="s">
        <v>2480</v>
      </c>
      <c r="K331" s="42" t="s">
        <v>2901</v>
      </c>
      <c r="L331" s="42" t="s">
        <v>2481</v>
      </c>
      <c r="M331" s="12">
        <f t="shared" si="6"/>
        <v>328</v>
      </c>
    </row>
    <row r="332" spans="1:13" ht="20.399999999999999" x14ac:dyDescent="0.25">
      <c r="A332" s="30">
        <v>329</v>
      </c>
      <c r="B332" s="37" t="s">
        <v>1792</v>
      </c>
      <c r="C332" s="37">
        <v>190542533</v>
      </c>
      <c r="D332" s="39" t="s">
        <v>2482</v>
      </c>
      <c r="E332" s="40">
        <v>3012008138015</v>
      </c>
      <c r="F332" s="37" t="s">
        <v>2483</v>
      </c>
      <c r="G332" s="37">
        <v>749</v>
      </c>
      <c r="H332" s="41" t="s">
        <v>464</v>
      </c>
      <c r="I332" s="37" t="s">
        <v>2484</v>
      </c>
      <c r="J332" s="42" t="s">
        <v>2485</v>
      </c>
      <c r="K332" s="43" t="s">
        <v>2901</v>
      </c>
      <c r="L332" s="42" t="s">
        <v>2486</v>
      </c>
      <c r="M332" s="12">
        <f t="shared" si="6"/>
        <v>329</v>
      </c>
    </row>
    <row r="333" spans="1:13" ht="20.399999999999999" x14ac:dyDescent="0.25">
      <c r="A333" s="30">
        <v>330</v>
      </c>
      <c r="B333" s="38" t="s">
        <v>2487</v>
      </c>
      <c r="C333" s="37">
        <v>690610359</v>
      </c>
      <c r="D333" s="39"/>
      <c r="E333" s="40">
        <v>3012011641010</v>
      </c>
      <c r="F333" s="37" t="s">
        <v>2488</v>
      </c>
      <c r="G333" s="37">
        <v>749</v>
      </c>
      <c r="H333" s="41" t="s">
        <v>464</v>
      </c>
      <c r="I333" s="37" t="s">
        <v>2491</v>
      </c>
      <c r="J333" s="43" t="s">
        <v>2489</v>
      </c>
      <c r="K333" s="43" t="s">
        <v>2901</v>
      </c>
      <c r="L333" s="43" t="s">
        <v>2490</v>
      </c>
      <c r="M333" s="12">
        <f t="shared" si="6"/>
        <v>330</v>
      </c>
    </row>
    <row r="334" spans="1:13" ht="20.399999999999999" x14ac:dyDescent="0.25">
      <c r="A334" s="30">
        <v>331</v>
      </c>
      <c r="B334" s="38" t="s">
        <v>2492</v>
      </c>
      <c r="C334" s="37">
        <v>190431647</v>
      </c>
      <c r="D334" s="39"/>
      <c r="E334" s="40">
        <v>3012501500000</v>
      </c>
      <c r="F334" s="37" t="s">
        <v>2493</v>
      </c>
      <c r="G334" s="37">
        <v>182</v>
      </c>
      <c r="H334" s="41" t="s">
        <v>464</v>
      </c>
      <c r="I334" s="37" t="s">
        <v>2494</v>
      </c>
      <c r="J334" s="42" t="s">
        <v>2496</v>
      </c>
      <c r="K334" s="43" t="s">
        <v>2901</v>
      </c>
      <c r="L334" s="42" t="s">
        <v>2495</v>
      </c>
      <c r="M334" s="12">
        <f t="shared" si="6"/>
        <v>331</v>
      </c>
    </row>
    <row r="335" spans="1:13" ht="20.399999999999999" x14ac:dyDescent="0.25">
      <c r="A335" s="30">
        <v>332</v>
      </c>
      <c r="B335" s="38" t="s">
        <v>2261</v>
      </c>
      <c r="C335" s="37">
        <v>190247475</v>
      </c>
      <c r="D335" s="39"/>
      <c r="E335" s="40">
        <v>3604000000047</v>
      </c>
      <c r="F335" s="37" t="s">
        <v>2262</v>
      </c>
      <c r="G335" s="37">
        <v>815</v>
      </c>
      <c r="H335" s="41" t="s">
        <v>464</v>
      </c>
      <c r="I335" s="37" t="s">
        <v>2263</v>
      </c>
      <c r="J335" s="42" t="s">
        <v>2264</v>
      </c>
      <c r="K335" s="43" t="s">
        <v>2901</v>
      </c>
      <c r="L335" s="42" t="s">
        <v>2265</v>
      </c>
      <c r="M335" s="12">
        <f t="shared" si="6"/>
        <v>332</v>
      </c>
    </row>
    <row r="336" spans="1:13" ht="40.799999999999997" x14ac:dyDescent="0.25">
      <c r="A336" s="30">
        <v>333</v>
      </c>
      <c r="B336" s="38" t="s">
        <v>1541</v>
      </c>
      <c r="C336" s="37">
        <v>808001218</v>
      </c>
      <c r="D336" s="39"/>
      <c r="E336" s="40">
        <v>3012022440012</v>
      </c>
      <c r="F336" s="37" t="s">
        <v>2497</v>
      </c>
      <c r="G336" s="37">
        <v>272</v>
      </c>
      <c r="H336" s="41" t="s">
        <v>2906</v>
      </c>
      <c r="I336" s="37" t="s">
        <v>2498</v>
      </c>
      <c r="J336" s="42" t="s">
        <v>2499</v>
      </c>
      <c r="K336" s="43" t="s">
        <v>2901</v>
      </c>
      <c r="L336" s="42" t="s">
        <v>2500</v>
      </c>
      <c r="M336" s="12">
        <f t="shared" si="6"/>
        <v>333</v>
      </c>
    </row>
    <row r="337" spans="1:13" ht="30.6" x14ac:dyDescent="0.25">
      <c r="A337" s="30">
        <v>334</v>
      </c>
      <c r="B337" s="38" t="s">
        <v>2501</v>
      </c>
      <c r="C337" s="37">
        <v>690786661</v>
      </c>
      <c r="D337" s="39"/>
      <c r="E337" s="40">
        <v>3012158170005</v>
      </c>
      <c r="F337" s="37" t="s">
        <v>2248</v>
      </c>
      <c r="G337" s="37">
        <v>175</v>
      </c>
      <c r="H337" s="41" t="s">
        <v>2906</v>
      </c>
      <c r="I337" s="37" t="s">
        <v>2502</v>
      </c>
      <c r="J337" s="42" t="s">
        <v>2503</v>
      </c>
      <c r="K337" s="43" t="s">
        <v>2901</v>
      </c>
      <c r="L337" s="42" t="s">
        <v>2251</v>
      </c>
      <c r="M337" s="12">
        <f t="shared" si="6"/>
        <v>334</v>
      </c>
    </row>
    <row r="338" spans="1:13" ht="20.399999999999999" x14ac:dyDescent="0.25">
      <c r="A338" s="30">
        <v>335</v>
      </c>
      <c r="B338" s="38" t="s">
        <v>1625</v>
      </c>
      <c r="C338" s="37">
        <v>190729456</v>
      </c>
      <c r="D338" s="39"/>
      <c r="E338" s="40">
        <v>3012115270010</v>
      </c>
      <c r="F338" s="37" t="s">
        <v>3701</v>
      </c>
      <c r="G338" s="37">
        <v>117</v>
      </c>
      <c r="H338" s="41" t="s">
        <v>464</v>
      </c>
      <c r="I338" s="37" t="s">
        <v>2504</v>
      </c>
      <c r="J338" s="42" t="s">
        <v>2505</v>
      </c>
      <c r="K338" s="42" t="s">
        <v>2901</v>
      </c>
      <c r="L338" s="42" t="s">
        <v>2506</v>
      </c>
      <c r="M338" s="12">
        <f t="shared" si="6"/>
        <v>335</v>
      </c>
    </row>
    <row r="339" spans="1:13" ht="20.399999999999999" x14ac:dyDescent="0.25">
      <c r="A339" s="30">
        <v>336</v>
      </c>
      <c r="B339" s="31" t="s">
        <v>2507</v>
      </c>
      <c r="C339" s="30">
        <v>600068835</v>
      </c>
      <c r="D339" s="32"/>
      <c r="E339" s="33">
        <v>3012203690012</v>
      </c>
      <c r="F339" s="30" t="s">
        <v>2508</v>
      </c>
      <c r="G339" s="30">
        <v>942</v>
      </c>
      <c r="H339" s="41" t="s">
        <v>464</v>
      </c>
      <c r="I339" s="37" t="s">
        <v>2509</v>
      </c>
      <c r="J339" s="42" t="s">
        <v>2510</v>
      </c>
      <c r="K339" s="43" t="s">
        <v>2511</v>
      </c>
      <c r="L339" s="42" t="s">
        <v>2512</v>
      </c>
      <c r="M339" s="12">
        <f t="shared" si="6"/>
        <v>336</v>
      </c>
    </row>
    <row r="340" spans="1:13" ht="30.6" x14ac:dyDescent="0.25">
      <c r="A340" s="30">
        <v>337</v>
      </c>
      <c r="B340" s="38" t="s">
        <v>2513</v>
      </c>
      <c r="C340" s="37">
        <v>491262432</v>
      </c>
      <c r="D340" s="39"/>
      <c r="E340" s="40">
        <v>3013260670010</v>
      </c>
      <c r="F340" s="37" t="s">
        <v>2514</v>
      </c>
      <c r="G340" s="37">
        <v>108</v>
      </c>
      <c r="H340" s="34" t="s">
        <v>464</v>
      </c>
      <c r="I340" s="30" t="s">
        <v>2515</v>
      </c>
      <c r="J340" s="35" t="s">
        <v>2516</v>
      </c>
      <c r="K340" s="36" t="s">
        <v>2517</v>
      </c>
      <c r="L340" s="35" t="s">
        <v>2518</v>
      </c>
      <c r="M340" s="12">
        <f t="shared" si="6"/>
        <v>337</v>
      </c>
    </row>
    <row r="341" spans="1:13" ht="20.399999999999999" x14ac:dyDescent="0.25">
      <c r="A341" s="30">
        <v>338</v>
      </c>
      <c r="B341" s="38" t="s">
        <v>2519</v>
      </c>
      <c r="C341" s="37">
        <v>190916377</v>
      </c>
      <c r="D341" s="39"/>
      <c r="E341" s="40">
        <v>3012011314015</v>
      </c>
      <c r="F341" s="37" t="s">
        <v>2522</v>
      </c>
      <c r="G341" s="37">
        <v>749</v>
      </c>
      <c r="H341" s="41" t="s">
        <v>2520</v>
      </c>
      <c r="I341" s="37" t="s">
        <v>2521</v>
      </c>
      <c r="J341" s="42" t="s">
        <v>2523</v>
      </c>
      <c r="K341" s="43" t="s">
        <v>2901</v>
      </c>
      <c r="L341" s="42" t="s">
        <v>2524</v>
      </c>
      <c r="M341" s="12">
        <f t="shared" si="6"/>
        <v>338</v>
      </c>
    </row>
    <row r="342" spans="1:13" ht="30.6" x14ac:dyDescent="0.25">
      <c r="A342" s="30">
        <v>339</v>
      </c>
      <c r="B342" s="31" t="s">
        <v>2354</v>
      </c>
      <c r="C342" s="30">
        <v>691593313</v>
      </c>
      <c r="D342" s="32"/>
      <c r="E342" s="33">
        <v>3012031350017</v>
      </c>
      <c r="F342" s="30" t="s">
        <v>2525</v>
      </c>
      <c r="G342" s="30">
        <v>749</v>
      </c>
      <c r="H342" s="41" t="s">
        <v>464</v>
      </c>
      <c r="I342" s="37" t="s">
        <v>2526</v>
      </c>
      <c r="J342" s="42" t="s">
        <v>2527</v>
      </c>
      <c r="K342" s="43" t="s">
        <v>2901</v>
      </c>
      <c r="L342" s="42" t="s">
        <v>2528</v>
      </c>
      <c r="M342" s="12">
        <f t="shared" si="6"/>
        <v>339</v>
      </c>
    </row>
    <row r="343" spans="1:13" ht="30.6" x14ac:dyDescent="0.25">
      <c r="A343" s="30">
        <v>340</v>
      </c>
      <c r="B343" s="37" t="s">
        <v>1112</v>
      </c>
      <c r="C343" s="37">
        <v>691535754</v>
      </c>
      <c r="D343" s="39"/>
      <c r="E343" s="40">
        <v>3012034818019</v>
      </c>
      <c r="F343" s="37" t="s">
        <v>2529</v>
      </c>
      <c r="G343" s="37">
        <v>749</v>
      </c>
      <c r="H343" s="34" t="s">
        <v>2906</v>
      </c>
      <c r="I343" s="30" t="s">
        <v>2530</v>
      </c>
      <c r="J343" s="35" t="s">
        <v>2022</v>
      </c>
      <c r="K343" s="36" t="s">
        <v>2901</v>
      </c>
      <c r="L343" s="35" t="s">
        <v>2531</v>
      </c>
      <c r="M343" s="12">
        <f t="shared" si="6"/>
        <v>340</v>
      </c>
    </row>
    <row r="344" spans="1:13" ht="20.399999999999999" x14ac:dyDescent="0.25">
      <c r="A344" s="30">
        <v>341</v>
      </c>
      <c r="B344" s="38" t="s">
        <v>2532</v>
      </c>
      <c r="C344" s="37">
        <v>192192308</v>
      </c>
      <c r="D344" s="39"/>
      <c r="E344" s="40">
        <v>3012020747003</v>
      </c>
      <c r="F344" s="37" t="s">
        <v>2533</v>
      </c>
      <c r="G344" s="37">
        <v>175</v>
      </c>
      <c r="H344" s="41" t="s">
        <v>2534</v>
      </c>
      <c r="I344" s="37" t="s">
        <v>2535</v>
      </c>
      <c r="J344" s="43" t="s">
        <v>2536</v>
      </c>
      <c r="K344" s="43" t="s">
        <v>2901</v>
      </c>
      <c r="L344" s="43" t="s">
        <v>2537</v>
      </c>
      <c r="M344" s="12">
        <f t="shared" si="6"/>
        <v>341</v>
      </c>
    </row>
    <row r="345" spans="1:13" ht="30.6" x14ac:dyDescent="0.25">
      <c r="A345" s="30">
        <v>342</v>
      </c>
      <c r="B345" s="38" t="s">
        <v>2759</v>
      </c>
      <c r="C345" s="37">
        <v>691784176</v>
      </c>
      <c r="D345" s="39" t="s">
        <v>2538</v>
      </c>
      <c r="E345" s="40">
        <v>3012036856011</v>
      </c>
      <c r="F345" s="37" t="s">
        <v>2539</v>
      </c>
      <c r="G345" s="37">
        <v>749</v>
      </c>
      <c r="H345" s="41" t="s">
        <v>464</v>
      </c>
      <c r="I345" s="37" t="s">
        <v>2540</v>
      </c>
      <c r="J345" s="42" t="s">
        <v>2541</v>
      </c>
      <c r="K345" s="43" t="s">
        <v>2901</v>
      </c>
      <c r="L345" s="42" t="s">
        <v>2542</v>
      </c>
      <c r="M345" s="12">
        <f t="shared" si="6"/>
        <v>342</v>
      </c>
    </row>
    <row r="346" spans="1:13" ht="30.6" x14ac:dyDescent="0.25">
      <c r="A346" s="30">
        <v>343</v>
      </c>
      <c r="B346" s="38" t="s">
        <v>840</v>
      </c>
      <c r="C346" s="37">
        <v>191648960</v>
      </c>
      <c r="D346" s="39"/>
      <c r="E346" s="40" t="s">
        <v>4031</v>
      </c>
      <c r="F346" s="37" t="s">
        <v>2543</v>
      </c>
      <c r="G346" s="37"/>
      <c r="H346" s="41" t="s">
        <v>464</v>
      </c>
      <c r="I346" s="37" t="s">
        <v>2544</v>
      </c>
      <c r="J346" s="42" t="s">
        <v>2545</v>
      </c>
      <c r="K346" s="43" t="s">
        <v>2901</v>
      </c>
      <c r="L346" s="42" t="s">
        <v>2546</v>
      </c>
      <c r="M346" s="12">
        <f t="shared" si="6"/>
        <v>343</v>
      </c>
    </row>
    <row r="347" spans="1:13" ht="20.399999999999999" x14ac:dyDescent="0.25">
      <c r="A347" s="30">
        <v>344</v>
      </c>
      <c r="B347" s="38" t="s">
        <v>453</v>
      </c>
      <c r="C347" s="37">
        <v>6915330341</v>
      </c>
      <c r="D347" s="39"/>
      <c r="E347" s="40">
        <v>3012072413008</v>
      </c>
      <c r="F347" s="37" t="s">
        <v>2547</v>
      </c>
      <c r="G347" s="37">
        <v>175</v>
      </c>
      <c r="H347" s="41" t="s">
        <v>2906</v>
      </c>
      <c r="I347" s="37" t="s">
        <v>2548</v>
      </c>
      <c r="J347" s="43" t="s">
        <v>2549</v>
      </c>
      <c r="K347" s="43" t="s">
        <v>2901</v>
      </c>
      <c r="L347" s="42">
        <v>7750035</v>
      </c>
      <c r="M347" s="12">
        <f t="shared" si="6"/>
        <v>344</v>
      </c>
    </row>
    <row r="348" spans="1:13" ht="40.799999999999997" x14ac:dyDescent="0.25">
      <c r="A348" s="30">
        <v>345</v>
      </c>
      <c r="B348" s="38" t="s">
        <v>2550</v>
      </c>
      <c r="C348" s="37">
        <v>100377503</v>
      </c>
      <c r="D348" s="39" t="s">
        <v>2551</v>
      </c>
      <c r="E348" s="40">
        <v>3012740982018</v>
      </c>
      <c r="F348" s="37" t="s">
        <v>2552</v>
      </c>
      <c r="G348" s="37">
        <v>739</v>
      </c>
      <c r="H348" s="41" t="s">
        <v>3410</v>
      </c>
      <c r="I348" s="37" t="s">
        <v>2553</v>
      </c>
      <c r="J348" s="42" t="s">
        <v>2554</v>
      </c>
      <c r="K348" s="43" t="s">
        <v>2901</v>
      </c>
      <c r="L348" s="42">
        <v>2956585.2965311999</v>
      </c>
      <c r="M348" s="12">
        <f t="shared" si="6"/>
        <v>345</v>
      </c>
    </row>
    <row r="349" spans="1:13" ht="30.6" x14ac:dyDescent="0.25">
      <c r="A349" s="30">
        <v>346</v>
      </c>
      <c r="B349" s="38" t="s">
        <v>526</v>
      </c>
      <c r="C349" s="37">
        <v>691536906</v>
      </c>
      <c r="D349" s="39" t="s">
        <v>2555</v>
      </c>
      <c r="E349" s="40">
        <v>3012012723716</v>
      </c>
      <c r="F349" s="37" t="s">
        <v>2556</v>
      </c>
      <c r="G349" s="37">
        <v>739</v>
      </c>
      <c r="H349" s="41" t="s">
        <v>2906</v>
      </c>
      <c r="I349" s="37" t="s">
        <v>2557</v>
      </c>
      <c r="J349" s="42" t="s">
        <v>2558</v>
      </c>
      <c r="K349" s="43" t="s">
        <v>2901</v>
      </c>
      <c r="L349" s="42" t="s">
        <v>2559</v>
      </c>
      <c r="M349" s="12">
        <f t="shared" si="6"/>
        <v>346</v>
      </c>
    </row>
    <row r="350" spans="1:13" ht="40.799999999999997" x14ac:dyDescent="0.25">
      <c r="A350" s="30">
        <v>347</v>
      </c>
      <c r="B350" s="38" t="s">
        <v>2560</v>
      </c>
      <c r="C350" s="37">
        <v>691133734</v>
      </c>
      <c r="D350" s="39" t="s">
        <v>2561</v>
      </c>
      <c r="E350" s="40">
        <v>3012225570017</v>
      </c>
      <c r="F350" s="37" t="s">
        <v>2562</v>
      </c>
      <c r="G350" s="37">
        <v>117</v>
      </c>
      <c r="H350" s="41" t="s">
        <v>464</v>
      </c>
      <c r="I350" s="37" t="s">
        <v>2563</v>
      </c>
      <c r="J350" s="42" t="s">
        <v>2564</v>
      </c>
      <c r="K350" s="43" t="s">
        <v>2901</v>
      </c>
      <c r="L350" s="42" t="s">
        <v>2565</v>
      </c>
      <c r="M350" s="12">
        <f t="shared" si="6"/>
        <v>347</v>
      </c>
    </row>
    <row r="351" spans="1:13" ht="30.6" x14ac:dyDescent="0.25">
      <c r="A351" s="30">
        <v>348</v>
      </c>
      <c r="B351" s="38" t="s">
        <v>1953</v>
      </c>
      <c r="C351" s="37">
        <v>691901186</v>
      </c>
      <c r="D351" s="39"/>
      <c r="E351" s="40">
        <v>3013170983014</v>
      </c>
      <c r="F351" s="37" t="s">
        <v>1954</v>
      </c>
      <c r="G351" s="37">
        <v>369</v>
      </c>
      <c r="H351" s="41" t="s">
        <v>464</v>
      </c>
      <c r="I351" s="37" t="s">
        <v>1958</v>
      </c>
      <c r="J351" s="42" t="s">
        <v>1956</v>
      </c>
      <c r="K351" s="43" t="s">
        <v>1955</v>
      </c>
      <c r="L351" s="42" t="s">
        <v>1957</v>
      </c>
      <c r="M351" s="12">
        <f t="shared" si="6"/>
        <v>348</v>
      </c>
    </row>
    <row r="352" spans="1:13" ht="20.399999999999999" x14ac:dyDescent="0.25">
      <c r="A352" s="30">
        <v>349</v>
      </c>
      <c r="B352" s="38" t="s">
        <v>1959</v>
      </c>
      <c r="C352" s="37">
        <v>191083139</v>
      </c>
      <c r="D352" s="39"/>
      <c r="E352" s="40">
        <v>3012260193006</v>
      </c>
      <c r="F352" s="37" t="s">
        <v>1960</v>
      </c>
      <c r="G352" s="37">
        <v>270</v>
      </c>
      <c r="H352" s="41" t="s">
        <v>464</v>
      </c>
      <c r="I352" s="37" t="s">
        <v>1961</v>
      </c>
      <c r="J352" s="42" t="s">
        <v>1962</v>
      </c>
      <c r="K352" s="43" t="s">
        <v>2901</v>
      </c>
      <c r="L352" s="42" t="s">
        <v>1963</v>
      </c>
      <c r="M352" s="12">
        <f t="shared" si="6"/>
        <v>349</v>
      </c>
    </row>
    <row r="353" spans="1:13" ht="20.399999999999999" x14ac:dyDescent="0.25">
      <c r="A353" s="30">
        <v>350</v>
      </c>
      <c r="B353" s="38" t="s">
        <v>1964</v>
      </c>
      <c r="C353" s="37">
        <v>192483549</v>
      </c>
      <c r="D353" s="39"/>
      <c r="E353" s="40">
        <v>3012389770010</v>
      </c>
      <c r="F353" s="37" t="s">
        <v>1965</v>
      </c>
      <c r="G353" s="37">
        <v>704</v>
      </c>
      <c r="H353" s="41" t="s">
        <v>464</v>
      </c>
      <c r="I353" s="37" t="s">
        <v>1966</v>
      </c>
      <c r="J353" s="42" t="s">
        <v>1967</v>
      </c>
      <c r="K353" s="43" t="s">
        <v>2901</v>
      </c>
      <c r="L353" s="42" t="s">
        <v>1968</v>
      </c>
      <c r="M353" s="12">
        <f t="shared" si="6"/>
        <v>350</v>
      </c>
    </row>
    <row r="354" spans="1:13" ht="20.399999999999999" x14ac:dyDescent="0.25">
      <c r="A354" s="30">
        <v>351</v>
      </c>
      <c r="B354" s="38" t="s">
        <v>1969</v>
      </c>
      <c r="C354" s="37">
        <v>192762175</v>
      </c>
      <c r="D354" s="39"/>
      <c r="E354" s="40">
        <v>3012180467013</v>
      </c>
      <c r="F354" s="37" t="s">
        <v>1970</v>
      </c>
      <c r="G354" s="37">
        <v>369</v>
      </c>
      <c r="H354" s="41" t="s">
        <v>1975</v>
      </c>
      <c r="I354" s="37" t="s">
        <v>1971</v>
      </c>
      <c r="J354" s="42" t="s">
        <v>1972</v>
      </c>
      <c r="K354" s="43" t="s">
        <v>1973</v>
      </c>
      <c r="L354" s="42" t="s">
        <v>1974</v>
      </c>
      <c r="M354" s="12">
        <f t="shared" si="6"/>
        <v>351</v>
      </c>
    </row>
    <row r="355" spans="1:13" ht="20.399999999999999" x14ac:dyDescent="0.25">
      <c r="A355" s="30">
        <v>352</v>
      </c>
      <c r="B355" s="31" t="s">
        <v>445</v>
      </c>
      <c r="C355" s="30">
        <v>190696505</v>
      </c>
      <c r="D355" s="32" t="s">
        <v>1976</v>
      </c>
      <c r="E355" s="33">
        <v>3012008419516</v>
      </c>
      <c r="F355" s="30" t="s">
        <v>1977</v>
      </c>
      <c r="G355" s="30">
        <v>749</v>
      </c>
      <c r="H355" s="41" t="s">
        <v>464</v>
      </c>
      <c r="I355" s="37" t="s">
        <v>1978</v>
      </c>
      <c r="J355" s="42" t="s">
        <v>1979</v>
      </c>
      <c r="K355" s="43" t="s">
        <v>2901</v>
      </c>
      <c r="L355" s="42" t="s">
        <v>1980</v>
      </c>
      <c r="M355" s="12">
        <f t="shared" si="6"/>
        <v>352</v>
      </c>
    </row>
    <row r="356" spans="1:13" ht="30.6" x14ac:dyDescent="0.25">
      <c r="A356" s="30">
        <v>353</v>
      </c>
      <c r="B356" s="38" t="s">
        <v>1981</v>
      </c>
      <c r="C356" s="37">
        <v>100955538</v>
      </c>
      <c r="D356" s="39"/>
      <c r="E356" s="40">
        <v>3012012660017</v>
      </c>
      <c r="F356" s="37" t="s">
        <v>1982</v>
      </c>
      <c r="G356" s="37">
        <v>272</v>
      </c>
      <c r="H356" s="34" t="s">
        <v>464</v>
      </c>
      <c r="I356" s="30" t="s">
        <v>1983</v>
      </c>
      <c r="J356" s="35" t="s">
        <v>1220</v>
      </c>
      <c r="K356" s="36" t="s">
        <v>2901</v>
      </c>
      <c r="L356" s="35" t="s">
        <v>1984</v>
      </c>
      <c r="M356" s="12">
        <f t="shared" si="6"/>
        <v>353</v>
      </c>
    </row>
    <row r="357" spans="1:13" ht="20.399999999999999" x14ac:dyDescent="0.25">
      <c r="A357" s="30">
        <v>354</v>
      </c>
      <c r="B357" s="38" t="s">
        <v>1985</v>
      </c>
      <c r="C357" s="37">
        <v>190533525</v>
      </c>
      <c r="D357" s="39" t="s">
        <v>1986</v>
      </c>
      <c r="E357" s="40">
        <v>3012008129011</v>
      </c>
      <c r="F357" s="37" t="s">
        <v>1987</v>
      </c>
      <c r="G357" s="37">
        <v>749</v>
      </c>
      <c r="H357" s="41" t="s">
        <v>464</v>
      </c>
      <c r="I357" s="37" t="s">
        <v>1988</v>
      </c>
      <c r="J357" s="42" t="s">
        <v>1989</v>
      </c>
      <c r="K357" s="43" t="s">
        <v>1990</v>
      </c>
      <c r="L357" s="42" t="s">
        <v>1991</v>
      </c>
      <c r="M357" s="12">
        <f t="shared" si="6"/>
        <v>354</v>
      </c>
    </row>
    <row r="358" spans="1:13" ht="20.399999999999999" x14ac:dyDescent="0.25">
      <c r="A358" s="30">
        <v>355</v>
      </c>
      <c r="B358" s="38" t="s">
        <v>2881</v>
      </c>
      <c r="C358" s="37">
        <v>691600964</v>
      </c>
      <c r="D358" s="39"/>
      <c r="E358" s="40">
        <v>302121366000</v>
      </c>
      <c r="F358" s="37" t="s">
        <v>1992</v>
      </c>
      <c r="G358" s="37">
        <v>117</v>
      </c>
      <c r="H358" s="41" t="s">
        <v>464</v>
      </c>
      <c r="I358" s="37" t="s">
        <v>1993</v>
      </c>
      <c r="J358" s="42" t="s">
        <v>1994</v>
      </c>
      <c r="K358" s="43" t="s">
        <v>1228</v>
      </c>
      <c r="L358" s="42" t="s">
        <v>1995</v>
      </c>
      <c r="M358" s="12">
        <f t="shared" si="6"/>
        <v>355</v>
      </c>
    </row>
    <row r="359" spans="1:13" ht="51" x14ac:dyDescent="0.25">
      <c r="A359" s="30">
        <v>356</v>
      </c>
      <c r="B359" s="38" t="s">
        <v>523</v>
      </c>
      <c r="C359" s="37">
        <v>691539111</v>
      </c>
      <c r="D359" s="39"/>
      <c r="E359" s="40" t="s">
        <v>4012</v>
      </c>
      <c r="F359" s="37" t="s">
        <v>2302</v>
      </c>
      <c r="G359" s="37" t="s">
        <v>4007</v>
      </c>
      <c r="H359" s="41" t="s">
        <v>2906</v>
      </c>
      <c r="I359" s="37" t="s">
        <v>1996</v>
      </c>
      <c r="J359" s="42" t="s">
        <v>1997</v>
      </c>
      <c r="K359" s="43" t="s">
        <v>2901</v>
      </c>
      <c r="L359" s="42" t="s">
        <v>1998</v>
      </c>
      <c r="M359" s="12">
        <f t="shared" si="6"/>
        <v>356</v>
      </c>
    </row>
    <row r="360" spans="1:13" ht="20.399999999999999" x14ac:dyDescent="0.25">
      <c r="A360" s="30">
        <v>357</v>
      </c>
      <c r="B360" s="30" t="s">
        <v>3760</v>
      </c>
      <c r="C360" s="30">
        <v>190615318</v>
      </c>
      <c r="D360" s="32"/>
      <c r="E360" s="33">
        <v>3012000025673</v>
      </c>
      <c r="F360" s="30" t="s">
        <v>1999</v>
      </c>
      <c r="G360" s="30">
        <v>742</v>
      </c>
      <c r="H360" s="41" t="s">
        <v>464</v>
      </c>
      <c r="I360" s="37" t="s">
        <v>2000</v>
      </c>
      <c r="J360" s="42" t="s">
        <v>2001</v>
      </c>
      <c r="K360" s="43" t="s">
        <v>2901</v>
      </c>
      <c r="L360" s="42" t="s">
        <v>2002</v>
      </c>
      <c r="M360" s="12">
        <f t="shared" si="6"/>
        <v>357</v>
      </c>
    </row>
    <row r="361" spans="1:13" ht="30.6" x14ac:dyDescent="0.25">
      <c r="A361" s="30">
        <v>358</v>
      </c>
      <c r="B361" s="38" t="s">
        <v>2885</v>
      </c>
      <c r="C361" s="37">
        <v>691132355</v>
      </c>
      <c r="D361" s="39"/>
      <c r="E361" s="40">
        <v>3012159871018</v>
      </c>
      <c r="F361" s="37" t="s">
        <v>2003</v>
      </c>
      <c r="G361" s="37">
        <v>369</v>
      </c>
      <c r="H361" s="34" t="s">
        <v>464</v>
      </c>
      <c r="I361" s="30" t="s">
        <v>2004</v>
      </c>
      <c r="J361" s="36" t="s">
        <v>2005</v>
      </c>
      <c r="K361" s="36" t="s">
        <v>1084</v>
      </c>
      <c r="L361" s="35">
        <v>375297961067</v>
      </c>
      <c r="M361" s="12">
        <f t="shared" si="6"/>
        <v>358</v>
      </c>
    </row>
    <row r="362" spans="1:13" ht="30.6" x14ac:dyDescent="0.25">
      <c r="A362" s="30">
        <v>359</v>
      </c>
      <c r="B362" s="37" t="s">
        <v>1115</v>
      </c>
      <c r="C362" s="37">
        <v>101392173</v>
      </c>
      <c r="D362" s="39"/>
      <c r="E362" s="40">
        <v>3012063610012</v>
      </c>
      <c r="F362" s="37" t="s">
        <v>2006</v>
      </c>
      <c r="G362" s="37">
        <v>117</v>
      </c>
      <c r="H362" s="41" t="s">
        <v>3719</v>
      </c>
      <c r="I362" s="37" t="s">
        <v>2007</v>
      </c>
      <c r="J362" s="42" t="s">
        <v>2010</v>
      </c>
      <c r="K362" s="43" t="s">
        <v>2901</v>
      </c>
      <c r="L362" s="42" t="s">
        <v>2009</v>
      </c>
      <c r="M362" s="12">
        <f t="shared" si="6"/>
        <v>359</v>
      </c>
    </row>
    <row r="363" spans="1:13" ht="20.399999999999999" x14ac:dyDescent="0.25">
      <c r="A363" s="30">
        <v>360</v>
      </c>
      <c r="B363" s="38" t="s">
        <v>4193</v>
      </c>
      <c r="C363" s="37">
        <v>100387745</v>
      </c>
      <c r="D363" s="39" t="s">
        <v>2011</v>
      </c>
      <c r="E363" s="40">
        <v>3012025870014</v>
      </c>
      <c r="F363" s="37" t="s">
        <v>2012</v>
      </c>
      <c r="G363" s="37">
        <v>720</v>
      </c>
      <c r="H363" s="41" t="s">
        <v>3719</v>
      </c>
      <c r="I363" s="37" t="s">
        <v>2013</v>
      </c>
      <c r="J363" s="43" t="s">
        <v>2027</v>
      </c>
      <c r="K363" s="43" t="s">
        <v>2901</v>
      </c>
      <c r="L363" s="43" t="s">
        <v>2014</v>
      </c>
      <c r="M363" s="12">
        <f t="shared" si="6"/>
        <v>360</v>
      </c>
    </row>
    <row r="364" spans="1:13" ht="20.399999999999999" x14ac:dyDescent="0.25">
      <c r="A364" s="30">
        <v>361</v>
      </c>
      <c r="B364" s="38" t="s">
        <v>498</v>
      </c>
      <c r="C364" s="37">
        <v>190970908</v>
      </c>
      <c r="D364" s="39"/>
      <c r="E364" s="40">
        <v>3012011885010</v>
      </c>
      <c r="F364" s="37" t="s">
        <v>2015</v>
      </c>
      <c r="G364" s="37">
        <v>749</v>
      </c>
      <c r="H364" s="41" t="s">
        <v>464</v>
      </c>
      <c r="I364" s="37" t="s">
        <v>2016</v>
      </c>
      <c r="J364" s="42" t="s">
        <v>2017</v>
      </c>
      <c r="K364" s="43" t="s">
        <v>2901</v>
      </c>
      <c r="L364" s="42">
        <v>2005834.2005886</v>
      </c>
      <c r="M364" s="12">
        <f t="shared" si="6"/>
        <v>361</v>
      </c>
    </row>
    <row r="365" spans="1:13" ht="30.6" x14ac:dyDescent="0.25">
      <c r="A365" s="30">
        <v>362</v>
      </c>
      <c r="B365" s="38" t="s">
        <v>2018</v>
      </c>
      <c r="C365" s="37">
        <v>190811857</v>
      </c>
      <c r="D365" s="39"/>
      <c r="E365" s="40">
        <v>3012023040016</v>
      </c>
      <c r="F365" s="37" t="s">
        <v>2019</v>
      </c>
      <c r="G365" s="37">
        <v>749</v>
      </c>
      <c r="H365" s="41" t="s">
        <v>464</v>
      </c>
      <c r="I365" s="37" t="s">
        <v>2020</v>
      </c>
      <c r="J365" s="42" t="s">
        <v>2021</v>
      </c>
      <c r="K365" s="43" t="s">
        <v>2901</v>
      </c>
      <c r="L365" s="42"/>
      <c r="M365" s="12">
        <f t="shared" si="6"/>
        <v>362</v>
      </c>
    </row>
    <row r="366" spans="1:13" ht="30.6" x14ac:dyDescent="0.25">
      <c r="A366" s="30">
        <v>363</v>
      </c>
      <c r="B366" s="38" t="s">
        <v>2023</v>
      </c>
      <c r="C366" s="37">
        <v>600545750</v>
      </c>
      <c r="D366" s="39"/>
      <c r="E366" s="40">
        <v>3012107773009</v>
      </c>
      <c r="F366" s="37" t="s">
        <v>2024</v>
      </c>
      <c r="G366" s="37">
        <v>226</v>
      </c>
      <c r="H366" s="41" t="s">
        <v>2025</v>
      </c>
      <c r="I366" s="37" t="s">
        <v>2026</v>
      </c>
      <c r="J366" s="42" t="s">
        <v>576</v>
      </c>
      <c r="K366" s="43" t="s">
        <v>2901</v>
      </c>
      <c r="L366" s="42" t="s">
        <v>2028</v>
      </c>
      <c r="M366" s="12">
        <f t="shared" si="6"/>
        <v>363</v>
      </c>
    </row>
    <row r="367" spans="1:13" ht="20.399999999999999" x14ac:dyDescent="0.25">
      <c r="A367" s="30">
        <v>364</v>
      </c>
      <c r="B367" s="38" t="s">
        <v>3546</v>
      </c>
      <c r="C367" s="37">
        <v>190991829</v>
      </c>
      <c r="D367" s="39" t="s">
        <v>2029</v>
      </c>
      <c r="E367" s="432">
        <v>3012005653819</v>
      </c>
      <c r="F367" s="37" t="s">
        <v>2031</v>
      </c>
      <c r="G367" s="37">
        <v>739</v>
      </c>
      <c r="H367" s="41" t="s">
        <v>464</v>
      </c>
      <c r="I367" s="37" t="s">
        <v>2030</v>
      </c>
      <c r="J367" s="42" t="s">
        <v>2032</v>
      </c>
      <c r="K367" s="43" t="s">
        <v>2901</v>
      </c>
      <c r="L367" s="42" t="s">
        <v>2033</v>
      </c>
      <c r="M367" s="12">
        <f t="shared" si="6"/>
        <v>364</v>
      </c>
    </row>
    <row r="368" spans="1:13" ht="30.6" x14ac:dyDescent="0.25">
      <c r="A368" s="30">
        <v>365</v>
      </c>
      <c r="B368" s="38" t="s">
        <v>1537</v>
      </c>
      <c r="C368" s="37">
        <v>800014157</v>
      </c>
      <c r="D368" s="39" t="s">
        <v>562</v>
      </c>
      <c r="E368" s="39">
        <v>3012000016914</v>
      </c>
      <c r="F368" s="37" t="s">
        <v>2302</v>
      </c>
      <c r="G368" s="37">
        <v>742</v>
      </c>
      <c r="H368" s="41" t="s">
        <v>1179</v>
      </c>
      <c r="I368" s="37" t="s">
        <v>563</v>
      </c>
      <c r="J368" s="42" t="s">
        <v>564</v>
      </c>
      <c r="K368" s="43" t="s">
        <v>2901</v>
      </c>
      <c r="L368" s="42" t="s">
        <v>565</v>
      </c>
      <c r="M368" s="12">
        <f t="shared" si="6"/>
        <v>365</v>
      </c>
    </row>
    <row r="369" spans="1:13" ht="20.399999999999999" x14ac:dyDescent="0.25">
      <c r="A369" s="30">
        <v>366</v>
      </c>
      <c r="B369" s="31" t="s">
        <v>3525</v>
      </c>
      <c r="C369" s="30">
        <v>691525089</v>
      </c>
      <c r="D369" s="32" t="s">
        <v>566</v>
      </c>
      <c r="E369" s="32">
        <v>3012141310012</v>
      </c>
      <c r="F369" s="30" t="s">
        <v>567</v>
      </c>
      <c r="G369" s="30">
        <v>182</v>
      </c>
      <c r="H369" s="41" t="s">
        <v>464</v>
      </c>
      <c r="I369" s="37" t="s">
        <v>570</v>
      </c>
      <c r="J369" s="42" t="s">
        <v>568</v>
      </c>
      <c r="K369" s="43" t="s">
        <v>2901</v>
      </c>
      <c r="L369" s="42" t="s">
        <v>569</v>
      </c>
      <c r="M369" s="12">
        <f t="shared" si="6"/>
        <v>366</v>
      </c>
    </row>
    <row r="370" spans="1:13" ht="20.399999999999999" x14ac:dyDescent="0.25">
      <c r="A370" s="30">
        <v>367</v>
      </c>
      <c r="B370" s="38" t="s">
        <v>3318</v>
      </c>
      <c r="C370" s="37">
        <v>190583578</v>
      </c>
      <c r="D370" s="39" t="s">
        <v>571</v>
      </c>
      <c r="E370" s="39">
        <v>3012107280013</v>
      </c>
      <c r="F370" s="37" t="s">
        <v>572</v>
      </c>
      <c r="G370" s="37">
        <v>226</v>
      </c>
      <c r="H370" s="34" t="s">
        <v>2906</v>
      </c>
      <c r="I370" s="30" t="s">
        <v>573</v>
      </c>
      <c r="J370" s="35" t="s">
        <v>574</v>
      </c>
      <c r="K370" s="36" t="s">
        <v>2901</v>
      </c>
      <c r="L370" s="35" t="s">
        <v>575</v>
      </c>
      <c r="M370" s="12">
        <f t="shared" si="6"/>
        <v>367</v>
      </c>
    </row>
    <row r="371" spans="1:13" ht="20.399999999999999" x14ac:dyDescent="0.25">
      <c r="A371" s="30">
        <v>368</v>
      </c>
      <c r="B371" s="38" t="s">
        <v>577</v>
      </c>
      <c r="C371" s="37">
        <v>192151373</v>
      </c>
      <c r="D371" s="39"/>
      <c r="E371" s="39" t="s">
        <v>578</v>
      </c>
      <c r="F371" s="37" t="s">
        <v>579</v>
      </c>
      <c r="G371" s="37">
        <v>749</v>
      </c>
      <c r="H371" s="41" t="s">
        <v>2279</v>
      </c>
      <c r="I371" s="37" t="s">
        <v>580</v>
      </c>
      <c r="J371" s="42" t="s">
        <v>581</v>
      </c>
      <c r="K371" s="43" t="s">
        <v>582</v>
      </c>
      <c r="L371" s="42" t="s">
        <v>583</v>
      </c>
      <c r="M371" s="12">
        <f t="shared" si="6"/>
        <v>368</v>
      </c>
    </row>
    <row r="372" spans="1:13" ht="20.399999999999999" x14ac:dyDescent="0.25">
      <c r="A372" s="30">
        <v>369</v>
      </c>
      <c r="B372" s="38" t="s">
        <v>4235</v>
      </c>
      <c r="C372" s="37">
        <v>101185261</v>
      </c>
      <c r="D372" s="39"/>
      <c r="E372" s="40" t="s">
        <v>3998</v>
      </c>
      <c r="F372" s="37" t="s">
        <v>584</v>
      </c>
      <c r="G372" s="37" t="s">
        <v>3992</v>
      </c>
      <c r="H372" s="41" t="s">
        <v>464</v>
      </c>
      <c r="I372" s="37" t="s">
        <v>585</v>
      </c>
      <c r="J372" s="42" t="s">
        <v>586</v>
      </c>
      <c r="K372" s="43" t="s">
        <v>2901</v>
      </c>
      <c r="L372" s="42" t="s">
        <v>587</v>
      </c>
      <c r="M372" s="12">
        <f t="shared" si="6"/>
        <v>369</v>
      </c>
    </row>
    <row r="373" spans="1:13" ht="40.799999999999997" x14ac:dyDescent="0.25">
      <c r="A373" s="30">
        <v>370</v>
      </c>
      <c r="B373" s="38" t="s">
        <v>588</v>
      </c>
      <c r="C373" s="37">
        <v>691797654</v>
      </c>
      <c r="D373" s="39"/>
      <c r="E373" s="39" t="s">
        <v>589</v>
      </c>
      <c r="F373" s="37" t="s">
        <v>590</v>
      </c>
      <c r="G373" s="37">
        <v>272</v>
      </c>
      <c r="H373" s="41" t="s">
        <v>464</v>
      </c>
      <c r="I373" s="37" t="s">
        <v>591</v>
      </c>
      <c r="J373" s="43" t="s">
        <v>592</v>
      </c>
      <c r="K373" s="43" t="s">
        <v>2901</v>
      </c>
      <c r="L373" s="43" t="s">
        <v>593</v>
      </c>
      <c r="M373" s="12">
        <f t="shared" si="6"/>
        <v>370</v>
      </c>
    </row>
    <row r="374" spans="1:13" ht="20.399999999999999" x14ac:dyDescent="0.25">
      <c r="A374" s="30">
        <v>371</v>
      </c>
      <c r="B374" s="38" t="s">
        <v>594</v>
      </c>
      <c r="C374" s="37">
        <v>690848859</v>
      </c>
      <c r="D374" s="39"/>
      <c r="E374" s="39" t="s">
        <v>595</v>
      </c>
      <c r="F374" s="37" t="s">
        <v>596</v>
      </c>
      <c r="G374" s="37"/>
      <c r="H374" s="41" t="s">
        <v>464</v>
      </c>
      <c r="I374" s="37" t="s">
        <v>597</v>
      </c>
      <c r="J374" s="42" t="s">
        <v>2325</v>
      </c>
      <c r="K374" s="43" t="s">
        <v>2901</v>
      </c>
      <c r="L374" s="42" t="s">
        <v>598</v>
      </c>
      <c r="M374" s="12">
        <f t="shared" si="6"/>
        <v>371</v>
      </c>
    </row>
    <row r="375" spans="1:13" ht="20.399999999999999" x14ac:dyDescent="0.25">
      <c r="A375" s="30">
        <v>372</v>
      </c>
      <c r="B375" s="38" t="s">
        <v>599</v>
      </c>
      <c r="C375" s="37">
        <v>190287990</v>
      </c>
      <c r="D375" s="39" t="s">
        <v>600</v>
      </c>
      <c r="E375" s="39" t="s">
        <v>601</v>
      </c>
      <c r="F375" s="37" t="s">
        <v>1380</v>
      </c>
      <c r="G375" s="37">
        <v>749</v>
      </c>
      <c r="H375" s="41" t="s">
        <v>464</v>
      </c>
      <c r="I375" s="37" t="s">
        <v>602</v>
      </c>
      <c r="J375" s="42" t="s">
        <v>603</v>
      </c>
      <c r="K375" s="43" t="s">
        <v>2901</v>
      </c>
      <c r="L375" s="42" t="s">
        <v>604</v>
      </c>
      <c r="M375" s="12">
        <f t="shared" si="6"/>
        <v>372</v>
      </c>
    </row>
    <row r="376" spans="1:13" ht="20.399999999999999" x14ac:dyDescent="0.25">
      <c r="A376" s="30">
        <v>373</v>
      </c>
      <c r="B376" s="30" t="s">
        <v>183</v>
      </c>
      <c r="C376" s="30">
        <v>190905167</v>
      </c>
      <c r="D376" s="32" t="s">
        <v>605</v>
      </c>
      <c r="E376" s="33">
        <v>3012000588006</v>
      </c>
      <c r="F376" s="30" t="s">
        <v>606</v>
      </c>
      <c r="G376" s="30">
        <v>175</v>
      </c>
      <c r="H376" s="34" t="s">
        <v>2906</v>
      </c>
      <c r="I376" s="30" t="s">
        <v>607</v>
      </c>
      <c r="J376" s="36" t="s">
        <v>608</v>
      </c>
      <c r="K376" s="36" t="s">
        <v>2901</v>
      </c>
      <c r="L376" s="36" t="s">
        <v>609</v>
      </c>
      <c r="M376" s="12">
        <f t="shared" si="6"/>
        <v>373</v>
      </c>
    </row>
    <row r="377" spans="1:13" ht="20.399999999999999" x14ac:dyDescent="0.25">
      <c r="A377" s="30">
        <v>374</v>
      </c>
      <c r="B377" s="38" t="s">
        <v>610</v>
      </c>
      <c r="C377" s="37">
        <v>192171099</v>
      </c>
      <c r="D377" s="39"/>
      <c r="E377" s="39" t="s">
        <v>611</v>
      </c>
      <c r="F377" s="37" t="s">
        <v>612</v>
      </c>
      <c r="G377" s="37">
        <v>749</v>
      </c>
      <c r="H377" s="41" t="s">
        <v>464</v>
      </c>
      <c r="I377" s="37" t="s">
        <v>613</v>
      </c>
      <c r="J377" s="42" t="s">
        <v>614</v>
      </c>
      <c r="K377" s="43" t="s">
        <v>2901</v>
      </c>
      <c r="L377" s="42" t="s">
        <v>615</v>
      </c>
      <c r="M377" s="12">
        <f t="shared" si="6"/>
        <v>374</v>
      </c>
    </row>
    <row r="378" spans="1:13" ht="20.399999999999999" x14ac:dyDescent="0.25">
      <c r="A378" s="30">
        <v>375</v>
      </c>
      <c r="B378" s="38" t="s">
        <v>617</v>
      </c>
      <c r="C378" s="37">
        <v>100230654</v>
      </c>
      <c r="D378" s="39"/>
      <c r="E378" s="39" t="s">
        <v>618</v>
      </c>
      <c r="F378" s="37" t="s">
        <v>619</v>
      </c>
      <c r="G378" s="37">
        <v>603</v>
      </c>
      <c r="H378" s="41" t="s">
        <v>464</v>
      </c>
      <c r="I378" s="37" t="s">
        <v>620</v>
      </c>
      <c r="J378" s="42" t="s">
        <v>621</v>
      </c>
      <c r="K378" s="43" t="s">
        <v>2901</v>
      </c>
      <c r="L378" s="42" t="s">
        <v>622</v>
      </c>
      <c r="M378" s="12">
        <f t="shared" si="6"/>
        <v>375</v>
      </c>
    </row>
    <row r="379" spans="1:13" ht="20.399999999999999" x14ac:dyDescent="0.25">
      <c r="A379" s="30">
        <v>376</v>
      </c>
      <c r="B379" s="38" t="s">
        <v>623</v>
      </c>
      <c r="C379" s="37">
        <v>100140783</v>
      </c>
      <c r="D379" s="39"/>
      <c r="E379" s="39" t="s">
        <v>624</v>
      </c>
      <c r="F379" s="37" t="s">
        <v>625</v>
      </c>
      <c r="G379" s="37">
        <v>765</v>
      </c>
      <c r="H379" s="41" t="s">
        <v>626</v>
      </c>
      <c r="I379" s="37" t="s">
        <v>627</v>
      </c>
      <c r="J379" s="42" t="s">
        <v>628</v>
      </c>
      <c r="K379" s="36" t="s">
        <v>2901</v>
      </c>
      <c r="L379" s="36" t="s">
        <v>629</v>
      </c>
      <c r="M379" s="12">
        <f t="shared" si="6"/>
        <v>376</v>
      </c>
    </row>
    <row r="380" spans="1:13" ht="20.399999999999999" x14ac:dyDescent="0.25">
      <c r="A380" s="30">
        <v>377</v>
      </c>
      <c r="B380" s="38" t="s">
        <v>2970</v>
      </c>
      <c r="C380" s="37">
        <v>691313083</v>
      </c>
      <c r="D380" s="39"/>
      <c r="E380" s="40">
        <v>3012104737019</v>
      </c>
      <c r="F380" s="37" t="s">
        <v>630</v>
      </c>
      <c r="G380" s="37">
        <v>369</v>
      </c>
      <c r="H380" s="41" t="s">
        <v>464</v>
      </c>
      <c r="I380" s="37" t="s">
        <v>632</v>
      </c>
      <c r="J380" s="43" t="s">
        <v>631</v>
      </c>
      <c r="K380" s="43" t="s">
        <v>2901</v>
      </c>
      <c r="L380" s="42" t="s">
        <v>633</v>
      </c>
      <c r="M380" s="12">
        <f t="shared" si="6"/>
        <v>377</v>
      </c>
    </row>
    <row r="381" spans="1:13" ht="30.6" x14ac:dyDescent="0.25">
      <c r="A381" s="284">
        <v>378</v>
      </c>
      <c r="B381" s="38" t="s">
        <v>634</v>
      </c>
      <c r="C381" s="37">
        <v>690293098</v>
      </c>
      <c r="D381" s="39" t="s">
        <v>635</v>
      </c>
      <c r="E381" s="40">
        <v>3012101053013</v>
      </c>
      <c r="F381" s="37" t="s">
        <v>636</v>
      </c>
      <c r="G381" s="37">
        <v>749</v>
      </c>
      <c r="H381" s="41" t="s">
        <v>464</v>
      </c>
      <c r="I381" s="37" t="s">
        <v>637</v>
      </c>
      <c r="J381" s="42" t="s">
        <v>639</v>
      </c>
      <c r="K381" s="43" t="s">
        <v>2901</v>
      </c>
      <c r="L381" s="42" t="s">
        <v>638</v>
      </c>
      <c r="M381" s="12">
        <f t="shared" si="6"/>
        <v>378</v>
      </c>
    </row>
    <row r="382" spans="1:13" s="285" customFormat="1" ht="20.399999999999999" x14ac:dyDescent="0.25">
      <c r="A382" s="30">
        <v>379</v>
      </c>
      <c r="B382" s="38" t="s">
        <v>640</v>
      </c>
      <c r="C382" s="37">
        <v>690564411</v>
      </c>
      <c r="D382" s="39"/>
      <c r="E382" s="39" t="s">
        <v>641</v>
      </c>
      <c r="F382" s="37" t="s">
        <v>642</v>
      </c>
      <c r="G382" s="37">
        <v>749</v>
      </c>
      <c r="H382" s="41" t="s">
        <v>464</v>
      </c>
      <c r="I382" s="37" t="s">
        <v>645</v>
      </c>
      <c r="J382" s="42" t="s">
        <v>643</v>
      </c>
      <c r="K382" s="43" t="s">
        <v>2901</v>
      </c>
      <c r="L382" s="42" t="s">
        <v>644</v>
      </c>
      <c r="M382" s="12">
        <f t="shared" si="6"/>
        <v>379</v>
      </c>
    </row>
    <row r="383" spans="1:13" ht="20.399999999999999" x14ac:dyDescent="0.25">
      <c r="A383" s="30">
        <v>380</v>
      </c>
      <c r="B383" s="38" t="s">
        <v>3877</v>
      </c>
      <c r="C383" s="37">
        <v>191756738</v>
      </c>
      <c r="D383" s="39" t="s">
        <v>3878</v>
      </c>
      <c r="E383" s="39" t="s">
        <v>3879</v>
      </c>
      <c r="F383" s="37" t="s">
        <v>3880</v>
      </c>
      <c r="G383" s="37">
        <v>226</v>
      </c>
      <c r="H383" s="41" t="s">
        <v>464</v>
      </c>
      <c r="I383" s="37" t="s">
        <v>3881</v>
      </c>
      <c r="J383" s="42" t="s">
        <v>3882</v>
      </c>
      <c r="K383" s="43" t="s">
        <v>2901</v>
      </c>
      <c r="L383" s="42" t="s">
        <v>3883</v>
      </c>
      <c r="M383" s="12">
        <f t="shared" si="6"/>
        <v>380</v>
      </c>
    </row>
    <row r="384" spans="1:13" ht="20.399999999999999" x14ac:dyDescent="0.25">
      <c r="A384" s="30">
        <v>381</v>
      </c>
      <c r="B384" s="37" t="s">
        <v>31</v>
      </c>
      <c r="C384" s="37">
        <v>192522720</v>
      </c>
      <c r="D384" s="39"/>
      <c r="E384" s="39">
        <v>3012038628016</v>
      </c>
      <c r="F384" s="37" t="s">
        <v>3884</v>
      </c>
      <c r="G384" s="37">
        <v>749</v>
      </c>
      <c r="H384" s="41" t="s">
        <v>464</v>
      </c>
      <c r="I384" s="37" t="s">
        <v>3885</v>
      </c>
      <c r="J384" s="42" t="s">
        <v>3886</v>
      </c>
      <c r="K384" s="43" t="s">
        <v>2901</v>
      </c>
      <c r="L384" s="42" t="s">
        <v>3887</v>
      </c>
      <c r="M384" s="12">
        <f t="shared" si="6"/>
        <v>381</v>
      </c>
    </row>
    <row r="385" spans="1:13" ht="20.399999999999999" x14ac:dyDescent="0.25">
      <c r="A385" s="30">
        <v>382</v>
      </c>
      <c r="B385" s="38" t="s">
        <v>3567</v>
      </c>
      <c r="C385" s="37">
        <v>101166407</v>
      </c>
      <c r="D385" s="39" t="s">
        <v>3889</v>
      </c>
      <c r="E385" s="39">
        <v>3012107819006</v>
      </c>
      <c r="F385" s="37" t="s">
        <v>3890</v>
      </c>
      <c r="G385" s="37">
        <v>226</v>
      </c>
      <c r="H385" s="41" t="s">
        <v>2906</v>
      </c>
      <c r="I385" s="37" t="s">
        <v>3891</v>
      </c>
      <c r="J385" s="43" t="s">
        <v>3892</v>
      </c>
      <c r="K385" s="43" t="s">
        <v>2901</v>
      </c>
      <c r="L385" s="43" t="s">
        <v>3893</v>
      </c>
      <c r="M385" s="12">
        <f t="shared" si="6"/>
        <v>382</v>
      </c>
    </row>
    <row r="386" spans="1:13" ht="30.6" x14ac:dyDescent="0.25">
      <c r="A386" s="30">
        <v>383</v>
      </c>
      <c r="B386" s="38" t="s">
        <v>3894</v>
      </c>
      <c r="C386" s="37">
        <v>691131984</v>
      </c>
      <c r="D386" s="39"/>
      <c r="E386" s="39" t="s">
        <v>3895</v>
      </c>
      <c r="F386" s="37" t="s">
        <v>3896</v>
      </c>
      <c r="G386" s="37">
        <v>749</v>
      </c>
      <c r="H386" s="41" t="s">
        <v>464</v>
      </c>
      <c r="I386" s="37" t="s">
        <v>3899</v>
      </c>
      <c r="J386" s="42" t="s">
        <v>3897</v>
      </c>
      <c r="K386" s="43" t="s">
        <v>2901</v>
      </c>
      <c r="L386" s="42" t="s">
        <v>3898</v>
      </c>
      <c r="M386" s="12">
        <f t="shared" si="6"/>
        <v>383</v>
      </c>
    </row>
    <row r="387" spans="1:13" ht="40.799999999999997" x14ac:dyDescent="0.25">
      <c r="A387" s="30">
        <v>384</v>
      </c>
      <c r="B387" s="38" t="s">
        <v>3113</v>
      </c>
      <c r="C387" s="37">
        <v>100068501</v>
      </c>
      <c r="D387" s="39" t="s">
        <v>3900</v>
      </c>
      <c r="E387" s="39">
        <v>3012000008799</v>
      </c>
      <c r="F387" s="37" t="s">
        <v>3901</v>
      </c>
      <c r="G387" s="37">
        <v>601</v>
      </c>
      <c r="H387" s="41" t="s">
        <v>2906</v>
      </c>
      <c r="I387" s="37" t="s">
        <v>3902</v>
      </c>
      <c r="J387" s="42" t="s">
        <v>3903</v>
      </c>
      <c r="K387" s="43" t="s">
        <v>2901</v>
      </c>
      <c r="L387" s="42"/>
      <c r="M387" s="12">
        <f t="shared" si="6"/>
        <v>384</v>
      </c>
    </row>
    <row r="388" spans="1:13" ht="30.6" x14ac:dyDescent="0.25">
      <c r="A388" s="30">
        <v>385</v>
      </c>
      <c r="B388" s="38" t="s">
        <v>2122</v>
      </c>
      <c r="C388" s="37">
        <v>690392454</v>
      </c>
      <c r="D388" s="39" t="s">
        <v>3904</v>
      </c>
      <c r="E388" s="39">
        <v>3012060529481</v>
      </c>
      <c r="F388" s="37" t="s">
        <v>3905</v>
      </c>
      <c r="G388" s="37">
        <v>601</v>
      </c>
      <c r="H388" s="41" t="s">
        <v>464</v>
      </c>
      <c r="I388" s="37" t="s">
        <v>3906</v>
      </c>
      <c r="J388" s="42" t="s">
        <v>3907</v>
      </c>
      <c r="K388" s="43" t="s">
        <v>2901</v>
      </c>
      <c r="L388" s="42" t="s">
        <v>3908</v>
      </c>
      <c r="M388" s="12">
        <f t="shared" si="6"/>
        <v>385</v>
      </c>
    </row>
    <row r="389" spans="1:13" ht="30.6" x14ac:dyDescent="0.25">
      <c r="A389" s="30">
        <v>386</v>
      </c>
      <c r="B389" s="38" t="s">
        <v>3913</v>
      </c>
      <c r="C389" s="37">
        <v>690661673</v>
      </c>
      <c r="D389" s="39" t="s">
        <v>3909</v>
      </c>
      <c r="E389" s="40">
        <v>3012037936015</v>
      </c>
      <c r="F389" s="37" t="s">
        <v>1430</v>
      </c>
      <c r="G389" s="37">
        <v>749</v>
      </c>
      <c r="H389" s="41" t="s">
        <v>464</v>
      </c>
      <c r="I389" s="37" t="s">
        <v>3910</v>
      </c>
      <c r="J389" s="42" t="s">
        <v>3911</v>
      </c>
      <c r="K389" s="43" t="s">
        <v>2901</v>
      </c>
      <c r="L389" s="42" t="s">
        <v>3912</v>
      </c>
      <c r="M389" s="12">
        <f t="shared" ref="M389:M452" si="7">ROW()-3</f>
        <v>386</v>
      </c>
    </row>
    <row r="390" spans="1:13" ht="20.399999999999999" x14ac:dyDescent="0.25">
      <c r="A390" s="30">
        <v>387</v>
      </c>
      <c r="B390" s="38" t="s">
        <v>4217</v>
      </c>
      <c r="C390" s="37">
        <v>101090386</v>
      </c>
      <c r="D390" s="39" t="s">
        <v>3914</v>
      </c>
      <c r="E390" s="40">
        <v>3012007362013</v>
      </c>
      <c r="F390" s="37" t="s">
        <v>3915</v>
      </c>
      <c r="G390" s="37"/>
      <c r="H390" s="41" t="s">
        <v>2906</v>
      </c>
      <c r="I390" s="37" t="s">
        <v>3916</v>
      </c>
      <c r="J390" s="42" t="s">
        <v>3917</v>
      </c>
      <c r="K390" s="36" t="s">
        <v>2901</v>
      </c>
      <c r="L390" s="36" t="s">
        <v>3918</v>
      </c>
      <c r="M390" s="12">
        <f t="shared" si="7"/>
        <v>387</v>
      </c>
    </row>
    <row r="391" spans="1:13" ht="20.399999999999999" x14ac:dyDescent="0.25">
      <c r="A391" s="30">
        <v>388</v>
      </c>
      <c r="B391" s="38" t="s">
        <v>1677</v>
      </c>
      <c r="C391" s="37">
        <v>190950641</v>
      </c>
      <c r="D391" s="39"/>
      <c r="E391" s="40">
        <v>3012000849006</v>
      </c>
      <c r="F391" s="37" t="s">
        <v>3919</v>
      </c>
      <c r="G391" s="37">
        <v>175</v>
      </c>
      <c r="H391" s="41" t="s">
        <v>464</v>
      </c>
      <c r="I391" s="37" t="s">
        <v>3920</v>
      </c>
      <c r="J391" s="42" t="s">
        <v>3921</v>
      </c>
      <c r="K391" s="43" t="s">
        <v>2901</v>
      </c>
      <c r="L391" s="42" t="s">
        <v>3922</v>
      </c>
      <c r="M391" s="12">
        <f t="shared" si="7"/>
        <v>388</v>
      </c>
    </row>
    <row r="392" spans="1:13" ht="30.6" x14ac:dyDescent="0.25">
      <c r="A392" s="30">
        <v>389</v>
      </c>
      <c r="B392" s="38" t="s">
        <v>3923</v>
      </c>
      <c r="C392" s="37">
        <v>690849258</v>
      </c>
      <c r="D392" s="39"/>
      <c r="E392" s="39" t="s">
        <v>3924</v>
      </c>
      <c r="F392" s="37" t="s">
        <v>3925</v>
      </c>
      <c r="G392" s="37">
        <v>782</v>
      </c>
      <c r="H392" s="41" t="s">
        <v>464</v>
      </c>
      <c r="I392" s="37" t="s">
        <v>3926</v>
      </c>
      <c r="J392" s="42" t="s">
        <v>3927</v>
      </c>
      <c r="K392" s="43" t="s">
        <v>2901</v>
      </c>
      <c r="L392" s="42" t="s">
        <v>3928</v>
      </c>
      <c r="M392" s="12">
        <f t="shared" si="7"/>
        <v>389</v>
      </c>
    </row>
    <row r="393" spans="1:13" ht="30.6" x14ac:dyDescent="0.25">
      <c r="A393" s="30">
        <v>390</v>
      </c>
      <c r="B393" s="38" t="s">
        <v>2077</v>
      </c>
      <c r="C393" s="37">
        <v>100124836</v>
      </c>
      <c r="D393" s="39" t="s">
        <v>3935</v>
      </c>
      <c r="E393" s="40"/>
      <c r="F393" s="37" t="s">
        <v>3929</v>
      </c>
      <c r="G393" s="37">
        <v>739</v>
      </c>
      <c r="H393" s="41" t="s">
        <v>3930</v>
      </c>
      <c r="I393" s="37" t="s">
        <v>3931</v>
      </c>
      <c r="J393" s="42" t="s">
        <v>3933</v>
      </c>
      <c r="K393" s="43" t="s">
        <v>3934</v>
      </c>
      <c r="L393" s="42" t="s">
        <v>3932</v>
      </c>
      <c r="M393" s="12">
        <f t="shared" si="7"/>
        <v>390</v>
      </c>
    </row>
    <row r="394" spans="1:13" ht="20.399999999999999" x14ac:dyDescent="0.25">
      <c r="A394" s="30">
        <v>391</v>
      </c>
      <c r="B394" s="38" t="s">
        <v>2451</v>
      </c>
      <c r="C394" s="37">
        <v>100301806</v>
      </c>
      <c r="D394" s="39" t="s">
        <v>3939</v>
      </c>
      <c r="E394" s="40" t="s">
        <v>3988</v>
      </c>
      <c r="F394" s="37" t="s">
        <v>3940</v>
      </c>
      <c r="G394" s="37" t="s">
        <v>3989</v>
      </c>
      <c r="H394" s="41" t="s">
        <v>2906</v>
      </c>
      <c r="I394" s="37" t="s">
        <v>3941</v>
      </c>
      <c r="J394" s="43" t="s">
        <v>3942</v>
      </c>
      <c r="K394" s="43" t="s">
        <v>2901</v>
      </c>
      <c r="L394" s="42" t="s">
        <v>3990</v>
      </c>
      <c r="M394" s="12">
        <f t="shared" si="7"/>
        <v>391</v>
      </c>
    </row>
    <row r="395" spans="1:13" ht="20.399999999999999" x14ac:dyDescent="0.25">
      <c r="A395" s="30">
        <v>392</v>
      </c>
      <c r="B395" s="37" t="s">
        <v>2619</v>
      </c>
      <c r="C395" s="37">
        <v>190321121</v>
      </c>
      <c r="D395" s="39"/>
      <c r="E395" s="40">
        <v>3632100543010</v>
      </c>
      <c r="F395" s="37" t="s">
        <v>3946</v>
      </c>
      <c r="G395" s="37">
        <v>369</v>
      </c>
      <c r="H395" s="41" t="s">
        <v>2906</v>
      </c>
      <c r="I395" s="37" t="s">
        <v>3944</v>
      </c>
      <c r="J395" s="43" t="s">
        <v>3945</v>
      </c>
      <c r="K395" s="43" t="s">
        <v>2901</v>
      </c>
      <c r="L395" s="43" t="s">
        <v>3947</v>
      </c>
      <c r="M395" s="12">
        <f t="shared" si="7"/>
        <v>392</v>
      </c>
    </row>
    <row r="396" spans="1:13" ht="20.399999999999999" x14ac:dyDescent="0.25">
      <c r="A396" s="30">
        <v>393</v>
      </c>
      <c r="B396" s="38" t="s">
        <v>3751</v>
      </c>
      <c r="C396" s="37">
        <v>590322284</v>
      </c>
      <c r="D396" s="39"/>
      <c r="E396" s="40">
        <v>3012044959217</v>
      </c>
      <c r="F396" s="37" t="s">
        <v>3948</v>
      </c>
      <c r="G396" s="37">
        <v>689</v>
      </c>
      <c r="H396" s="41" t="s">
        <v>1578</v>
      </c>
      <c r="I396" s="37" t="s">
        <v>3949</v>
      </c>
      <c r="J396" s="42" t="s">
        <v>3950</v>
      </c>
      <c r="K396" s="42" t="s">
        <v>2901</v>
      </c>
      <c r="L396" s="42" t="s">
        <v>3951</v>
      </c>
      <c r="M396" s="12">
        <f t="shared" si="7"/>
        <v>393</v>
      </c>
    </row>
    <row r="397" spans="1:13" ht="20.399999999999999" x14ac:dyDescent="0.25">
      <c r="A397" s="30">
        <v>394</v>
      </c>
      <c r="B397" s="38" t="s">
        <v>3952</v>
      </c>
      <c r="C397" s="37">
        <v>101347929</v>
      </c>
      <c r="D397" s="39"/>
      <c r="E397" s="39" t="s">
        <v>3953</v>
      </c>
      <c r="F397" s="30" t="s">
        <v>3957</v>
      </c>
      <c r="G397" s="37">
        <v>175</v>
      </c>
      <c r="H397" s="41" t="s">
        <v>464</v>
      </c>
      <c r="I397" s="37" t="s">
        <v>3954</v>
      </c>
      <c r="J397" s="42" t="s">
        <v>3955</v>
      </c>
      <c r="K397" s="43" t="s">
        <v>2901</v>
      </c>
      <c r="L397" s="42" t="s">
        <v>3956</v>
      </c>
      <c r="M397" s="12">
        <f t="shared" si="7"/>
        <v>394</v>
      </c>
    </row>
    <row r="398" spans="1:13" ht="20.399999999999999" x14ac:dyDescent="0.25">
      <c r="A398" s="30">
        <v>395</v>
      </c>
      <c r="B398" s="38" t="s">
        <v>3958</v>
      </c>
      <c r="C398" s="37">
        <v>190804721</v>
      </c>
      <c r="D398" s="39" t="s">
        <v>3959</v>
      </c>
      <c r="E398" s="40">
        <v>3012018110017</v>
      </c>
      <c r="F398" s="37" t="s">
        <v>3960</v>
      </c>
      <c r="G398" s="37">
        <v>117</v>
      </c>
      <c r="H398" s="41" t="s">
        <v>2906</v>
      </c>
      <c r="I398" s="37" t="s">
        <v>3961</v>
      </c>
      <c r="J398" s="42" t="s">
        <v>3962</v>
      </c>
      <c r="K398" s="43" t="s">
        <v>2901</v>
      </c>
      <c r="L398" s="42" t="s">
        <v>3963</v>
      </c>
      <c r="M398" s="12">
        <f t="shared" si="7"/>
        <v>395</v>
      </c>
    </row>
    <row r="399" spans="1:13" ht="30.6" x14ac:dyDescent="0.25">
      <c r="A399" s="30">
        <v>396</v>
      </c>
      <c r="B399" s="38" t="s">
        <v>3964</v>
      </c>
      <c r="C399" s="37">
        <v>691573932</v>
      </c>
      <c r="D399" s="39"/>
      <c r="E399" s="39" t="s">
        <v>3965</v>
      </c>
      <c r="F399" s="37" t="s">
        <v>3966</v>
      </c>
      <c r="G399" s="37">
        <v>739</v>
      </c>
      <c r="H399" s="41" t="s">
        <v>464</v>
      </c>
      <c r="I399" s="37" t="s">
        <v>3969</v>
      </c>
      <c r="J399" s="42" t="s">
        <v>3967</v>
      </c>
      <c r="K399" s="43" t="s">
        <v>2901</v>
      </c>
      <c r="L399" s="42" t="s">
        <v>3968</v>
      </c>
      <c r="M399" s="12">
        <f t="shared" si="7"/>
        <v>396</v>
      </c>
    </row>
    <row r="400" spans="1:13" ht="30.6" x14ac:dyDescent="0.25">
      <c r="A400" s="30">
        <v>397</v>
      </c>
      <c r="B400" s="38" t="s">
        <v>3571</v>
      </c>
      <c r="C400" s="37">
        <v>691539683</v>
      </c>
      <c r="D400" s="39"/>
      <c r="E400" s="39" t="s">
        <v>3970</v>
      </c>
      <c r="F400" s="37" t="s">
        <v>3971</v>
      </c>
      <c r="G400" s="37">
        <v>175</v>
      </c>
      <c r="H400" s="41" t="s">
        <v>464</v>
      </c>
      <c r="I400" s="37" t="s">
        <v>3972</v>
      </c>
      <c r="J400" s="42" t="s">
        <v>3973</v>
      </c>
      <c r="K400" s="43" t="s">
        <v>2901</v>
      </c>
      <c r="L400" s="42" t="s">
        <v>3974</v>
      </c>
      <c r="M400" s="12">
        <f t="shared" si="7"/>
        <v>397</v>
      </c>
    </row>
    <row r="401" spans="1:13" ht="30.6" x14ac:dyDescent="0.25">
      <c r="A401" s="30">
        <v>398</v>
      </c>
      <c r="B401" s="38" t="s">
        <v>2657</v>
      </c>
      <c r="C401" s="37">
        <v>691468740</v>
      </c>
      <c r="D401" s="39"/>
      <c r="E401" s="40">
        <v>3012012578004</v>
      </c>
      <c r="F401" s="37" t="s">
        <v>3976</v>
      </c>
      <c r="G401" s="37">
        <v>175</v>
      </c>
      <c r="H401" s="41" t="s">
        <v>464</v>
      </c>
      <c r="I401" s="37" t="s">
        <v>3977</v>
      </c>
      <c r="J401" s="43" t="s">
        <v>3978</v>
      </c>
      <c r="K401" s="43" t="s">
        <v>2901</v>
      </c>
      <c r="L401" s="42" t="s">
        <v>3979</v>
      </c>
      <c r="M401" s="12">
        <f t="shared" si="7"/>
        <v>398</v>
      </c>
    </row>
    <row r="402" spans="1:13" ht="20.399999999999999" x14ac:dyDescent="0.25">
      <c r="A402" s="30">
        <v>399</v>
      </c>
      <c r="B402" s="38" t="s">
        <v>3580</v>
      </c>
      <c r="C402" s="37">
        <v>100863054</v>
      </c>
      <c r="D402" s="39"/>
      <c r="E402" s="40" t="s">
        <v>3981</v>
      </c>
      <c r="F402" s="37" t="s">
        <v>3982</v>
      </c>
      <c r="G402" s="37" t="s">
        <v>3983</v>
      </c>
      <c r="H402" s="41" t="s">
        <v>2906</v>
      </c>
      <c r="I402" s="37" t="s">
        <v>3984</v>
      </c>
      <c r="J402" s="42" t="s">
        <v>3985</v>
      </c>
      <c r="K402" s="43" t="s">
        <v>2901</v>
      </c>
      <c r="L402" s="42" t="s">
        <v>3986</v>
      </c>
      <c r="M402" s="12">
        <f t="shared" si="7"/>
        <v>399</v>
      </c>
    </row>
    <row r="403" spans="1:13" ht="30.6" x14ac:dyDescent="0.25">
      <c r="A403" s="30">
        <v>400</v>
      </c>
      <c r="B403" s="38" t="s">
        <v>3212</v>
      </c>
      <c r="C403" s="37">
        <v>100103134</v>
      </c>
      <c r="D403" s="39" t="s">
        <v>4024</v>
      </c>
      <c r="E403" s="40">
        <v>3012100245013</v>
      </c>
      <c r="F403" s="37" t="s">
        <v>4025</v>
      </c>
      <c r="G403" s="37">
        <v>369</v>
      </c>
      <c r="H403" s="41" t="s">
        <v>2906</v>
      </c>
      <c r="I403" s="37" t="s">
        <v>4026</v>
      </c>
      <c r="J403" s="42" t="s">
        <v>4027</v>
      </c>
      <c r="K403" s="43" t="s">
        <v>2901</v>
      </c>
      <c r="L403" s="42" t="s">
        <v>4028</v>
      </c>
      <c r="M403" s="12">
        <f t="shared" si="7"/>
        <v>400</v>
      </c>
    </row>
    <row r="404" spans="1:13" ht="20.399999999999999" x14ac:dyDescent="0.25">
      <c r="A404" s="30">
        <v>401</v>
      </c>
      <c r="B404" s="38" t="s">
        <v>4030</v>
      </c>
      <c r="C404" s="37">
        <v>190900642</v>
      </c>
      <c r="D404" s="39"/>
      <c r="E404" s="39"/>
      <c r="F404" s="37"/>
      <c r="G404" s="37"/>
      <c r="H404" s="34" t="s">
        <v>2906</v>
      </c>
      <c r="I404" s="30"/>
      <c r="J404" s="35"/>
      <c r="K404" s="43" t="s">
        <v>2901</v>
      </c>
      <c r="L404" s="35"/>
      <c r="M404" s="12">
        <f t="shared" si="7"/>
        <v>401</v>
      </c>
    </row>
    <row r="405" spans="1:13" ht="20.399999999999999" x14ac:dyDescent="0.25">
      <c r="A405" s="30">
        <v>402</v>
      </c>
      <c r="B405" s="38" t="s">
        <v>2703</v>
      </c>
      <c r="C405" s="37">
        <v>190473476</v>
      </c>
      <c r="D405" s="39" t="s">
        <v>4032</v>
      </c>
      <c r="E405" s="40" t="s">
        <v>4037</v>
      </c>
      <c r="F405" s="37" t="s">
        <v>4036</v>
      </c>
      <c r="G405" s="37"/>
      <c r="H405" s="41" t="s">
        <v>464</v>
      </c>
      <c r="I405" s="37" t="s">
        <v>4033</v>
      </c>
      <c r="J405" s="42" t="s">
        <v>4034</v>
      </c>
      <c r="K405" s="43" t="s">
        <v>3387</v>
      </c>
      <c r="L405" s="42" t="s">
        <v>4035</v>
      </c>
      <c r="M405" s="12">
        <f t="shared" si="7"/>
        <v>402</v>
      </c>
    </row>
    <row r="406" spans="1:13" ht="20.399999999999999" x14ac:dyDescent="0.25">
      <c r="A406" s="30">
        <v>403</v>
      </c>
      <c r="B406" s="44" t="s">
        <v>245</v>
      </c>
      <c r="C406" s="37">
        <v>100886879</v>
      </c>
      <c r="D406" s="39"/>
      <c r="E406" s="40" t="s">
        <v>4045</v>
      </c>
      <c r="F406" s="37" t="s">
        <v>4041</v>
      </c>
      <c r="G406" s="37" t="s">
        <v>4039</v>
      </c>
      <c r="H406" s="41" t="s">
        <v>2997</v>
      </c>
      <c r="I406" s="37" t="s">
        <v>4042</v>
      </c>
      <c r="J406" s="43" t="s">
        <v>4043</v>
      </c>
      <c r="K406" s="43" t="s">
        <v>2901</v>
      </c>
      <c r="L406" s="43" t="s">
        <v>4044</v>
      </c>
      <c r="M406" s="12">
        <f t="shared" si="7"/>
        <v>403</v>
      </c>
    </row>
    <row r="407" spans="1:13" ht="20.399999999999999" x14ac:dyDescent="0.25">
      <c r="A407" s="30">
        <v>404</v>
      </c>
      <c r="B407" s="38" t="s">
        <v>4046</v>
      </c>
      <c r="C407" s="37">
        <v>100138463</v>
      </c>
      <c r="D407" s="39" t="s">
        <v>4047</v>
      </c>
      <c r="E407" s="39" t="s">
        <v>4048</v>
      </c>
      <c r="F407" s="37" t="s">
        <v>4049</v>
      </c>
      <c r="G407" s="37" t="s">
        <v>4014</v>
      </c>
      <c r="H407" s="41" t="s">
        <v>464</v>
      </c>
      <c r="I407" s="37" t="s">
        <v>4050</v>
      </c>
      <c r="J407" s="42" t="s">
        <v>4051</v>
      </c>
      <c r="K407" s="43" t="s">
        <v>2901</v>
      </c>
      <c r="L407" s="42" t="s">
        <v>4052</v>
      </c>
      <c r="M407" s="12">
        <f t="shared" si="7"/>
        <v>404</v>
      </c>
    </row>
    <row r="408" spans="1:13" ht="30.6" x14ac:dyDescent="0.25">
      <c r="A408" s="30">
        <v>405</v>
      </c>
      <c r="B408" s="38" t="s">
        <v>2772</v>
      </c>
      <c r="C408" s="37">
        <v>691149841</v>
      </c>
      <c r="D408" s="39"/>
      <c r="E408" s="40">
        <v>3012122300017</v>
      </c>
      <c r="F408" s="37" t="s">
        <v>4053</v>
      </c>
      <c r="G408" s="37">
        <v>770</v>
      </c>
      <c r="H408" s="41" t="s">
        <v>2906</v>
      </c>
      <c r="I408" s="37" t="s">
        <v>4054</v>
      </c>
      <c r="J408" s="42" t="s">
        <v>4055</v>
      </c>
      <c r="K408" s="43" t="s">
        <v>2901</v>
      </c>
      <c r="L408" s="42" t="s">
        <v>4056</v>
      </c>
      <c r="M408" s="12">
        <f t="shared" si="7"/>
        <v>405</v>
      </c>
    </row>
    <row r="409" spans="1:13" ht="20.399999999999999" x14ac:dyDescent="0.25">
      <c r="A409" s="30">
        <v>406</v>
      </c>
      <c r="B409" s="31" t="s">
        <v>4058</v>
      </c>
      <c r="C409" s="30">
        <v>192567985</v>
      </c>
      <c r="D409" s="32"/>
      <c r="E409" s="32" t="s">
        <v>4059</v>
      </c>
      <c r="F409" s="30" t="s">
        <v>572</v>
      </c>
      <c r="G409" s="30" t="s">
        <v>4003</v>
      </c>
      <c r="H409" s="41" t="s">
        <v>464</v>
      </c>
      <c r="I409" s="37" t="s">
        <v>4060</v>
      </c>
      <c r="J409" s="42" t="s">
        <v>4061</v>
      </c>
      <c r="K409" s="43" t="s">
        <v>2901</v>
      </c>
      <c r="L409" s="42" t="s">
        <v>4062</v>
      </c>
      <c r="M409" s="12">
        <f t="shared" si="7"/>
        <v>406</v>
      </c>
    </row>
    <row r="410" spans="1:13" ht="30.6" x14ac:dyDescent="0.25">
      <c r="A410" s="30">
        <v>407</v>
      </c>
      <c r="B410" s="38" t="s">
        <v>4063</v>
      </c>
      <c r="C410" s="37">
        <v>190321772</v>
      </c>
      <c r="D410" s="39" t="s">
        <v>4064</v>
      </c>
      <c r="E410" s="39" t="s">
        <v>4065</v>
      </c>
      <c r="F410" s="37" t="s">
        <v>4066</v>
      </c>
      <c r="G410" s="37" t="s">
        <v>3992</v>
      </c>
      <c r="H410" s="34" t="s">
        <v>464</v>
      </c>
      <c r="I410" s="37" t="s">
        <v>4069</v>
      </c>
      <c r="J410" s="35" t="s">
        <v>4067</v>
      </c>
      <c r="K410" s="36" t="s">
        <v>2901</v>
      </c>
      <c r="L410" s="35" t="s">
        <v>4068</v>
      </c>
      <c r="M410" s="12">
        <f t="shared" si="7"/>
        <v>407</v>
      </c>
    </row>
    <row r="411" spans="1:13" ht="40.799999999999997" x14ac:dyDescent="0.25">
      <c r="A411" s="30">
        <v>408</v>
      </c>
      <c r="B411" s="283" t="s">
        <v>4074</v>
      </c>
      <c r="C411" s="37">
        <v>100049068</v>
      </c>
      <c r="D411" s="39"/>
      <c r="E411" s="39" t="s">
        <v>4075</v>
      </c>
      <c r="F411" s="37" t="s">
        <v>4076</v>
      </c>
      <c r="G411" s="37" t="s">
        <v>3989</v>
      </c>
      <c r="H411" s="41" t="s">
        <v>464</v>
      </c>
      <c r="I411" s="37" t="s">
        <v>4077</v>
      </c>
      <c r="J411" s="42" t="s">
        <v>4078</v>
      </c>
      <c r="K411" s="43" t="s">
        <v>2901</v>
      </c>
      <c r="L411" s="42" t="s">
        <v>4079</v>
      </c>
      <c r="M411" s="12">
        <f t="shared" si="7"/>
        <v>408</v>
      </c>
    </row>
    <row r="412" spans="1:13" ht="30.6" x14ac:dyDescent="0.25">
      <c r="A412" s="30">
        <v>409</v>
      </c>
      <c r="B412" s="38" t="s">
        <v>4081</v>
      </c>
      <c r="C412" s="37">
        <v>100017192</v>
      </c>
      <c r="D412" s="39" t="s">
        <v>4082</v>
      </c>
      <c r="E412" s="39" t="s">
        <v>4087</v>
      </c>
      <c r="F412" s="37" t="s">
        <v>4083</v>
      </c>
      <c r="G412" s="37" t="s">
        <v>4086</v>
      </c>
      <c r="H412" s="41" t="s">
        <v>4088</v>
      </c>
      <c r="I412" s="37" t="s">
        <v>4084</v>
      </c>
      <c r="J412" s="42" t="s">
        <v>4089</v>
      </c>
      <c r="K412" s="43" t="s">
        <v>4090</v>
      </c>
      <c r="L412" s="42" t="s">
        <v>4085</v>
      </c>
      <c r="M412" s="12">
        <f t="shared" si="7"/>
        <v>409</v>
      </c>
    </row>
    <row r="413" spans="1:13" ht="20.399999999999999" x14ac:dyDescent="0.25">
      <c r="A413" s="30">
        <v>410</v>
      </c>
      <c r="B413" s="38" t="s">
        <v>4093</v>
      </c>
      <c r="C413" s="37">
        <v>790260260</v>
      </c>
      <c r="D413" s="39"/>
      <c r="E413" s="39" t="s">
        <v>4094</v>
      </c>
      <c r="F413" s="37" t="s">
        <v>4095</v>
      </c>
      <c r="G413" s="37" t="s">
        <v>4096</v>
      </c>
      <c r="H413" s="41" t="s">
        <v>464</v>
      </c>
      <c r="I413" s="37" t="s">
        <v>4097</v>
      </c>
      <c r="J413" s="42" t="s">
        <v>4098</v>
      </c>
      <c r="K413" s="43" t="s">
        <v>2901</v>
      </c>
      <c r="L413" s="42" t="s">
        <v>4099</v>
      </c>
      <c r="M413" s="12">
        <f t="shared" si="7"/>
        <v>410</v>
      </c>
    </row>
    <row r="414" spans="1:13" ht="20.399999999999999" x14ac:dyDescent="0.25">
      <c r="A414" s="30">
        <v>411</v>
      </c>
      <c r="B414" s="38" t="s">
        <v>174</v>
      </c>
      <c r="C414" s="37">
        <v>190634264</v>
      </c>
      <c r="D414" s="39" t="s">
        <v>4100</v>
      </c>
      <c r="E414" s="39" t="s">
        <v>4242</v>
      </c>
      <c r="F414" s="37" t="s">
        <v>4101</v>
      </c>
      <c r="G414" s="37" t="s">
        <v>3989</v>
      </c>
      <c r="H414" s="41" t="s">
        <v>464</v>
      </c>
      <c r="I414" s="37" t="s">
        <v>4102</v>
      </c>
      <c r="J414" s="42" t="s">
        <v>4103</v>
      </c>
      <c r="K414" s="43" t="s">
        <v>2901</v>
      </c>
      <c r="L414" s="42" t="s">
        <v>4104</v>
      </c>
      <c r="M414" s="12">
        <f t="shared" si="7"/>
        <v>411</v>
      </c>
    </row>
    <row r="415" spans="1:13" ht="20.399999999999999" x14ac:dyDescent="0.25">
      <c r="A415" s="30">
        <v>412</v>
      </c>
      <c r="B415" s="38" t="s">
        <v>4112</v>
      </c>
      <c r="C415" s="37">
        <v>101127633</v>
      </c>
      <c r="D415" s="39"/>
      <c r="E415" s="39" t="s">
        <v>4106</v>
      </c>
      <c r="F415" s="37" t="s">
        <v>4107</v>
      </c>
      <c r="G415" s="37" t="s">
        <v>4016</v>
      </c>
      <c r="H415" s="41" t="s">
        <v>4111</v>
      </c>
      <c r="I415" s="37" t="s">
        <v>4108</v>
      </c>
      <c r="J415" s="42" t="s">
        <v>4109</v>
      </c>
      <c r="K415" s="43" t="s">
        <v>4110</v>
      </c>
      <c r="L415" s="42"/>
      <c r="M415" s="12">
        <f t="shared" si="7"/>
        <v>412</v>
      </c>
    </row>
    <row r="416" spans="1:13" ht="20.399999999999999" x14ac:dyDescent="0.25">
      <c r="A416" s="30">
        <v>413</v>
      </c>
      <c r="B416" s="38" t="s">
        <v>1095</v>
      </c>
      <c r="C416" s="37">
        <v>190927518</v>
      </c>
      <c r="D416" s="39"/>
      <c r="E416" s="40" t="s">
        <v>1091</v>
      </c>
      <c r="F416" s="37" t="s">
        <v>1093</v>
      </c>
      <c r="G416" s="37" t="s">
        <v>1092</v>
      </c>
      <c r="H416" s="41" t="s">
        <v>2906</v>
      </c>
      <c r="I416" s="37" t="s">
        <v>1088</v>
      </c>
      <c r="J416" s="43" t="s">
        <v>1089</v>
      </c>
      <c r="K416" s="43" t="s">
        <v>2901</v>
      </c>
      <c r="L416" s="42" t="s">
        <v>1090</v>
      </c>
      <c r="M416" s="12">
        <f t="shared" si="7"/>
        <v>413</v>
      </c>
    </row>
    <row r="417" spans="1:13" x14ac:dyDescent="0.25">
      <c r="A417" s="30">
        <v>414</v>
      </c>
      <c r="B417" s="37" t="s">
        <v>1096</v>
      </c>
      <c r="C417" s="37">
        <v>812005555</v>
      </c>
      <c r="D417" s="39"/>
      <c r="E417" s="39"/>
      <c r="F417" s="37" t="s">
        <v>3722</v>
      </c>
      <c r="G417" s="37"/>
      <c r="H417" s="41" t="s">
        <v>2906</v>
      </c>
      <c r="I417" s="37" t="s">
        <v>1097</v>
      </c>
      <c r="J417" s="42" t="s">
        <v>1098</v>
      </c>
      <c r="K417" s="43" t="s">
        <v>2901</v>
      </c>
      <c r="L417" s="42" t="s">
        <v>1099</v>
      </c>
      <c r="M417" s="12">
        <f t="shared" si="7"/>
        <v>414</v>
      </c>
    </row>
    <row r="418" spans="1:13" x14ac:dyDescent="0.25">
      <c r="A418" s="30">
        <v>415</v>
      </c>
      <c r="B418" s="38"/>
      <c r="C418" s="37"/>
      <c r="D418" s="39"/>
      <c r="E418" s="39"/>
      <c r="F418" s="37"/>
      <c r="G418" s="37"/>
      <c r="H418" s="41"/>
      <c r="I418" s="37"/>
      <c r="J418" s="43"/>
      <c r="K418" s="43"/>
      <c r="L418" s="43"/>
      <c r="M418" s="12">
        <f t="shared" si="7"/>
        <v>415</v>
      </c>
    </row>
    <row r="419" spans="1:13" ht="13.2" x14ac:dyDescent="0.25">
      <c r="A419" s="30">
        <v>416</v>
      </c>
      <c r="B419" s="286"/>
      <c r="C419" s="37"/>
      <c r="D419" s="287"/>
      <c r="E419" s="32"/>
      <c r="F419" s="30"/>
      <c r="G419" s="30"/>
      <c r="H419" s="41"/>
      <c r="I419" s="37"/>
      <c r="J419" s="42"/>
      <c r="K419" s="43"/>
      <c r="L419" s="42"/>
      <c r="M419" s="12">
        <f t="shared" si="7"/>
        <v>416</v>
      </c>
    </row>
    <row r="420" spans="1:13" ht="13.2" x14ac:dyDescent="0.25">
      <c r="A420" s="30">
        <v>417</v>
      </c>
      <c r="B420" s="37"/>
      <c r="C420" s="37"/>
      <c r="D420" s="39"/>
      <c r="E420" s="39"/>
      <c r="F420" s="37"/>
      <c r="G420" s="37"/>
      <c r="H420" s="286"/>
      <c r="I420" s="286"/>
      <c r="J420" s="35"/>
      <c r="K420" s="36"/>
      <c r="L420" s="35"/>
      <c r="M420" s="12">
        <f t="shared" si="7"/>
        <v>417</v>
      </c>
    </row>
    <row r="421" spans="1:13" x14ac:dyDescent="0.25">
      <c r="A421" s="30">
        <v>418</v>
      </c>
      <c r="B421" s="38"/>
      <c r="C421" s="37"/>
      <c r="D421" s="39"/>
      <c r="E421" s="39"/>
      <c r="F421" s="37"/>
      <c r="G421" s="37"/>
      <c r="H421" s="41"/>
      <c r="I421" s="37"/>
      <c r="J421" s="43"/>
      <c r="K421" s="43"/>
      <c r="L421" s="43"/>
      <c r="M421" s="12">
        <f t="shared" si="7"/>
        <v>418</v>
      </c>
    </row>
    <row r="422" spans="1:13" x14ac:dyDescent="0.25">
      <c r="A422" s="30">
        <v>419</v>
      </c>
      <c r="B422" s="38"/>
      <c r="C422" s="37"/>
      <c r="D422" s="39"/>
      <c r="E422" s="39"/>
      <c r="F422" s="37"/>
      <c r="G422" s="37"/>
      <c r="H422" s="41"/>
      <c r="I422" s="37"/>
      <c r="J422" s="42"/>
      <c r="K422" s="43"/>
      <c r="L422" s="42"/>
      <c r="M422" s="12">
        <f t="shared" si="7"/>
        <v>419</v>
      </c>
    </row>
    <row r="423" spans="1:13" x14ac:dyDescent="0.25">
      <c r="A423" s="30">
        <v>420</v>
      </c>
      <c r="B423" s="38"/>
      <c r="C423" s="37"/>
      <c r="D423" s="39"/>
      <c r="E423" s="39"/>
      <c r="F423" s="37"/>
      <c r="G423" s="37"/>
      <c r="H423" s="41"/>
      <c r="I423" s="37"/>
      <c r="J423" s="42"/>
      <c r="K423" s="43"/>
      <c r="L423" s="42"/>
      <c r="M423" s="12">
        <f t="shared" si="7"/>
        <v>420</v>
      </c>
    </row>
    <row r="424" spans="1:13" x14ac:dyDescent="0.25">
      <c r="A424" s="30">
        <v>421</v>
      </c>
      <c r="B424" s="37"/>
      <c r="C424" s="37"/>
      <c r="D424" s="39"/>
      <c r="E424" s="39"/>
      <c r="F424" s="37"/>
      <c r="G424" s="37"/>
      <c r="H424" s="41"/>
      <c r="I424" s="37"/>
      <c r="J424" s="42"/>
      <c r="K424" s="43"/>
      <c r="L424" s="42"/>
      <c r="M424" s="12">
        <f t="shared" si="7"/>
        <v>421</v>
      </c>
    </row>
    <row r="425" spans="1:13" x14ac:dyDescent="0.25">
      <c r="A425" s="30">
        <v>422</v>
      </c>
      <c r="B425" s="38"/>
      <c r="C425" s="37"/>
      <c r="D425" s="39"/>
      <c r="E425" s="39"/>
      <c r="F425" s="37"/>
      <c r="G425" s="37"/>
      <c r="H425" s="41"/>
      <c r="I425" s="37"/>
      <c r="J425" s="43"/>
      <c r="K425" s="43"/>
      <c r="L425" s="43"/>
      <c r="M425" s="12">
        <f t="shared" si="7"/>
        <v>422</v>
      </c>
    </row>
    <row r="426" spans="1:13" x14ac:dyDescent="0.25">
      <c r="A426" s="30">
        <v>423</v>
      </c>
      <c r="B426" s="38"/>
      <c r="C426" s="37"/>
      <c r="D426" s="39"/>
      <c r="E426" s="39"/>
      <c r="F426" s="37"/>
      <c r="G426" s="37"/>
      <c r="H426" s="41"/>
      <c r="I426" s="37"/>
      <c r="J426" s="42"/>
      <c r="K426" s="43"/>
      <c r="L426" s="42"/>
      <c r="M426" s="12">
        <f t="shared" si="7"/>
        <v>423</v>
      </c>
    </row>
    <row r="427" spans="1:13" x14ac:dyDescent="0.25">
      <c r="A427" s="30">
        <v>424</v>
      </c>
      <c r="B427" s="38"/>
      <c r="C427" s="37"/>
      <c r="D427" s="39"/>
      <c r="E427" s="39"/>
      <c r="F427" s="37"/>
      <c r="G427" s="37"/>
      <c r="H427" s="41"/>
      <c r="I427" s="37"/>
      <c r="J427" s="42"/>
      <c r="K427" s="43"/>
      <c r="L427" s="42"/>
      <c r="M427" s="12">
        <f t="shared" si="7"/>
        <v>424</v>
      </c>
    </row>
    <row r="428" spans="1:13" x14ac:dyDescent="0.25">
      <c r="A428" s="30">
        <v>425</v>
      </c>
      <c r="B428" s="38"/>
      <c r="C428" s="37"/>
      <c r="D428" s="39"/>
      <c r="E428" s="39"/>
      <c r="F428" s="37"/>
      <c r="G428" s="37"/>
      <c r="H428" s="41"/>
      <c r="I428" s="37"/>
      <c r="J428" s="42"/>
      <c r="K428" s="43"/>
      <c r="L428" s="42"/>
      <c r="M428" s="12">
        <f t="shared" si="7"/>
        <v>425</v>
      </c>
    </row>
    <row r="429" spans="1:13" x14ac:dyDescent="0.25">
      <c r="A429" s="30">
        <v>426</v>
      </c>
      <c r="B429" s="38"/>
      <c r="C429" s="37"/>
      <c r="D429" s="39"/>
      <c r="E429" s="39"/>
      <c r="F429" s="37"/>
      <c r="G429" s="37"/>
      <c r="H429" s="41"/>
      <c r="I429" s="37"/>
      <c r="J429" s="42"/>
      <c r="K429" s="43"/>
      <c r="L429" s="42"/>
      <c r="M429" s="12">
        <f t="shared" si="7"/>
        <v>426</v>
      </c>
    </row>
    <row r="430" spans="1:13" x14ac:dyDescent="0.25">
      <c r="A430" s="37">
        <v>427</v>
      </c>
      <c r="B430" s="38"/>
      <c r="C430" s="37"/>
      <c r="D430" s="39"/>
      <c r="E430" s="39"/>
      <c r="F430" s="37"/>
      <c r="G430" s="37"/>
      <c r="H430" s="41"/>
      <c r="I430" s="37"/>
      <c r="J430" s="42"/>
      <c r="K430" s="43"/>
      <c r="L430" s="42"/>
      <c r="M430" s="12">
        <f t="shared" si="7"/>
        <v>427</v>
      </c>
    </row>
    <row r="431" spans="1:13" x14ac:dyDescent="0.25">
      <c r="A431" s="30">
        <v>428</v>
      </c>
      <c r="B431" s="38"/>
      <c r="C431" s="37"/>
      <c r="D431" s="39"/>
      <c r="E431" s="39"/>
      <c r="F431" s="37"/>
      <c r="G431" s="37"/>
      <c r="H431" s="41"/>
      <c r="I431" s="37"/>
      <c r="J431" s="42"/>
      <c r="K431" s="43"/>
      <c r="L431" s="42"/>
      <c r="M431" s="12">
        <f t="shared" si="7"/>
        <v>428</v>
      </c>
    </row>
    <row r="432" spans="1:13" x14ac:dyDescent="0.25">
      <c r="A432" s="30">
        <v>429</v>
      </c>
      <c r="B432" s="38"/>
      <c r="C432" s="37"/>
      <c r="D432" s="39"/>
      <c r="E432" s="39"/>
      <c r="F432" s="37"/>
      <c r="G432" s="37"/>
      <c r="H432" s="41"/>
      <c r="I432" s="37"/>
      <c r="J432" s="42"/>
      <c r="K432" s="43"/>
      <c r="L432" s="42"/>
      <c r="M432" s="12">
        <f t="shared" si="7"/>
        <v>429</v>
      </c>
    </row>
    <row r="433" spans="1:20" x14ac:dyDescent="0.25">
      <c r="A433" s="30">
        <v>430</v>
      </c>
      <c r="B433" s="38"/>
      <c r="C433" s="37"/>
      <c r="D433" s="39"/>
      <c r="E433" s="39"/>
      <c r="F433" s="37"/>
      <c r="G433" s="37"/>
      <c r="H433" s="41"/>
      <c r="I433" s="37"/>
      <c r="J433" s="42"/>
      <c r="K433" s="43"/>
      <c r="L433" s="42"/>
      <c r="M433" s="12">
        <f t="shared" si="7"/>
        <v>430</v>
      </c>
    </row>
    <row r="434" spans="1:20" x14ac:dyDescent="0.25">
      <c r="A434" s="30">
        <v>431</v>
      </c>
      <c r="B434" s="38"/>
      <c r="C434" s="37"/>
      <c r="D434" s="39"/>
      <c r="E434" s="39"/>
      <c r="F434" s="37"/>
      <c r="G434" s="37"/>
      <c r="H434" s="41"/>
      <c r="I434" s="37"/>
      <c r="J434" s="42"/>
      <c r="K434" s="43"/>
      <c r="L434" s="42"/>
      <c r="M434" s="12">
        <f t="shared" si="7"/>
        <v>431</v>
      </c>
      <c r="N434" s="37"/>
      <c r="O434" s="37"/>
      <c r="P434" s="41"/>
      <c r="Q434" s="37"/>
      <c r="R434" s="42"/>
      <c r="S434" s="42"/>
      <c r="T434" s="42"/>
    </row>
    <row r="435" spans="1:20" x14ac:dyDescent="0.25">
      <c r="A435" s="30">
        <v>432</v>
      </c>
      <c r="B435" s="44"/>
      <c r="C435" s="37"/>
      <c r="D435" s="39"/>
      <c r="E435" s="39"/>
      <c r="F435" s="37"/>
      <c r="G435" s="37"/>
      <c r="H435" s="41"/>
      <c r="I435" s="37"/>
      <c r="J435" s="42"/>
      <c r="K435" s="43"/>
      <c r="L435" s="42"/>
      <c r="M435" s="12">
        <f t="shared" si="7"/>
        <v>432</v>
      </c>
      <c r="N435" s="37"/>
      <c r="O435" s="37"/>
      <c r="P435" s="41"/>
      <c r="Q435" s="37"/>
      <c r="R435" s="42"/>
      <c r="S435" s="42"/>
      <c r="T435" s="42"/>
    </row>
    <row r="436" spans="1:20" x14ac:dyDescent="0.25">
      <c r="A436" s="30">
        <v>433</v>
      </c>
      <c r="B436" s="38"/>
      <c r="C436" s="37"/>
      <c r="D436" s="39"/>
      <c r="E436" s="39"/>
      <c r="F436" s="37"/>
      <c r="G436" s="37"/>
      <c r="H436" s="41"/>
      <c r="I436" s="37"/>
      <c r="J436" s="43"/>
      <c r="K436" s="43"/>
      <c r="L436" s="43"/>
      <c r="M436" s="12">
        <f t="shared" si="7"/>
        <v>433</v>
      </c>
    </row>
    <row r="437" spans="1:20" x14ac:dyDescent="0.25">
      <c r="A437" s="30">
        <v>434</v>
      </c>
      <c r="B437" s="37"/>
      <c r="C437" s="37"/>
      <c r="D437" s="39"/>
      <c r="E437" s="39"/>
      <c r="F437" s="37"/>
      <c r="G437" s="37"/>
      <c r="H437" s="41"/>
      <c r="I437" s="37"/>
      <c r="J437" s="42"/>
      <c r="K437" s="42"/>
      <c r="L437" s="42"/>
      <c r="M437" s="12">
        <f t="shared" si="7"/>
        <v>434</v>
      </c>
    </row>
    <row r="438" spans="1:20" x14ac:dyDescent="0.25">
      <c r="A438" s="30">
        <v>435</v>
      </c>
      <c r="B438" s="44"/>
      <c r="C438" s="37"/>
      <c r="D438" s="39"/>
      <c r="E438" s="39"/>
      <c r="F438" s="37"/>
      <c r="G438" s="37"/>
      <c r="H438" s="41"/>
      <c r="I438" s="37"/>
      <c r="J438" s="43"/>
      <c r="K438" s="43"/>
      <c r="L438" s="43"/>
      <c r="M438" s="12">
        <f t="shared" si="7"/>
        <v>435</v>
      </c>
    </row>
    <row r="439" spans="1:20" x14ac:dyDescent="0.25">
      <c r="A439" s="30">
        <v>436</v>
      </c>
      <c r="B439" s="38"/>
      <c r="C439" s="37"/>
      <c r="D439" s="39"/>
      <c r="E439" s="39"/>
      <c r="F439" s="37"/>
      <c r="G439" s="37"/>
      <c r="H439" s="41"/>
      <c r="I439" s="37"/>
      <c r="J439" s="43"/>
      <c r="K439" s="43"/>
      <c r="L439" s="43"/>
      <c r="M439" s="12">
        <f t="shared" si="7"/>
        <v>436</v>
      </c>
    </row>
    <row r="440" spans="1:20" x14ac:dyDescent="0.25">
      <c r="A440" s="30">
        <v>437</v>
      </c>
      <c r="B440" s="38"/>
      <c r="C440" s="37"/>
      <c r="D440" s="39"/>
      <c r="E440" s="39"/>
      <c r="F440" s="37"/>
      <c r="G440" s="37"/>
      <c r="H440" s="41"/>
      <c r="I440" s="37"/>
      <c r="J440" s="42"/>
      <c r="K440" s="43"/>
      <c r="L440" s="43"/>
      <c r="M440" s="12">
        <f t="shared" si="7"/>
        <v>437</v>
      </c>
    </row>
    <row r="441" spans="1:20" x14ac:dyDescent="0.25">
      <c r="A441" s="30">
        <v>438</v>
      </c>
      <c r="B441" s="38"/>
      <c r="C441" s="37"/>
      <c r="D441" s="39"/>
      <c r="E441" s="39"/>
      <c r="F441" s="37"/>
      <c r="G441" s="37"/>
      <c r="H441" s="41"/>
      <c r="I441" s="37"/>
      <c r="J441" s="42"/>
      <c r="K441" s="43"/>
      <c r="L441" s="42"/>
      <c r="M441" s="12">
        <f t="shared" si="7"/>
        <v>438</v>
      </c>
    </row>
    <row r="442" spans="1:20" x14ac:dyDescent="0.25">
      <c r="A442" s="30">
        <v>439</v>
      </c>
      <c r="B442" s="38"/>
      <c r="C442" s="37"/>
      <c r="D442" s="39"/>
      <c r="E442" s="39"/>
      <c r="F442" s="37"/>
      <c r="G442" s="37"/>
      <c r="H442" s="41"/>
      <c r="I442" s="37"/>
      <c r="J442" s="42"/>
      <c r="K442" s="43"/>
      <c r="L442" s="42"/>
      <c r="M442" s="12">
        <f t="shared" si="7"/>
        <v>439</v>
      </c>
    </row>
    <row r="443" spans="1:20" x14ac:dyDescent="0.25">
      <c r="A443" s="30">
        <v>440</v>
      </c>
      <c r="B443" s="38"/>
      <c r="C443" s="37"/>
      <c r="D443" s="39"/>
      <c r="E443" s="39"/>
      <c r="F443" s="37"/>
      <c r="G443" s="37"/>
      <c r="H443" s="41"/>
      <c r="I443" s="37"/>
      <c r="J443" s="42"/>
      <c r="K443" s="43"/>
      <c r="L443" s="42"/>
      <c r="M443" s="12">
        <f t="shared" si="7"/>
        <v>440</v>
      </c>
    </row>
    <row r="444" spans="1:20" x14ac:dyDescent="0.25">
      <c r="A444" s="30">
        <v>441</v>
      </c>
      <c r="B444" s="31"/>
      <c r="C444" s="30"/>
      <c r="D444" s="32"/>
      <c r="E444" s="32"/>
      <c r="F444" s="30"/>
      <c r="G444" s="30"/>
      <c r="H444" s="41"/>
      <c r="I444" s="37"/>
      <c r="J444" s="42"/>
      <c r="K444" s="42"/>
      <c r="L444" s="42"/>
      <c r="M444" s="12">
        <f t="shared" si="7"/>
        <v>441</v>
      </c>
    </row>
    <row r="445" spans="1:20" x14ac:dyDescent="0.25">
      <c r="A445" s="30">
        <v>442</v>
      </c>
      <c r="B445" s="38"/>
      <c r="C445" s="37"/>
      <c r="D445" s="39"/>
      <c r="E445" s="39"/>
      <c r="F445" s="37"/>
      <c r="G445" s="37"/>
      <c r="H445" s="34"/>
      <c r="I445" s="30"/>
      <c r="J445" s="35"/>
      <c r="K445" s="36"/>
      <c r="L445" s="35"/>
      <c r="M445" s="12">
        <f t="shared" si="7"/>
        <v>442</v>
      </c>
    </row>
    <row r="446" spans="1:20" x14ac:dyDescent="0.25">
      <c r="A446" s="30">
        <v>443</v>
      </c>
      <c r="B446" s="37"/>
      <c r="C446" s="37"/>
      <c r="D446" s="39"/>
      <c r="E446" s="39"/>
      <c r="F446" s="37"/>
      <c r="G446" s="37"/>
      <c r="H446" s="41"/>
      <c r="I446" s="37"/>
      <c r="J446" s="42"/>
      <c r="K446" s="42"/>
      <c r="L446" s="42"/>
      <c r="M446" s="12">
        <f t="shared" si="7"/>
        <v>443</v>
      </c>
    </row>
    <row r="447" spans="1:20" x14ac:dyDescent="0.25">
      <c r="A447" s="30">
        <v>444</v>
      </c>
      <c r="B447" s="38"/>
      <c r="C447" s="37"/>
      <c r="D447" s="39"/>
      <c r="E447" s="39"/>
      <c r="F447" s="37"/>
      <c r="G447" s="37"/>
      <c r="H447" s="41"/>
      <c r="I447" s="37"/>
      <c r="J447" s="43"/>
      <c r="K447" s="43"/>
      <c r="L447" s="43"/>
      <c r="M447" s="12">
        <f t="shared" si="7"/>
        <v>444</v>
      </c>
    </row>
    <row r="448" spans="1:20" x14ac:dyDescent="0.25">
      <c r="A448" s="30">
        <v>445</v>
      </c>
      <c r="B448" s="38"/>
      <c r="C448" s="37"/>
      <c r="D448" s="39"/>
      <c r="E448" s="39"/>
      <c r="F448" s="37"/>
      <c r="G448" s="37"/>
      <c r="H448" s="41"/>
      <c r="I448" s="37"/>
      <c r="J448" s="42"/>
      <c r="K448" s="43"/>
      <c r="L448" s="42"/>
      <c r="M448" s="12">
        <f t="shared" si="7"/>
        <v>445</v>
      </c>
    </row>
    <row r="449" spans="1:13" x14ac:dyDescent="0.25">
      <c r="A449" s="30">
        <v>446</v>
      </c>
      <c r="B449" s="37"/>
      <c r="C449" s="37"/>
      <c r="D449" s="39"/>
      <c r="E449" s="39"/>
      <c r="F449" s="37"/>
      <c r="G449" s="37"/>
      <c r="H449" s="41"/>
      <c r="I449" s="37"/>
      <c r="J449" s="42"/>
      <c r="K449" s="43"/>
      <c r="L449" s="42"/>
      <c r="M449" s="12">
        <f t="shared" si="7"/>
        <v>446</v>
      </c>
    </row>
    <row r="450" spans="1:13" x14ac:dyDescent="0.25">
      <c r="A450" s="30">
        <v>447</v>
      </c>
      <c r="B450" s="38"/>
      <c r="C450" s="37"/>
      <c r="D450" s="39"/>
      <c r="E450" s="39"/>
      <c r="F450" s="37"/>
      <c r="G450" s="37"/>
      <c r="H450" s="41"/>
      <c r="I450" s="37"/>
      <c r="J450" s="43"/>
      <c r="K450" s="43"/>
      <c r="L450" s="43"/>
      <c r="M450" s="12">
        <f t="shared" si="7"/>
        <v>447</v>
      </c>
    </row>
    <row r="451" spans="1:13" x14ac:dyDescent="0.25">
      <c r="A451" s="30">
        <v>448</v>
      </c>
      <c r="B451" s="38"/>
      <c r="C451" s="37"/>
      <c r="D451" s="39"/>
      <c r="E451" s="39"/>
      <c r="F451" s="37"/>
      <c r="G451" s="37"/>
      <c r="H451" s="41"/>
      <c r="I451" s="37"/>
      <c r="J451" s="42"/>
      <c r="K451" s="43"/>
      <c r="L451" s="42"/>
      <c r="M451" s="12">
        <f t="shared" si="7"/>
        <v>448</v>
      </c>
    </row>
    <row r="452" spans="1:13" x14ac:dyDescent="0.25">
      <c r="A452" s="30">
        <v>449</v>
      </c>
      <c r="B452" s="38"/>
      <c r="C452" s="37"/>
      <c r="D452" s="39"/>
      <c r="E452" s="39"/>
      <c r="F452" s="37"/>
      <c r="G452" s="37"/>
      <c r="H452" s="41"/>
      <c r="I452" s="37"/>
      <c r="J452" s="42"/>
      <c r="K452" s="43"/>
      <c r="L452" s="42"/>
      <c r="M452" s="12">
        <f t="shared" si="7"/>
        <v>449</v>
      </c>
    </row>
    <row r="453" spans="1:13" x14ac:dyDescent="0.25">
      <c r="A453" s="30">
        <v>450</v>
      </c>
      <c r="B453" s="31"/>
      <c r="C453" s="30"/>
      <c r="D453" s="32"/>
      <c r="E453" s="32"/>
      <c r="F453" s="30"/>
      <c r="G453" s="30"/>
      <c r="H453" s="41"/>
      <c r="I453" s="37"/>
      <c r="J453" s="42"/>
      <c r="K453" s="43"/>
      <c r="L453" s="42"/>
      <c r="M453" s="12">
        <f t="shared" ref="M453:M516" si="8">ROW()-3</f>
        <v>450</v>
      </c>
    </row>
    <row r="454" spans="1:13" x14ac:dyDescent="0.25">
      <c r="A454" s="30">
        <v>451</v>
      </c>
      <c r="B454" s="38"/>
      <c r="C454" s="37"/>
      <c r="D454" s="39"/>
      <c r="E454" s="39"/>
      <c r="F454" s="37"/>
      <c r="G454" s="37"/>
      <c r="H454" s="34"/>
      <c r="I454" s="30"/>
      <c r="J454" s="35"/>
      <c r="K454" s="36"/>
      <c r="L454" s="35"/>
      <c r="M454" s="12">
        <f t="shared" si="8"/>
        <v>451</v>
      </c>
    </row>
    <row r="455" spans="1:13" x14ac:dyDescent="0.25">
      <c r="A455" s="30">
        <v>452</v>
      </c>
      <c r="B455" s="38"/>
      <c r="C455" s="37"/>
      <c r="D455" s="39"/>
      <c r="E455" s="39"/>
      <c r="F455" s="37"/>
      <c r="G455" s="37"/>
      <c r="H455" s="41"/>
      <c r="I455" s="37"/>
      <c r="J455" s="42"/>
      <c r="K455" s="43"/>
      <c r="L455" s="42"/>
      <c r="M455" s="12">
        <f t="shared" si="8"/>
        <v>452</v>
      </c>
    </row>
    <row r="456" spans="1:13" x14ac:dyDescent="0.25">
      <c r="A456" s="30">
        <v>453</v>
      </c>
      <c r="B456" s="38"/>
      <c r="C456" s="37"/>
      <c r="D456" s="39"/>
      <c r="E456" s="39"/>
      <c r="F456" s="37"/>
      <c r="G456" s="37"/>
      <c r="H456" s="41"/>
      <c r="I456" s="37"/>
      <c r="J456" s="42"/>
      <c r="K456" s="43"/>
      <c r="L456" s="42"/>
      <c r="M456" s="12">
        <f t="shared" si="8"/>
        <v>453</v>
      </c>
    </row>
    <row r="457" spans="1:13" x14ac:dyDescent="0.25">
      <c r="A457" s="30">
        <v>454</v>
      </c>
      <c r="B457" s="38"/>
      <c r="C457" s="37"/>
      <c r="D457" s="39"/>
      <c r="E457" s="39"/>
      <c r="F457" s="37"/>
      <c r="G457" s="37"/>
      <c r="H457" s="41"/>
      <c r="I457" s="37"/>
      <c r="J457" s="42"/>
      <c r="K457" s="43"/>
      <c r="L457" s="42"/>
      <c r="M457" s="12">
        <f t="shared" si="8"/>
        <v>454</v>
      </c>
    </row>
    <row r="458" spans="1:13" x14ac:dyDescent="0.25">
      <c r="A458" s="30">
        <v>455</v>
      </c>
      <c r="B458" s="31"/>
      <c r="C458" s="30"/>
      <c r="D458" s="32"/>
      <c r="E458" s="32"/>
      <c r="F458" s="37"/>
      <c r="G458" s="30"/>
      <c r="H458" s="41"/>
      <c r="I458" s="37"/>
      <c r="J458" s="42"/>
      <c r="K458" s="43"/>
      <c r="L458" s="42"/>
      <c r="M458" s="12">
        <f t="shared" si="8"/>
        <v>455</v>
      </c>
    </row>
    <row r="459" spans="1:13" x14ac:dyDescent="0.25">
      <c r="A459" s="30">
        <v>456</v>
      </c>
      <c r="B459" s="37"/>
      <c r="C459" s="37"/>
      <c r="D459" s="39"/>
      <c r="E459" s="39"/>
      <c r="F459" s="37"/>
      <c r="G459" s="37"/>
      <c r="H459" s="34"/>
      <c r="I459" s="30"/>
      <c r="J459" s="35"/>
      <c r="K459" s="36"/>
      <c r="L459" s="35"/>
      <c r="M459" s="12">
        <f t="shared" si="8"/>
        <v>456</v>
      </c>
    </row>
    <row r="460" spans="1:13" x14ac:dyDescent="0.25">
      <c r="A460" s="30">
        <v>457</v>
      </c>
      <c r="B460" s="38"/>
      <c r="C460" s="37"/>
      <c r="D460" s="39"/>
      <c r="E460" s="39"/>
      <c r="F460" s="37"/>
      <c r="G460" s="37"/>
      <c r="H460" s="41"/>
      <c r="I460" s="37"/>
      <c r="J460" s="43"/>
      <c r="K460" s="43"/>
      <c r="L460" s="43"/>
      <c r="M460" s="12">
        <f t="shared" si="8"/>
        <v>457</v>
      </c>
    </row>
    <row r="461" spans="1:13" x14ac:dyDescent="0.25">
      <c r="A461" s="30">
        <v>458</v>
      </c>
      <c r="B461" s="38"/>
      <c r="C461" s="37"/>
      <c r="D461" s="39"/>
      <c r="E461" s="39"/>
      <c r="F461" s="37"/>
      <c r="G461" s="37"/>
      <c r="H461" s="41"/>
      <c r="I461" s="37"/>
      <c r="J461" s="42"/>
      <c r="K461" s="43"/>
      <c r="L461" s="42"/>
      <c r="M461" s="12">
        <f t="shared" si="8"/>
        <v>458</v>
      </c>
    </row>
    <row r="462" spans="1:13" x14ac:dyDescent="0.25">
      <c r="A462" s="30">
        <v>459</v>
      </c>
      <c r="B462" s="38"/>
      <c r="C462" s="37"/>
      <c r="D462" s="39"/>
      <c r="E462" s="39"/>
      <c r="F462" s="37"/>
      <c r="G462" s="37"/>
      <c r="H462" s="41"/>
      <c r="I462" s="37"/>
      <c r="J462" s="42"/>
      <c r="K462" s="43"/>
      <c r="L462" s="42"/>
      <c r="M462" s="12">
        <f t="shared" si="8"/>
        <v>459</v>
      </c>
    </row>
    <row r="463" spans="1:13" x14ac:dyDescent="0.25">
      <c r="A463" s="30">
        <v>460</v>
      </c>
      <c r="B463" s="38"/>
      <c r="C463" s="37"/>
      <c r="D463" s="39"/>
      <c r="E463" s="39"/>
      <c r="F463" s="37"/>
      <c r="G463" s="37"/>
      <c r="H463" s="41"/>
      <c r="I463" s="37"/>
      <c r="J463" s="42"/>
      <c r="K463" s="43"/>
      <c r="L463" s="42"/>
      <c r="M463" s="12">
        <f t="shared" si="8"/>
        <v>460</v>
      </c>
    </row>
    <row r="464" spans="1:13" x14ac:dyDescent="0.25">
      <c r="A464" s="30">
        <v>461</v>
      </c>
      <c r="B464" s="38"/>
      <c r="C464" s="37"/>
      <c r="D464" s="39"/>
      <c r="E464" s="39"/>
      <c r="F464" s="37"/>
      <c r="G464" s="37"/>
      <c r="H464" s="41"/>
      <c r="I464" s="37"/>
      <c r="J464" s="42"/>
      <c r="K464" s="43"/>
      <c r="L464" s="42"/>
      <c r="M464" s="12">
        <f t="shared" si="8"/>
        <v>461</v>
      </c>
    </row>
    <row r="465" spans="1:13" x14ac:dyDescent="0.25">
      <c r="A465" s="30">
        <v>462</v>
      </c>
      <c r="B465" s="38"/>
      <c r="C465" s="37"/>
      <c r="D465" s="39"/>
      <c r="E465" s="39"/>
      <c r="F465" s="37"/>
      <c r="G465" s="37"/>
      <c r="H465" s="41"/>
      <c r="I465" s="37"/>
      <c r="J465" s="42"/>
      <c r="K465" s="43"/>
      <c r="L465" s="42"/>
      <c r="M465" s="12">
        <f t="shared" si="8"/>
        <v>462</v>
      </c>
    </row>
    <row r="466" spans="1:13" x14ac:dyDescent="0.25">
      <c r="A466" s="30">
        <v>463</v>
      </c>
      <c r="B466" s="38"/>
      <c r="C466" s="37"/>
      <c r="D466" s="39"/>
      <c r="E466" s="39"/>
      <c r="F466" s="37"/>
      <c r="G466" s="37"/>
      <c r="H466" s="41"/>
      <c r="I466" s="37"/>
      <c r="J466" s="42"/>
      <c r="K466" s="43"/>
      <c r="L466" s="42"/>
      <c r="M466" s="12">
        <f t="shared" si="8"/>
        <v>463</v>
      </c>
    </row>
    <row r="467" spans="1:13" x14ac:dyDescent="0.25">
      <c r="A467" s="30">
        <v>464</v>
      </c>
      <c r="B467" s="38"/>
      <c r="C467" s="37"/>
      <c r="D467" s="39"/>
      <c r="E467" s="39"/>
      <c r="F467" s="37"/>
      <c r="G467" s="37"/>
      <c r="H467" s="41"/>
      <c r="I467" s="37"/>
      <c r="J467" s="42"/>
      <c r="K467" s="43"/>
      <c r="L467" s="42"/>
      <c r="M467" s="12">
        <f t="shared" si="8"/>
        <v>464</v>
      </c>
    </row>
    <row r="468" spans="1:13" x14ac:dyDescent="0.25">
      <c r="A468" s="30">
        <v>465</v>
      </c>
      <c r="B468" s="38"/>
      <c r="C468" s="37"/>
      <c r="D468" s="39"/>
      <c r="E468" s="39"/>
      <c r="F468" s="37"/>
      <c r="G468" s="37"/>
      <c r="H468" s="41"/>
      <c r="I468" s="37"/>
      <c r="J468" s="42"/>
      <c r="K468" s="43"/>
      <c r="L468" s="42"/>
      <c r="M468" s="12">
        <f t="shared" si="8"/>
        <v>465</v>
      </c>
    </row>
    <row r="469" spans="1:13" x14ac:dyDescent="0.25">
      <c r="A469" s="30">
        <v>466</v>
      </c>
      <c r="B469" s="38"/>
      <c r="C469" s="37"/>
      <c r="D469" s="39"/>
      <c r="E469" s="39"/>
      <c r="F469" s="37"/>
      <c r="G469" s="37"/>
      <c r="H469" s="41"/>
      <c r="I469" s="37"/>
      <c r="J469" s="42"/>
      <c r="K469" s="43"/>
      <c r="L469" s="42"/>
      <c r="M469" s="12">
        <f t="shared" si="8"/>
        <v>466</v>
      </c>
    </row>
    <row r="470" spans="1:13" x14ac:dyDescent="0.25">
      <c r="A470" s="30">
        <v>467</v>
      </c>
      <c r="B470" s="38"/>
      <c r="C470" s="37"/>
      <c r="D470" s="39"/>
      <c r="E470" s="39"/>
      <c r="F470" s="37"/>
      <c r="G470" s="37"/>
      <c r="H470" s="41"/>
      <c r="I470" s="37"/>
      <c r="J470" s="42"/>
      <c r="K470" s="43"/>
      <c r="L470" s="42"/>
      <c r="M470" s="12">
        <f t="shared" si="8"/>
        <v>467</v>
      </c>
    </row>
    <row r="471" spans="1:13" x14ac:dyDescent="0.25">
      <c r="A471" s="30">
        <v>468</v>
      </c>
      <c r="B471" s="38"/>
      <c r="C471" s="37"/>
      <c r="D471" s="39"/>
      <c r="E471" s="39"/>
      <c r="F471" s="37"/>
      <c r="G471" s="37"/>
      <c r="H471" s="41"/>
      <c r="I471" s="37"/>
      <c r="J471" s="42"/>
      <c r="K471" s="43"/>
      <c r="L471" s="42"/>
      <c r="M471" s="12">
        <f t="shared" si="8"/>
        <v>468</v>
      </c>
    </row>
    <row r="472" spans="1:13" x14ac:dyDescent="0.25">
      <c r="A472" s="30">
        <v>469</v>
      </c>
      <c r="B472" s="38"/>
      <c r="C472" s="37"/>
      <c r="D472" s="39"/>
      <c r="E472" s="39"/>
      <c r="F472" s="37"/>
      <c r="G472" s="37"/>
      <c r="H472" s="41"/>
      <c r="I472" s="37"/>
      <c r="J472" s="42"/>
      <c r="K472" s="43"/>
      <c r="L472" s="42"/>
      <c r="M472" s="12">
        <f t="shared" si="8"/>
        <v>469</v>
      </c>
    </row>
    <row r="473" spans="1:13" x14ac:dyDescent="0.25">
      <c r="A473" s="30">
        <v>470</v>
      </c>
      <c r="B473" s="38"/>
      <c r="C473" s="37"/>
      <c r="D473" s="39"/>
      <c r="E473" s="39"/>
      <c r="F473" s="37"/>
      <c r="G473" s="37"/>
      <c r="H473" s="41"/>
      <c r="I473" s="37"/>
      <c r="J473" s="42"/>
      <c r="K473" s="43"/>
      <c r="L473" s="42"/>
      <c r="M473" s="12">
        <f t="shared" si="8"/>
        <v>470</v>
      </c>
    </row>
    <row r="474" spans="1:13" x14ac:dyDescent="0.25">
      <c r="A474" s="30">
        <v>471</v>
      </c>
      <c r="B474" s="38"/>
      <c r="C474" s="37"/>
      <c r="D474" s="39"/>
      <c r="E474" s="39"/>
      <c r="F474" s="37"/>
      <c r="G474" s="37"/>
      <c r="H474" s="41"/>
      <c r="I474" s="37"/>
      <c r="J474" s="42"/>
      <c r="K474" s="43"/>
      <c r="L474" s="42"/>
      <c r="M474" s="12">
        <f t="shared" si="8"/>
        <v>471</v>
      </c>
    </row>
    <row r="475" spans="1:13" x14ac:dyDescent="0.25">
      <c r="A475" s="30">
        <v>472</v>
      </c>
      <c r="B475" s="38"/>
      <c r="C475" s="37"/>
      <c r="D475" s="39"/>
      <c r="E475" s="39"/>
      <c r="F475" s="37"/>
      <c r="G475" s="37"/>
      <c r="H475" s="41"/>
      <c r="I475" s="37"/>
      <c r="J475" s="38"/>
      <c r="K475" s="37"/>
      <c r="L475" s="39"/>
      <c r="M475" s="12">
        <f t="shared" si="8"/>
        <v>472</v>
      </c>
    </row>
    <row r="476" spans="1:13" x14ac:dyDescent="0.25">
      <c r="A476" s="30">
        <v>473</v>
      </c>
      <c r="B476" s="38"/>
      <c r="C476" s="37"/>
      <c r="D476" s="39"/>
      <c r="E476" s="39"/>
      <c r="F476" s="37"/>
      <c r="G476" s="37"/>
      <c r="H476" s="41"/>
      <c r="I476" s="37"/>
      <c r="J476" s="38"/>
      <c r="K476" s="37"/>
      <c r="L476" s="39"/>
      <c r="M476" s="12">
        <f t="shared" si="8"/>
        <v>473</v>
      </c>
    </row>
    <row r="477" spans="1:13" x14ac:dyDescent="0.25">
      <c r="A477" s="30">
        <v>474</v>
      </c>
      <c r="B477" s="37"/>
      <c r="C477" s="37"/>
      <c r="D477" s="39"/>
      <c r="E477" s="39"/>
      <c r="F477" s="37"/>
      <c r="G477" s="37"/>
      <c r="H477" s="41"/>
      <c r="I477" s="37"/>
      <c r="J477" s="42"/>
      <c r="K477" s="43"/>
      <c r="L477" s="42"/>
      <c r="M477" s="12">
        <f t="shared" si="8"/>
        <v>474</v>
      </c>
    </row>
    <row r="478" spans="1:13" x14ac:dyDescent="0.25">
      <c r="A478" s="30">
        <v>475</v>
      </c>
      <c r="B478" s="38"/>
      <c r="C478" s="37"/>
      <c r="D478" s="39"/>
      <c r="E478" s="39"/>
      <c r="F478" s="37"/>
      <c r="G478" s="37"/>
      <c r="H478" s="41"/>
      <c r="I478" s="37"/>
      <c r="J478" s="43"/>
      <c r="K478" s="43"/>
      <c r="L478" s="43"/>
      <c r="M478" s="12">
        <f t="shared" si="8"/>
        <v>475</v>
      </c>
    </row>
    <row r="479" spans="1:13" x14ac:dyDescent="0.25">
      <c r="A479" s="30">
        <v>476</v>
      </c>
      <c r="B479" s="38"/>
      <c r="C479" s="37"/>
      <c r="D479" s="39"/>
      <c r="E479" s="39"/>
      <c r="F479" s="37"/>
      <c r="G479" s="37"/>
      <c r="H479" s="41"/>
      <c r="I479" s="37"/>
      <c r="J479" s="42"/>
      <c r="K479" s="43"/>
      <c r="L479" s="42"/>
      <c r="M479" s="12">
        <f t="shared" si="8"/>
        <v>476</v>
      </c>
    </row>
    <row r="480" spans="1:13" x14ac:dyDescent="0.25">
      <c r="A480" s="30">
        <v>477</v>
      </c>
      <c r="B480" s="38"/>
      <c r="C480" s="37"/>
      <c r="D480" s="39"/>
      <c r="E480" s="39"/>
      <c r="F480" s="37"/>
      <c r="G480" s="37"/>
      <c r="H480" s="41"/>
      <c r="I480" s="37"/>
      <c r="J480" s="42"/>
      <c r="K480" s="43"/>
      <c r="L480" s="42"/>
      <c r="M480" s="12">
        <f t="shared" si="8"/>
        <v>477</v>
      </c>
    </row>
    <row r="481" spans="1:13" x14ac:dyDescent="0.25">
      <c r="A481" s="30">
        <v>478</v>
      </c>
      <c r="B481" s="38"/>
      <c r="C481" s="37"/>
      <c r="D481" s="39"/>
      <c r="E481" s="39"/>
      <c r="F481" s="37"/>
      <c r="G481" s="37"/>
      <c r="H481" s="41"/>
      <c r="I481" s="37"/>
      <c r="J481" s="42"/>
      <c r="K481" s="43"/>
      <c r="L481" s="42"/>
      <c r="M481" s="12">
        <f t="shared" si="8"/>
        <v>478</v>
      </c>
    </row>
    <row r="482" spans="1:13" x14ac:dyDescent="0.25">
      <c r="A482" s="30">
        <v>479</v>
      </c>
      <c r="B482" s="38"/>
      <c r="C482" s="37"/>
      <c r="D482" s="39"/>
      <c r="E482" s="39"/>
      <c r="F482" s="37"/>
      <c r="G482" s="37"/>
      <c r="H482" s="41"/>
      <c r="I482" s="37"/>
      <c r="J482" s="42"/>
      <c r="K482" s="43"/>
      <c r="L482" s="42"/>
      <c r="M482" s="12">
        <f t="shared" si="8"/>
        <v>479</v>
      </c>
    </row>
    <row r="483" spans="1:13" x14ac:dyDescent="0.25">
      <c r="A483" s="30">
        <v>480</v>
      </c>
      <c r="B483" s="38"/>
      <c r="C483" s="37"/>
      <c r="D483" s="39"/>
      <c r="E483" s="39"/>
      <c r="F483" s="37"/>
      <c r="G483" s="37"/>
      <c r="H483" s="41"/>
      <c r="I483" s="37"/>
      <c r="J483" s="42"/>
      <c r="K483" s="43"/>
      <c r="L483" s="42"/>
      <c r="M483" s="12">
        <f t="shared" si="8"/>
        <v>480</v>
      </c>
    </row>
    <row r="484" spans="1:13" x14ac:dyDescent="0.25">
      <c r="A484" s="30">
        <v>481</v>
      </c>
      <c r="B484" s="38"/>
      <c r="C484" s="37"/>
      <c r="D484" s="39"/>
      <c r="E484" s="39"/>
      <c r="F484" s="37"/>
      <c r="G484" s="37"/>
      <c r="H484" s="41"/>
      <c r="I484" s="37"/>
      <c r="J484" s="42"/>
      <c r="K484" s="42"/>
      <c r="L484" s="42"/>
      <c r="M484" s="12">
        <f t="shared" si="8"/>
        <v>481</v>
      </c>
    </row>
    <row r="485" spans="1:13" x14ac:dyDescent="0.25">
      <c r="A485" s="30">
        <v>482</v>
      </c>
      <c r="B485" s="38"/>
      <c r="C485" s="37"/>
      <c r="D485" s="39"/>
      <c r="E485" s="39"/>
      <c r="F485" s="37"/>
      <c r="G485" s="37"/>
      <c r="H485" s="41"/>
      <c r="I485" s="37"/>
      <c r="J485" s="42"/>
      <c r="K485" s="42"/>
      <c r="L485" s="42"/>
      <c r="M485" s="12">
        <f t="shared" si="8"/>
        <v>482</v>
      </c>
    </row>
    <row r="486" spans="1:13" x14ac:dyDescent="0.25">
      <c r="A486" s="30">
        <v>483</v>
      </c>
      <c r="B486" s="38"/>
      <c r="C486" s="37"/>
      <c r="D486" s="39"/>
      <c r="E486" s="39"/>
      <c r="F486" s="37"/>
      <c r="G486" s="37"/>
      <c r="H486" s="41"/>
      <c r="I486" s="37"/>
      <c r="J486" s="42"/>
      <c r="K486" s="42"/>
      <c r="L486" s="42"/>
      <c r="M486" s="12">
        <f t="shared" si="8"/>
        <v>483</v>
      </c>
    </row>
    <row r="487" spans="1:13" x14ac:dyDescent="0.25">
      <c r="A487" s="30">
        <v>484</v>
      </c>
      <c r="B487" s="38"/>
      <c r="C487" s="37"/>
      <c r="D487" s="39"/>
      <c r="E487" s="39"/>
      <c r="F487" s="37"/>
      <c r="G487" s="37"/>
      <c r="H487" s="41"/>
      <c r="I487" s="37"/>
      <c r="J487" s="42"/>
      <c r="K487" s="42"/>
      <c r="L487" s="42"/>
      <c r="M487" s="12">
        <f t="shared" si="8"/>
        <v>484</v>
      </c>
    </row>
    <row r="488" spans="1:13" x14ac:dyDescent="0.25">
      <c r="A488" s="30">
        <v>485</v>
      </c>
      <c r="B488" s="38"/>
      <c r="C488" s="342"/>
      <c r="D488" s="39"/>
      <c r="E488" s="39"/>
      <c r="F488" s="37"/>
      <c r="G488" s="37"/>
      <c r="H488" s="41"/>
      <c r="I488" s="37"/>
      <c r="J488" s="42"/>
      <c r="K488" s="43"/>
      <c r="L488" s="42"/>
      <c r="M488" s="12">
        <f t="shared" si="8"/>
        <v>485</v>
      </c>
    </row>
    <row r="489" spans="1:13" x14ac:dyDescent="0.25">
      <c r="A489" s="30">
        <v>486</v>
      </c>
      <c r="B489" s="38"/>
      <c r="C489" s="37"/>
      <c r="D489" s="39"/>
      <c r="E489" s="39"/>
      <c r="F489" s="37"/>
      <c r="G489" s="37"/>
      <c r="H489" s="41"/>
      <c r="I489" s="37"/>
      <c r="J489" s="42"/>
      <c r="K489" s="43"/>
      <c r="L489" s="42"/>
      <c r="M489" s="12">
        <f t="shared" si="8"/>
        <v>486</v>
      </c>
    </row>
    <row r="490" spans="1:13" x14ac:dyDescent="0.25">
      <c r="A490" s="30">
        <v>487</v>
      </c>
      <c r="B490" s="38"/>
      <c r="C490" s="37"/>
      <c r="D490" s="39"/>
      <c r="E490" s="39"/>
      <c r="F490" s="37"/>
      <c r="G490" s="37"/>
      <c r="H490" s="41"/>
      <c r="I490" s="37"/>
      <c r="J490" s="42"/>
      <c r="K490" s="42"/>
      <c r="L490" s="42"/>
      <c r="M490" s="12">
        <f t="shared" si="8"/>
        <v>487</v>
      </c>
    </row>
    <row r="491" spans="1:13" x14ac:dyDescent="0.25">
      <c r="A491" s="30">
        <v>488</v>
      </c>
      <c r="B491" s="38"/>
      <c r="C491" s="37"/>
      <c r="D491" s="39"/>
      <c r="E491" s="39"/>
      <c r="F491" s="37"/>
      <c r="G491" s="37"/>
      <c r="H491" s="41"/>
      <c r="I491" s="37"/>
      <c r="J491" s="42"/>
      <c r="K491" s="42"/>
      <c r="L491" s="42"/>
      <c r="M491" s="12">
        <f t="shared" si="8"/>
        <v>488</v>
      </c>
    </row>
    <row r="492" spans="1:13" x14ac:dyDescent="0.25">
      <c r="A492" s="30">
        <v>489</v>
      </c>
      <c r="B492" s="38"/>
      <c r="C492" s="37"/>
      <c r="D492" s="39"/>
      <c r="E492" s="39"/>
      <c r="F492" s="318"/>
      <c r="G492" s="37"/>
      <c r="H492" s="41"/>
      <c r="I492" s="37"/>
      <c r="J492" s="42"/>
      <c r="K492" s="42"/>
      <c r="L492" s="42"/>
      <c r="M492" s="12">
        <f t="shared" si="8"/>
        <v>489</v>
      </c>
    </row>
    <row r="493" spans="1:13" x14ac:dyDescent="0.25">
      <c r="A493" s="30">
        <v>490</v>
      </c>
      <c r="B493" s="38"/>
      <c r="C493" s="37"/>
      <c r="D493" s="39"/>
      <c r="E493" s="39"/>
      <c r="F493" s="37"/>
      <c r="G493" s="37"/>
      <c r="H493" s="41"/>
      <c r="I493" s="37"/>
      <c r="J493" s="42"/>
      <c r="K493" s="42"/>
      <c r="L493" s="42"/>
      <c r="M493" s="12">
        <v>450</v>
      </c>
    </row>
    <row r="494" spans="1:13" x14ac:dyDescent="0.25">
      <c r="A494" s="30">
        <v>491</v>
      </c>
      <c r="B494" s="38"/>
      <c r="C494" s="37"/>
      <c r="D494" s="39"/>
      <c r="E494" s="39"/>
      <c r="F494" s="37"/>
      <c r="G494" s="37"/>
      <c r="H494" s="41"/>
      <c r="I494" s="37"/>
      <c r="J494" s="42"/>
      <c r="K494" s="42"/>
      <c r="L494" s="42"/>
      <c r="M494" s="12">
        <f t="shared" si="8"/>
        <v>491</v>
      </c>
    </row>
    <row r="495" spans="1:13" x14ac:dyDescent="0.25">
      <c r="A495" s="30">
        <v>492</v>
      </c>
      <c r="B495" s="38"/>
      <c r="C495" s="37"/>
      <c r="D495" s="39"/>
      <c r="E495" s="39"/>
      <c r="F495" s="37"/>
      <c r="G495" s="37"/>
      <c r="H495" s="41"/>
      <c r="I495" s="37"/>
      <c r="J495" s="42"/>
      <c r="K495" s="42"/>
      <c r="L495" s="42"/>
      <c r="M495" s="12">
        <f t="shared" si="8"/>
        <v>492</v>
      </c>
    </row>
    <row r="496" spans="1:13" x14ac:dyDescent="0.25">
      <c r="A496" s="30">
        <v>493</v>
      </c>
      <c r="B496" s="38"/>
      <c r="C496" s="37"/>
      <c r="D496" s="39"/>
      <c r="E496" s="39"/>
      <c r="F496" s="37"/>
      <c r="G496" s="37"/>
      <c r="H496" s="41"/>
      <c r="I496" s="37"/>
      <c r="J496" s="42"/>
      <c r="K496" s="42"/>
      <c r="L496" s="42"/>
      <c r="M496" s="12">
        <f t="shared" si="8"/>
        <v>493</v>
      </c>
    </row>
    <row r="497" spans="1:13" x14ac:dyDescent="0.25">
      <c r="A497" s="30">
        <v>494</v>
      </c>
      <c r="B497" s="38"/>
      <c r="C497" s="37"/>
      <c r="D497" s="39"/>
      <c r="E497" s="39"/>
      <c r="F497" s="37"/>
      <c r="G497" s="37"/>
      <c r="H497" s="41"/>
      <c r="I497" s="37"/>
      <c r="J497" s="42"/>
      <c r="K497" s="42"/>
      <c r="L497" s="42"/>
      <c r="M497" s="12">
        <f t="shared" si="8"/>
        <v>494</v>
      </c>
    </row>
    <row r="498" spans="1:13" x14ac:dyDescent="0.25">
      <c r="A498" s="30">
        <v>495</v>
      </c>
      <c r="B498" s="38"/>
      <c r="C498" s="37"/>
      <c r="D498" s="39"/>
      <c r="E498" s="39"/>
      <c r="F498" s="37"/>
      <c r="G498" s="37"/>
      <c r="H498" s="41"/>
      <c r="I498" s="37"/>
      <c r="J498" s="42"/>
      <c r="K498" s="42"/>
      <c r="L498" s="42"/>
      <c r="M498" s="12">
        <f t="shared" si="8"/>
        <v>495</v>
      </c>
    </row>
    <row r="499" spans="1:13" x14ac:dyDescent="0.25">
      <c r="A499" s="30">
        <v>496</v>
      </c>
      <c r="B499" s="38"/>
      <c r="C499" s="37"/>
      <c r="D499" s="39"/>
      <c r="E499" s="39"/>
      <c r="F499" s="37"/>
      <c r="G499" s="37"/>
      <c r="H499" s="41"/>
      <c r="I499" s="37"/>
      <c r="J499" s="42"/>
      <c r="K499" s="42"/>
      <c r="L499" s="42"/>
      <c r="M499" s="12">
        <f t="shared" si="8"/>
        <v>496</v>
      </c>
    </row>
    <row r="500" spans="1:13" x14ac:dyDescent="0.25">
      <c r="A500" s="30">
        <v>497</v>
      </c>
      <c r="B500" s="38"/>
      <c r="C500" s="37"/>
      <c r="D500" s="39"/>
      <c r="E500" s="39"/>
      <c r="F500" s="37"/>
      <c r="G500" s="37"/>
      <c r="H500" s="41"/>
      <c r="I500" s="37"/>
      <c r="J500" s="42"/>
      <c r="K500" s="42"/>
      <c r="L500" s="42"/>
      <c r="M500" s="12">
        <f t="shared" si="8"/>
        <v>497</v>
      </c>
    </row>
    <row r="501" spans="1:13" x14ac:dyDescent="0.25">
      <c r="A501" s="30">
        <v>498</v>
      </c>
      <c r="B501" s="38"/>
      <c r="C501" s="37"/>
      <c r="D501" s="39"/>
      <c r="E501" s="39"/>
      <c r="F501" s="37"/>
      <c r="G501" s="37"/>
      <c r="H501" s="41"/>
      <c r="I501" s="37"/>
      <c r="J501" s="42"/>
      <c r="K501" s="42"/>
      <c r="L501" s="42"/>
      <c r="M501" s="12">
        <f t="shared" si="8"/>
        <v>498</v>
      </c>
    </row>
    <row r="502" spans="1:13" x14ac:dyDescent="0.25">
      <c r="A502" s="30">
        <v>499</v>
      </c>
      <c r="B502" s="38"/>
      <c r="C502" s="37"/>
      <c r="D502" s="39"/>
      <c r="E502" s="39"/>
      <c r="F502" s="37"/>
      <c r="G502" s="37"/>
      <c r="H502" s="41"/>
      <c r="I502" s="37"/>
      <c r="J502" s="42"/>
      <c r="K502" s="42"/>
      <c r="L502" s="42"/>
      <c r="M502" s="12">
        <f t="shared" si="8"/>
        <v>499</v>
      </c>
    </row>
    <row r="503" spans="1:13" x14ac:dyDescent="0.25">
      <c r="A503" s="30">
        <v>500</v>
      </c>
      <c r="B503" s="38"/>
      <c r="C503" s="37"/>
      <c r="D503" s="39"/>
      <c r="E503" s="39"/>
      <c r="F503" s="37"/>
      <c r="G503" s="37"/>
      <c r="H503" s="41"/>
      <c r="I503" s="37"/>
      <c r="J503" s="42"/>
      <c r="K503" s="42"/>
      <c r="L503" s="42"/>
      <c r="M503" s="12">
        <f t="shared" si="8"/>
        <v>500</v>
      </c>
    </row>
    <row r="504" spans="1:13" x14ac:dyDescent="0.25">
      <c r="A504" s="30">
        <v>501</v>
      </c>
      <c r="B504" s="38"/>
      <c r="C504" s="37"/>
      <c r="D504" s="39"/>
      <c r="E504" s="39"/>
      <c r="F504" s="37"/>
      <c r="G504" s="37"/>
      <c r="H504" s="41"/>
      <c r="I504" s="37"/>
      <c r="J504" s="42"/>
      <c r="K504" s="42"/>
      <c r="L504" s="42"/>
      <c r="M504" s="12">
        <f t="shared" si="8"/>
        <v>501</v>
      </c>
    </row>
    <row r="505" spans="1:13" x14ac:dyDescent="0.25">
      <c r="A505" s="30">
        <v>502</v>
      </c>
      <c r="B505" s="38"/>
      <c r="C505" s="37"/>
      <c r="D505" s="39"/>
      <c r="E505" s="39"/>
      <c r="F505" s="37"/>
      <c r="G505" s="37"/>
      <c r="H505" s="41"/>
      <c r="I505" s="37"/>
      <c r="J505" s="42"/>
      <c r="K505" s="42"/>
      <c r="L505" s="42"/>
      <c r="M505" s="12">
        <f t="shared" si="8"/>
        <v>502</v>
      </c>
    </row>
    <row r="506" spans="1:13" x14ac:dyDescent="0.25">
      <c r="A506" s="30">
        <v>503</v>
      </c>
      <c r="B506" s="38"/>
      <c r="C506" s="37"/>
      <c r="D506" s="39"/>
      <c r="E506" s="39"/>
      <c r="F506" s="37"/>
      <c r="G506" s="37"/>
      <c r="H506" s="41"/>
      <c r="I506" s="37"/>
      <c r="J506" s="42"/>
      <c r="K506" s="42"/>
      <c r="L506" s="42"/>
      <c r="M506" s="12">
        <f t="shared" si="8"/>
        <v>503</v>
      </c>
    </row>
    <row r="507" spans="1:13" x14ac:dyDescent="0.25">
      <c r="A507" s="30">
        <v>504</v>
      </c>
      <c r="B507" s="38"/>
      <c r="C507" s="37"/>
      <c r="D507" s="39"/>
      <c r="E507" s="39"/>
      <c r="F507" s="37"/>
      <c r="G507" s="37"/>
      <c r="H507" s="41"/>
      <c r="I507" s="37"/>
      <c r="J507" s="42"/>
      <c r="K507" s="43"/>
      <c r="L507" s="42"/>
      <c r="M507" s="12">
        <f t="shared" si="8"/>
        <v>504</v>
      </c>
    </row>
    <row r="508" spans="1:13" x14ac:dyDescent="0.25">
      <c r="A508" s="30">
        <v>505</v>
      </c>
      <c r="B508" s="38"/>
      <c r="C508" s="37"/>
      <c r="D508" s="39"/>
      <c r="E508" s="39"/>
      <c r="F508" s="37"/>
      <c r="G508" s="37"/>
      <c r="H508" s="41"/>
      <c r="I508" s="37"/>
      <c r="J508" s="42"/>
      <c r="K508" s="43"/>
      <c r="L508" s="42"/>
      <c r="M508" s="12">
        <f t="shared" si="8"/>
        <v>505</v>
      </c>
    </row>
    <row r="509" spans="1:13" x14ac:dyDescent="0.25">
      <c r="A509" s="30">
        <v>506</v>
      </c>
      <c r="B509" s="38"/>
      <c r="C509" s="37"/>
      <c r="D509" s="39"/>
      <c r="E509" s="39"/>
      <c r="F509" s="37"/>
      <c r="G509" s="37"/>
      <c r="H509" s="41"/>
      <c r="I509" s="37"/>
      <c r="J509" s="42"/>
      <c r="K509" s="42"/>
      <c r="L509" s="42"/>
      <c r="M509" s="12">
        <f t="shared" si="8"/>
        <v>506</v>
      </c>
    </row>
    <row r="510" spans="1:13" x14ac:dyDescent="0.25">
      <c r="A510" s="30">
        <v>507</v>
      </c>
      <c r="B510" s="38"/>
      <c r="C510" s="37"/>
      <c r="D510" s="39"/>
      <c r="E510" s="39"/>
      <c r="F510" s="37"/>
      <c r="G510" s="37"/>
      <c r="H510" s="41"/>
      <c r="I510" s="37"/>
      <c r="J510" s="42"/>
      <c r="K510" s="42"/>
      <c r="L510" s="42"/>
      <c r="M510" s="12">
        <f t="shared" si="8"/>
        <v>507</v>
      </c>
    </row>
    <row r="511" spans="1:13" x14ac:dyDescent="0.25">
      <c r="A511" s="30">
        <v>508</v>
      </c>
      <c r="B511" s="38"/>
      <c r="C511" s="37"/>
      <c r="D511" s="39"/>
      <c r="E511" s="39"/>
      <c r="F511" s="37"/>
      <c r="G511" s="37"/>
      <c r="H511" s="41"/>
      <c r="I511" s="37"/>
      <c r="J511" s="42"/>
      <c r="K511" s="43"/>
      <c r="L511" s="42"/>
      <c r="M511" s="12">
        <f t="shared" si="8"/>
        <v>508</v>
      </c>
    </row>
    <row r="512" spans="1:13" x14ac:dyDescent="0.25">
      <c r="A512" s="30">
        <v>509</v>
      </c>
      <c r="B512" s="38"/>
      <c r="C512" s="37"/>
      <c r="D512" s="39"/>
      <c r="E512" s="39"/>
      <c r="F512" s="37"/>
      <c r="G512" s="37"/>
      <c r="H512" s="41"/>
      <c r="I512" s="37"/>
      <c r="J512" s="42"/>
      <c r="K512" s="43"/>
      <c r="L512" s="42"/>
      <c r="M512" s="12">
        <f t="shared" si="8"/>
        <v>509</v>
      </c>
    </row>
    <row r="513" spans="1:13" x14ac:dyDescent="0.25">
      <c r="A513" s="30">
        <v>510</v>
      </c>
      <c r="B513" s="38"/>
      <c r="C513" s="37"/>
      <c r="D513" s="39"/>
      <c r="E513" s="39"/>
      <c r="F513" s="37"/>
      <c r="G513" s="37"/>
      <c r="H513" s="41"/>
      <c r="I513" s="37"/>
      <c r="J513" s="43"/>
      <c r="K513" s="43"/>
      <c r="L513" s="43"/>
      <c r="M513" s="12">
        <f t="shared" si="8"/>
        <v>510</v>
      </c>
    </row>
    <row r="514" spans="1:13" x14ac:dyDescent="0.25">
      <c r="A514" s="30">
        <v>511</v>
      </c>
      <c r="B514" s="38"/>
      <c r="C514" s="37"/>
      <c r="D514" s="39"/>
      <c r="E514" s="39"/>
      <c r="F514" s="37"/>
      <c r="G514" s="37"/>
      <c r="H514" s="41"/>
      <c r="I514" s="37"/>
      <c r="J514" s="42"/>
      <c r="K514" s="43"/>
      <c r="L514" s="42"/>
      <c r="M514" s="12">
        <f t="shared" si="8"/>
        <v>511</v>
      </c>
    </row>
    <row r="515" spans="1:13" x14ac:dyDescent="0.25">
      <c r="A515" s="30">
        <v>512</v>
      </c>
      <c r="B515" s="38"/>
      <c r="C515" s="37"/>
      <c r="D515" s="39"/>
      <c r="E515" s="39"/>
      <c r="F515" s="37"/>
      <c r="G515" s="37"/>
      <c r="H515" s="41"/>
      <c r="I515" s="37"/>
      <c r="J515" s="42"/>
      <c r="K515" s="43"/>
      <c r="L515" s="42"/>
      <c r="M515" s="12">
        <f t="shared" si="8"/>
        <v>512</v>
      </c>
    </row>
    <row r="516" spans="1:13" x14ac:dyDescent="0.25">
      <c r="A516" s="30">
        <v>513</v>
      </c>
      <c r="B516" s="38"/>
      <c r="C516" s="37"/>
      <c r="D516" s="39"/>
      <c r="E516" s="39"/>
      <c r="F516" s="37"/>
      <c r="G516" s="37"/>
      <c r="H516" s="41"/>
      <c r="I516" s="37"/>
      <c r="J516" s="42"/>
      <c r="K516" s="43"/>
      <c r="L516" s="42"/>
      <c r="M516" s="12">
        <f t="shared" si="8"/>
        <v>513</v>
      </c>
    </row>
    <row r="517" spans="1:13" x14ac:dyDescent="0.25">
      <c r="A517" s="30">
        <v>514</v>
      </c>
      <c r="B517" s="38"/>
      <c r="C517" s="37"/>
      <c r="D517" s="39"/>
      <c r="E517" s="39"/>
      <c r="F517" s="37"/>
      <c r="G517" s="37"/>
      <c r="H517" s="41"/>
      <c r="I517" s="37"/>
      <c r="J517" s="42"/>
      <c r="K517" s="43"/>
      <c r="L517" s="42"/>
      <c r="M517" s="12">
        <f t="shared" ref="M517:M580" si="9">ROW()-3</f>
        <v>514</v>
      </c>
    </row>
    <row r="518" spans="1:13" x14ac:dyDescent="0.25">
      <c r="A518" s="30">
        <v>515</v>
      </c>
      <c r="B518" s="38"/>
      <c r="C518" s="37"/>
      <c r="D518" s="39"/>
      <c r="E518" s="39"/>
      <c r="F518" s="37"/>
      <c r="G518" s="37"/>
      <c r="H518" s="41"/>
      <c r="I518" s="37"/>
      <c r="J518" s="42"/>
      <c r="K518" s="43"/>
      <c r="L518" s="42"/>
      <c r="M518" s="12">
        <f t="shared" si="9"/>
        <v>515</v>
      </c>
    </row>
    <row r="519" spans="1:13" x14ac:dyDescent="0.25">
      <c r="A519" s="30">
        <v>516</v>
      </c>
      <c r="B519" s="38"/>
      <c r="C519" s="37"/>
      <c r="D519" s="39"/>
      <c r="E519" s="39"/>
      <c r="F519" s="37"/>
      <c r="G519" s="37"/>
      <c r="H519" s="41"/>
      <c r="I519" s="37"/>
      <c r="J519" s="42"/>
      <c r="K519" s="43"/>
      <c r="L519" s="42"/>
      <c r="M519" s="12">
        <f t="shared" si="9"/>
        <v>516</v>
      </c>
    </row>
    <row r="520" spans="1:13" x14ac:dyDescent="0.25">
      <c r="A520" s="30">
        <v>517</v>
      </c>
      <c r="B520" s="38"/>
      <c r="C520" s="37"/>
      <c r="D520" s="39"/>
      <c r="E520" s="39"/>
      <c r="F520" s="37"/>
      <c r="G520" s="37"/>
      <c r="H520" s="41"/>
      <c r="I520" s="37"/>
      <c r="J520" s="42"/>
      <c r="K520" s="43"/>
      <c r="L520" s="42"/>
      <c r="M520" s="12">
        <f t="shared" si="9"/>
        <v>517</v>
      </c>
    </row>
    <row r="521" spans="1:13" x14ac:dyDescent="0.25">
      <c r="A521" s="30">
        <v>518</v>
      </c>
      <c r="B521" s="38"/>
      <c r="C521" s="37"/>
      <c r="D521" s="39"/>
      <c r="E521" s="39"/>
      <c r="F521" s="37"/>
      <c r="G521" s="37"/>
      <c r="H521" s="41"/>
      <c r="I521" s="37"/>
      <c r="J521" s="42"/>
      <c r="K521" s="43"/>
      <c r="L521" s="42"/>
      <c r="M521" s="12">
        <f t="shared" si="9"/>
        <v>518</v>
      </c>
    </row>
    <row r="522" spans="1:13" x14ac:dyDescent="0.25">
      <c r="A522" s="30">
        <v>519</v>
      </c>
      <c r="B522" s="38"/>
      <c r="C522" s="37"/>
      <c r="D522" s="39"/>
      <c r="E522" s="39"/>
      <c r="F522" s="37"/>
      <c r="G522" s="37"/>
      <c r="H522" s="41"/>
      <c r="I522" s="37"/>
      <c r="J522" s="42"/>
      <c r="K522" s="43"/>
      <c r="L522" s="42"/>
      <c r="M522" s="12">
        <f t="shared" si="9"/>
        <v>519</v>
      </c>
    </row>
    <row r="523" spans="1:13" x14ac:dyDescent="0.25">
      <c r="A523" s="30">
        <v>520</v>
      </c>
      <c r="B523" s="38"/>
      <c r="C523" s="37"/>
      <c r="D523" s="39"/>
      <c r="E523" s="39"/>
      <c r="F523" s="37"/>
      <c r="G523" s="37"/>
      <c r="H523" s="41"/>
      <c r="I523" s="37"/>
      <c r="J523" s="42"/>
      <c r="K523" s="43"/>
      <c r="L523" s="42"/>
      <c r="M523" s="12">
        <f t="shared" si="9"/>
        <v>520</v>
      </c>
    </row>
    <row r="524" spans="1:13" x14ac:dyDescent="0.25">
      <c r="A524" s="37">
        <v>521</v>
      </c>
      <c r="B524" s="38"/>
      <c r="C524" s="37"/>
      <c r="D524" s="39"/>
      <c r="E524" s="39"/>
      <c r="F524" s="37"/>
      <c r="G524" s="37"/>
      <c r="H524" s="41"/>
      <c r="I524" s="37"/>
      <c r="J524" s="42"/>
      <c r="K524" s="43"/>
      <c r="L524" s="42"/>
      <c r="M524" s="12">
        <f t="shared" si="9"/>
        <v>521</v>
      </c>
    </row>
    <row r="525" spans="1:13" x14ac:dyDescent="0.25">
      <c r="A525" s="37">
        <v>522</v>
      </c>
      <c r="B525" s="38"/>
      <c r="C525" s="37"/>
      <c r="D525" s="39"/>
      <c r="E525" s="39"/>
      <c r="F525" s="37"/>
      <c r="G525" s="37"/>
      <c r="H525" s="41"/>
      <c r="I525" s="37"/>
      <c r="J525" s="42"/>
      <c r="K525" s="43"/>
      <c r="L525" s="42"/>
      <c r="M525" s="12">
        <f t="shared" si="9"/>
        <v>522</v>
      </c>
    </row>
    <row r="526" spans="1:13" x14ac:dyDescent="0.25">
      <c r="A526" s="37">
        <v>523</v>
      </c>
      <c r="B526" s="38"/>
      <c r="C526" s="37"/>
      <c r="D526" s="39"/>
      <c r="E526" s="39"/>
      <c r="F526" s="37"/>
      <c r="G526" s="37"/>
      <c r="H526" s="41"/>
      <c r="I526" s="37"/>
      <c r="J526" s="42"/>
      <c r="K526" s="43"/>
      <c r="L526" s="42"/>
      <c r="M526" s="12">
        <f t="shared" si="9"/>
        <v>523</v>
      </c>
    </row>
    <row r="527" spans="1:13" x14ac:dyDescent="0.25">
      <c r="A527" s="37">
        <v>524</v>
      </c>
      <c r="B527" s="38"/>
      <c r="C527" s="37"/>
      <c r="D527" s="39"/>
      <c r="E527" s="39"/>
      <c r="F527" s="37"/>
      <c r="G527" s="37"/>
      <c r="H527" s="41"/>
      <c r="I527" s="37"/>
      <c r="J527" s="42"/>
      <c r="K527" s="42"/>
      <c r="L527" s="42"/>
      <c r="M527" s="12">
        <f t="shared" si="9"/>
        <v>524</v>
      </c>
    </row>
    <row r="528" spans="1:13" x14ac:dyDescent="0.25">
      <c r="A528" s="37">
        <v>525</v>
      </c>
      <c r="B528" s="38"/>
      <c r="C528" s="37"/>
      <c r="D528" s="39"/>
      <c r="E528" s="39"/>
      <c r="F528" s="37"/>
      <c r="G528" s="37"/>
      <c r="H528" s="41"/>
      <c r="I528" s="37"/>
      <c r="J528" s="42"/>
      <c r="K528" s="43"/>
      <c r="L528" s="42"/>
      <c r="M528" s="12">
        <f t="shared" si="9"/>
        <v>525</v>
      </c>
    </row>
    <row r="529" spans="1:13" x14ac:dyDescent="0.25">
      <c r="A529" s="37">
        <v>526</v>
      </c>
      <c r="B529" s="38"/>
      <c r="C529" s="37"/>
      <c r="D529" s="39"/>
      <c r="E529" s="39"/>
      <c r="F529" s="37"/>
      <c r="G529" s="37"/>
      <c r="H529" s="41"/>
      <c r="I529" s="37"/>
      <c r="J529" s="42"/>
      <c r="K529" s="43"/>
      <c r="L529" s="42"/>
      <c r="M529" s="12">
        <f t="shared" si="9"/>
        <v>526</v>
      </c>
    </row>
    <row r="530" spans="1:13" x14ac:dyDescent="0.25">
      <c r="A530" s="37">
        <v>527</v>
      </c>
      <c r="B530" s="38"/>
      <c r="C530" s="37"/>
      <c r="D530" s="39"/>
      <c r="E530" s="39"/>
      <c r="F530" s="37"/>
      <c r="G530" s="37"/>
      <c r="H530" s="41"/>
      <c r="I530" s="37"/>
      <c r="J530" s="42"/>
      <c r="K530" s="43"/>
      <c r="L530" s="42"/>
      <c r="M530" s="12">
        <f t="shared" si="9"/>
        <v>527</v>
      </c>
    </row>
    <row r="531" spans="1:13" x14ac:dyDescent="0.25">
      <c r="A531" s="37">
        <v>528</v>
      </c>
      <c r="B531" s="38"/>
      <c r="C531" s="37"/>
      <c r="D531" s="39"/>
      <c r="E531" s="39"/>
      <c r="F531" s="37"/>
      <c r="G531" s="37"/>
      <c r="H531" s="41"/>
      <c r="I531" s="37"/>
      <c r="J531" s="42"/>
      <c r="K531" s="43"/>
      <c r="L531" s="42"/>
      <c r="M531" s="12">
        <f t="shared" si="9"/>
        <v>528</v>
      </c>
    </row>
    <row r="532" spans="1:13" x14ac:dyDescent="0.25">
      <c r="A532" s="37">
        <v>529</v>
      </c>
      <c r="B532" s="38"/>
      <c r="C532" s="37"/>
      <c r="D532" s="39"/>
      <c r="E532" s="39"/>
      <c r="F532" s="37"/>
      <c r="G532" s="37"/>
      <c r="H532" s="41"/>
      <c r="I532" s="37"/>
      <c r="J532" s="42"/>
      <c r="K532" s="43"/>
      <c r="L532" s="42"/>
      <c r="M532" s="12">
        <f t="shared" si="9"/>
        <v>529</v>
      </c>
    </row>
    <row r="533" spans="1:13" x14ac:dyDescent="0.25">
      <c r="A533" s="37">
        <v>530</v>
      </c>
      <c r="B533" s="37"/>
      <c r="C533" s="37"/>
      <c r="D533" s="39"/>
      <c r="E533" s="39"/>
      <c r="F533" s="37"/>
      <c r="G533" s="37"/>
      <c r="H533" s="41"/>
      <c r="I533" s="37"/>
      <c r="J533" s="42"/>
      <c r="K533" s="43"/>
      <c r="L533" s="42"/>
      <c r="M533" s="12">
        <f t="shared" si="9"/>
        <v>530</v>
      </c>
    </row>
    <row r="534" spans="1:13" x14ac:dyDescent="0.25">
      <c r="A534" s="37">
        <v>531</v>
      </c>
      <c r="B534" s="38"/>
      <c r="C534" s="37"/>
      <c r="D534" s="39"/>
      <c r="E534" s="39"/>
      <c r="F534" s="37"/>
      <c r="G534" s="37"/>
      <c r="H534" s="41"/>
      <c r="I534" s="37"/>
      <c r="J534" s="43"/>
      <c r="K534" s="43"/>
      <c r="L534" s="43"/>
      <c r="M534" s="12">
        <f t="shared" si="9"/>
        <v>531</v>
      </c>
    </row>
    <row r="535" spans="1:13" x14ac:dyDescent="0.25">
      <c r="A535" s="37">
        <v>532</v>
      </c>
      <c r="B535" s="38"/>
      <c r="C535" s="37"/>
      <c r="D535" s="39"/>
      <c r="E535" s="39"/>
      <c r="F535" s="37"/>
      <c r="G535" s="37"/>
      <c r="H535" s="41"/>
      <c r="I535" s="37"/>
      <c r="J535" s="42"/>
      <c r="K535" s="43"/>
      <c r="L535" s="42"/>
      <c r="M535" s="12">
        <f t="shared" si="9"/>
        <v>532</v>
      </c>
    </row>
    <row r="536" spans="1:13" x14ac:dyDescent="0.25">
      <c r="A536" s="37">
        <v>533</v>
      </c>
      <c r="B536" s="38"/>
      <c r="C536" s="37"/>
      <c r="D536" s="39"/>
      <c r="E536" s="39"/>
      <c r="F536" s="37"/>
      <c r="G536" s="37"/>
      <c r="H536" s="41"/>
      <c r="I536" s="37"/>
      <c r="J536" s="42"/>
      <c r="K536" s="43"/>
      <c r="L536" s="42"/>
      <c r="M536" s="12">
        <f t="shared" si="9"/>
        <v>533</v>
      </c>
    </row>
    <row r="537" spans="1:13" x14ac:dyDescent="0.25">
      <c r="A537" s="37">
        <v>534</v>
      </c>
      <c r="B537" s="38"/>
      <c r="C537" s="37"/>
      <c r="D537" s="39"/>
      <c r="E537" s="39"/>
      <c r="F537" s="37"/>
      <c r="G537" s="37"/>
      <c r="H537" s="41"/>
      <c r="I537" s="37"/>
      <c r="J537" s="42"/>
      <c r="K537" s="43"/>
      <c r="L537" s="307"/>
      <c r="M537" s="12">
        <f t="shared" si="9"/>
        <v>534</v>
      </c>
    </row>
    <row r="538" spans="1:13" x14ac:dyDescent="0.25">
      <c r="A538" s="37">
        <v>535</v>
      </c>
      <c r="B538" s="37"/>
      <c r="C538" s="37"/>
      <c r="D538" s="39"/>
      <c r="E538" s="39"/>
      <c r="F538" s="37"/>
      <c r="G538" s="37"/>
      <c r="H538" s="41"/>
      <c r="I538" s="37"/>
      <c r="J538" s="42"/>
      <c r="K538" s="43"/>
      <c r="L538" s="42"/>
      <c r="M538" s="12">
        <f t="shared" si="9"/>
        <v>535</v>
      </c>
    </row>
    <row r="539" spans="1:13" x14ac:dyDescent="0.25">
      <c r="A539" s="30">
        <v>536</v>
      </c>
      <c r="B539" s="38"/>
      <c r="C539" s="37"/>
      <c r="D539" s="39"/>
      <c r="E539" s="39"/>
      <c r="F539" s="37"/>
      <c r="G539" s="37"/>
      <c r="H539" s="41"/>
      <c r="I539" s="37"/>
      <c r="J539" s="43"/>
      <c r="K539" s="43"/>
      <c r="L539" s="43"/>
      <c r="M539" s="12">
        <f t="shared" si="9"/>
        <v>536</v>
      </c>
    </row>
    <row r="540" spans="1:13" x14ac:dyDescent="0.25">
      <c r="A540" s="37">
        <v>537</v>
      </c>
      <c r="B540" s="38"/>
      <c r="C540" s="37"/>
      <c r="D540" s="39"/>
      <c r="E540" s="39"/>
      <c r="F540" s="37"/>
      <c r="G540" s="37"/>
      <c r="H540" s="41"/>
      <c r="I540" s="37"/>
      <c r="J540" s="42"/>
      <c r="K540" s="43"/>
      <c r="L540" s="42"/>
      <c r="M540" s="12">
        <f t="shared" si="9"/>
        <v>537</v>
      </c>
    </row>
    <row r="541" spans="1:13" x14ac:dyDescent="0.25">
      <c r="A541" s="37">
        <v>538</v>
      </c>
      <c r="B541" s="38"/>
      <c r="C541" s="37"/>
      <c r="D541" s="39"/>
      <c r="E541" s="39"/>
      <c r="F541" s="37"/>
      <c r="G541" s="37"/>
      <c r="H541" s="41"/>
      <c r="I541" s="37"/>
      <c r="J541" s="42"/>
      <c r="K541" s="43"/>
      <c r="L541" s="42"/>
      <c r="M541" s="12">
        <f t="shared" si="9"/>
        <v>538</v>
      </c>
    </row>
    <row r="542" spans="1:13" x14ac:dyDescent="0.25">
      <c r="A542" s="37">
        <v>539</v>
      </c>
      <c r="B542" s="38"/>
      <c r="C542" s="37"/>
      <c r="D542" s="39"/>
      <c r="E542" s="39"/>
      <c r="F542" s="37"/>
      <c r="G542" s="37"/>
      <c r="H542" s="41"/>
      <c r="I542" s="37"/>
      <c r="J542" s="42"/>
      <c r="K542" s="43"/>
      <c r="L542" s="42"/>
      <c r="M542" s="12">
        <f t="shared" si="9"/>
        <v>539</v>
      </c>
    </row>
    <row r="543" spans="1:13" x14ac:dyDescent="0.25">
      <c r="A543" s="37">
        <v>540</v>
      </c>
      <c r="B543" s="38"/>
      <c r="C543" s="37"/>
      <c r="D543" s="39"/>
      <c r="E543" s="39"/>
      <c r="F543" s="37"/>
      <c r="G543" s="37"/>
      <c r="H543" s="41"/>
      <c r="I543" s="37"/>
      <c r="J543" s="42"/>
      <c r="K543" s="43"/>
      <c r="L543" s="42"/>
      <c r="M543" s="12">
        <f t="shared" si="9"/>
        <v>540</v>
      </c>
    </row>
    <row r="544" spans="1:13" x14ac:dyDescent="0.25">
      <c r="A544" s="37">
        <v>541</v>
      </c>
      <c r="B544" s="38"/>
      <c r="C544" s="37"/>
      <c r="D544" s="39"/>
      <c r="E544" s="39"/>
      <c r="F544" s="37"/>
      <c r="G544" s="37"/>
      <c r="H544" s="41"/>
      <c r="I544" s="37"/>
      <c r="J544" s="42"/>
      <c r="K544" s="43"/>
      <c r="L544" s="42"/>
      <c r="M544" s="12">
        <f t="shared" si="9"/>
        <v>541</v>
      </c>
    </row>
    <row r="545" spans="1:13" x14ac:dyDescent="0.25">
      <c r="A545" s="37">
        <v>542</v>
      </c>
      <c r="B545" s="38"/>
      <c r="C545" s="37"/>
      <c r="D545" s="39"/>
      <c r="E545" s="39"/>
      <c r="F545" s="37"/>
      <c r="G545" s="37"/>
      <c r="H545" s="41"/>
      <c r="I545" s="37"/>
      <c r="J545" s="42"/>
      <c r="K545" s="43"/>
      <c r="L545" s="42"/>
      <c r="M545" s="12">
        <f t="shared" si="9"/>
        <v>542</v>
      </c>
    </row>
    <row r="546" spans="1:13" x14ac:dyDescent="0.25">
      <c r="A546" s="37">
        <v>543</v>
      </c>
      <c r="B546" s="38"/>
      <c r="C546" s="37"/>
      <c r="D546" s="39"/>
      <c r="E546" s="39"/>
      <c r="F546" s="37"/>
      <c r="G546" s="37"/>
      <c r="H546" s="41"/>
      <c r="I546" s="37"/>
      <c r="J546" s="42"/>
      <c r="K546" s="43"/>
      <c r="L546" s="42"/>
      <c r="M546" s="12">
        <f t="shared" si="9"/>
        <v>543</v>
      </c>
    </row>
    <row r="547" spans="1:13" x14ac:dyDescent="0.25">
      <c r="A547" s="37">
        <v>544</v>
      </c>
      <c r="B547" s="38"/>
      <c r="C547" s="37"/>
      <c r="D547" s="39"/>
      <c r="E547" s="39"/>
      <c r="F547" s="37"/>
      <c r="G547" s="37"/>
      <c r="H547" s="41"/>
      <c r="I547" s="37"/>
      <c r="J547" s="42"/>
      <c r="K547" s="43"/>
      <c r="L547" s="42"/>
      <c r="M547" s="12">
        <f t="shared" si="9"/>
        <v>544</v>
      </c>
    </row>
    <row r="548" spans="1:13" x14ac:dyDescent="0.25">
      <c r="A548" s="37">
        <v>545</v>
      </c>
      <c r="B548" s="38"/>
      <c r="C548" s="37"/>
      <c r="D548" s="39"/>
      <c r="E548" s="39"/>
      <c r="F548" s="37"/>
      <c r="G548" s="37"/>
      <c r="H548" s="41"/>
      <c r="I548" s="37"/>
      <c r="J548" s="42"/>
      <c r="K548" s="43"/>
      <c r="L548" s="42"/>
      <c r="M548" s="12">
        <f t="shared" si="9"/>
        <v>545</v>
      </c>
    </row>
    <row r="549" spans="1:13" x14ac:dyDescent="0.25">
      <c r="A549" s="37">
        <v>546</v>
      </c>
      <c r="B549" s="38"/>
      <c r="C549" s="37"/>
      <c r="D549" s="39"/>
      <c r="E549" s="39"/>
      <c r="F549" s="37"/>
      <c r="G549" s="37"/>
      <c r="H549" s="41"/>
      <c r="I549" s="37"/>
      <c r="J549" s="42"/>
      <c r="K549" s="43"/>
      <c r="L549" s="42"/>
      <c r="M549" s="12">
        <f t="shared" si="9"/>
        <v>546</v>
      </c>
    </row>
    <row r="550" spans="1:13" x14ac:dyDescent="0.25">
      <c r="A550" s="37">
        <v>547</v>
      </c>
      <c r="B550" s="38"/>
      <c r="C550" s="37"/>
      <c r="D550" s="39"/>
      <c r="E550" s="39"/>
      <c r="F550" s="37"/>
      <c r="G550" s="37"/>
      <c r="H550" s="41"/>
      <c r="I550" s="37"/>
      <c r="J550" s="42"/>
      <c r="K550" s="43"/>
      <c r="L550" s="42"/>
      <c r="M550" s="12">
        <f t="shared" si="9"/>
        <v>547</v>
      </c>
    </row>
    <row r="551" spans="1:13" x14ac:dyDescent="0.25">
      <c r="A551" s="37">
        <v>548</v>
      </c>
      <c r="B551" s="38"/>
      <c r="C551" s="37"/>
      <c r="D551" s="39"/>
      <c r="E551" s="39"/>
      <c r="F551" s="37"/>
      <c r="G551" s="37"/>
      <c r="H551" s="41"/>
      <c r="I551" s="37"/>
      <c r="J551" s="42"/>
      <c r="K551" s="43"/>
      <c r="L551" s="42"/>
      <c r="M551" s="12">
        <f t="shared" si="9"/>
        <v>548</v>
      </c>
    </row>
    <row r="552" spans="1:13" x14ac:dyDescent="0.25">
      <c r="A552" s="37">
        <v>549</v>
      </c>
      <c r="B552" s="38"/>
      <c r="C552" s="37"/>
      <c r="D552" s="39"/>
      <c r="E552" s="39"/>
      <c r="F552" s="37"/>
      <c r="G552" s="37"/>
      <c r="H552" s="41"/>
      <c r="I552" s="37"/>
      <c r="J552" s="42"/>
      <c r="K552" s="43"/>
      <c r="L552" s="42"/>
      <c r="M552" s="12">
        <f t="shared" si="9"/>
        <v>549</v>
      </c>
    </row>
    <row r="553" spans="1:13" x14ac:dyDescent="0.25">
      <c r="A553" s="37">
        <v>550</v>
      </c>
      <c r="B553" s="38"/>
      <c r="C553" s="37"/>
      <c r="D553" s="39"/>
      <c r="E553" s="39"/>
      <c r="F553" s="37"/>
      <c r="G553" s="37"/>
      <c r="H553" s="41"/>
      <c r="I553" s="37"/>
      <c r="J553" s="42"/>
      <c r="K553" s="43"/>
      <c r="L553" s="42"/>
      <c r="M553" s="12">
        <f t="shared" si="9"/>
        <v>550</v>
      </c>
    </row>
    <row r="554" spans="1:13" x14ac:dyDescent="0.25">
      <c r="A554" s="37">
        <v>551</v>
      </c>
      <c r="B554" s="38"/>
      <c r="C554" s="37"/>
      <c r="D554" s="39"/>
      <c r="E554" s="39"/>
      <c r="F554" s="37"/>
      <c r="G554" s="37"/>
      <c r="H554" s="41"/>
      <c r="I554" s="37"/>
      <c r="J554" s="42"/>
      <c r="K554" s="43"/>
      <c r="L554" s="42"/>
      <c r="M554" s="12">
        <f t="shared" si="9"/>
        <v>551</v>
      </c>
    </row>
    <row r="555" spans="1:13" x14ac:dyDescent="0.25">
      <c r="A555" s="37">
        <v>552</v>
      </c>
      <c r="B555" s="38"/>
      <c r="C555" s="37"/>
      <c r="D555" s="39"/>
      <c r="E555" s="39"/>
      <c r="F555" s="37"/>
      <c r="G555" s="37"/>
      <c r="H555" s="41"/>
      <c r="I555" s="37"/>
      <c r="J555" s="42"/>
      <c r="K555" s="43"/>
      <c r="L555" s="42"/>
      <c r="M555" s="12">
        <f t="shared" si="9"/>
        <v>552</v>
      </c>
    </row>
    <row r="556" spans="1:13" x14ac:dyDescent="0.25">
      <c r="A556" s="37">
        <v>553</v>
      </c>
      <c r="B556" s="38"/>
      <c r="C556" s="37"/>
      <c r="D556" s="39"/>
      <c r="E556" s="39"/>
      <c r="F556" s="37"/>
      <c r="G556" s="37"/>
      <c r="H556" s="41"/>
      <c r="I556" s="37"/>
      <c r="J556" s="42"/>
      <c r="K556" s="43"/>
      <c r="L556" s="42"/>
      <c r="M556" s="12">
        <f t="shared" si="9"/>
        <v>553</v>
      </c>
    </row>
    <row r="557" spans="1:13" x14ac:dyDescent="0.25">
      <c r="A557" s="37">
        <v>554</v>
      </c>
      <c r="B557" s="38"/>
      <c r="C557" s="37"/>
      <c r="D557" s="39"/>
      <c r="E557" s="39"/>
      <c r="F557" s="37"/>
      <c r="G557" s="37"/>
      <c r="H557" s="41"/>
      <c r="I557" s="37"/>
      <c r="J557" s="42"/>
      <c r="K557" s="43"/>
      <c r="L557" s="42"/>
      <c r="M557" s="12">
        <f t="shared" si="9"/>
        <v>554</v>
      </c>
    </row>
    <row r="558" spans="1:13" x14ac:dyDescent="0.25">
      <c r="A558" s="37">
        <v>555</v>
      </c>
      <c r="B558" s="38"/>
      <c r="C558" s="37"/>
      <c r="D558" s="39"/>
      <c r="E558" s="39"/>
      <c r="F558" s="37"/>
      <c r="G558" s="37"/>
      <c r="H558" s="41"/>
      <c r="I558" s="37"/>
      <c r="J558" s="42"/>
      <c r="K558" s="43"/>
      <c r="L558" s="42"/>
      <c r="M558" s="12">
        <f t="shared" si="9"/>
        <v>555</v>
      </c>
    </row>
    <row r="559" spans="1:13" x14ac:dyDescent="0.25">
      <c r="A559" s="37">
        <v>556</v>
      </c>
      <c r="B559" s="38"/>
      <c r="C559" s="37"/>
      <c r="D559" s="39"/>
      <c r="E559" s="39"/>
      <c r="F559" s="37"/>
      <c r="G559" s="37"/>
      <c r="H559" s="41"/>
      <c r="I559" s="37"/>
      <c r="J559" s="42"/>
      <c r="K559" s="43"/>
      <c r="L559" s="42"/>
      <c r="M559" s="12">
        <f t="shared" si="9"/>
        <v>556</v>
      </c>
    </row>
    <row r="560" spans="1:13" x14ac:dyDescent="0.25">
      <c r="A560" s="37">
        <v>557</v>
      </c>
      <c r="B560" s="38"/>
      <c r="C560" s="37"/>
      <c r="D560" s="39"/>
      <c r="E560" s="39"/>
      <c r="F560" s="37"/>
      <c r="G560" s="37"/>
      <c r="H560" s="41"/>
      <c r="I560" s="37"/>
      <c r="J560" s="42"/>
      <c r="K560" s="43"/>
      <c r="L560" s="42"/>
      <c r="M560" s="12">
        <f t="shared" si="9"/>
        <v>557</v>
      </c>
    </row>
    <row r="561" spans="1:13" x14ac:dyDescent="0.25">
      <c r="A561" s="37">
        <v>558</v>
      </c>
      <c r="B561" s="38"/>
      <c r="C561" s="37"/>
      <c r="D561" s="39"/>
      <c r="E561" s="39"/>
      <c r="F561" s="37"/>
      <c r="G561" s="37"/>
      <c r="H561" s="41"/>
      <c r="I561" s="37"/>
      <c r="J561" s="42"/>
      <c r="K561" s="43"/>
      <c r="L561" s="42"/>
      <c r="M561" s="12">
        <f t="shared" si="9"/>
        <v>558</v>
      </c>
    </row>
    <row r="562" spans="1:13" x14ac:dyDescent="0.25">
      <c r="A562" s="37">
        <v>559</v>
      </c>
      <c r="B562" s="38"/>
      <c r="C562" s="37"/>
      <c r="D562" s="39"/>
      <c r="E562" s="39"/>
      <c r="F562" s="37"/>
      <c r="G562" s="37"/>
      <c r="H562" s="41"/>
      <c r="I562" s="37"/>
      <c r="J562" s="42"/>
      <c r="K562" s="43"/>
      <c r="L562" s="42"/>
      <c r="M562" s="12">
        <f t="shared" si="9"/>
        <v>559</v>
      </c>
    </row>
    <row r="563" spans="1:13" x14ac:dyDescent="0.25">
      <c r="A563" s="37">
        <v>560</v>
      </c>
      <c r="B563" s="38"/>
      <c r="C563" s="37"/>
      <c r="D563" s="39"/>
      <c r="E563" s="39"/>
      <c r="F563" s="37"/>
      <c r="G563" s="37"/>
      <c r="H563" s="41"/>
      <c r="I563" s="37"/>
      <c r="J563" s="42"/>
      <c r="K563" s="43"/>
      <c r="L563" s="42"/>
      <c r="M563" s="12">
        <f t="shared" si="9"/>
        <v>560</v>
      </c>
    </row>
    <row r="564" spans="1:13" x14ac:dyDescent="0.25">
      <c r="A564" s="37">
        <v>561</v>
      </c>
      <c r="B564" s="38"/>
      <c r="C564" s="37"/>
      <c r="D564" s="39"/>
      <c r="E564" s="39"/>
      <c r="F564" s="37"/>
      <c r="G564" s="37"/>
      <c r="H564" s="41"/>
      <c r="I564" s="37"/>
      <c r="J564" s="42"/>
      <c r="K564" s="43"/>
      <c r="L564" s="42"/>
      <c r="M564" s="12">
        <f t="shared" si="9"/>
        <v>561</v>
      </c>
    </row>
    <row r="565" spans="1:13" x14ac:dyDescent="0.25">
      <c r="A565" s="37">
        <v>562</v>
      </c>
      <c r="B565" s="38"/>
      <c r="C565" s="37"/>
      <c r="D565" s="39"/>
      <c r="E565" s="39"/>
      <c r="F565" s="37"/>
      <c r="G565" s="37"/>
      <c r="H565" s="41"/>
      <c r="I565" s="37"/>
      <c r="J565" s="42"/>
      <c r="K565" s="43"/>
      <c r="L565" s="42"/>
      <c r="M565" s="12">
        <f t="shared" si="9"/>
        <v>562</v>
      </c>
    </row>
    <row r="566" spans="1:13" x14ac:dyDescent="0.25">
      <c r="A566" s="37">
        <v>563</v>
      </c>
      <c r="B566" s="38"/>
      <c r="C566" s="37"/>
      <c r="D566" s="39"/>
      <c r="E566" s="39"/>
      <c r="F566" s="37"/>
      <c r="G566" s="37"/>
      <c r="H566" s="41"/>
      <c r="I566" s="37"/>
      <c r="J566" s="42"/>
      <c r="K566" s="43"/>
      <c r="L566" s="42"/>
      <c r="M566" s="12">
        <f t="shared" si="9"/>
        <v>563</v>
      </c>
    </row>
    <row r="567" spans="1:13" x14ac:dyDescent="0.25">
      <c r="A567" s="37">
        <v>564</v>
      </c>
      <c r="B567" s="38"/>
      <c r="C567" s="37"/>
      <c r="D567" s="39"/>
      <c r="E567" s="39"/>
      <c r="F567" s="37"/>
      <c r="G567" s="37"/>
      <c r="H567" s="41"/>
      <c r="I567" s="37"/>
      <c r="J567" s="42"/>
      <c r="K567" s="43"/>
      <c r="L567" s="42"/>
      <c r="M567" s="12">
        <f t="shared" si="9"/>
        <v>564</v>
      </c>
    </row>
    <row r="568" spans="1:13" x14ac:dyDescent="0.25">
      <c r="A568" s="37">
        <v>565</v>
      </c>
      <c r="B568" s="38"/>
      <c r="C568" s="37"/>
      <c r="D568" s="39"/>
      <c r="E568" s="39"/>
      <c r="F568" s="37"/>
      <c r="G568" s="37"/>
      <c r="H568" s="41"/>
      <c r="I568" s="37"/>
      <c r="J568" s="42"/>
      <c r="K568" s="43"/>
      <c r="L568" s="42"/>
      <c r="M568" s="12">
        <f t="shared" si="9"/>
        <v>565</v>
      </c>
    </row>
    <row r="569" spans="1:13" x14ac:dyDescent="0.25">
      <c r="A569" s="37">
        <v>566</v>
      </c>
      <c r="B569" s="38"/>
      <c r="C569" s="37"/>
      <c r="D569" s="39"/>
      <c r="E569" s="39"/>
      <c r="F569" s="37"/>
      <c r="G569" s="37"/>
      <c r="H569" s="41"/>
      <c r="I569" s="37"/>
      <c r="J569" s="42"/>
      <c r="K569" s="43"/>
      <c r="L569" s="42"/>
      <c r="M569" s="12">
        <f t="shared" si="9"/>
        <v>566</v>
      </c>
    </row>
    <row r="570" spans="1:13" x14ac:dyDescent="0.25">
      <c r="A570" s="37">
        <v>567</v>
      </c>
      <c r="B570" s="38"/>
      <c r="C570" s="37"/>
      <c r="D570" s="39"/>
      <c r="E570" s="39"/>
      <c r="F570" s="37"/>
      <c r="G570" s="37"/>
      <c r="H570" s="41"/>
      <c r="I570" s="37"/>
      <c r="J570" s="42"/>
      <c r="K570" s="43"/>
      <c r="L570" s="42"/>
      <c r="M570" s="12">
        <f t="shared" si="9"/>
        <v>567</v>
      </c>
    </row>
    <row r="571" spans="1:13" x14ac:dyDescent="0.25">
      <c r="A571" s="37">
        <v>568</v>
      </c>
      <c r="B571" s="38"/>
      <c r="C571" s="37"/>
      <c r="D571" s="39"/>
      <c r="E571" s="39"/>
      <c r="F571" s="37"/>
      <c r="G571" s="37"/>
      <c r="H571" s="41"/>
      <c r="I571" s="37"/>
      <c r="J571" s="42"/>
      <c r="K571" s="43"/>
      <c r="L571" s="42"/>
      <c r="M571" s="12">
        <f t="shared" si="9"/>
        <v>568</v>
      </c>
    </row>
    <row r="572" spans="1:13" x14ac:dyDescent="0.25">
      <c r="A572" s="37">
        <v>569</v>
      </c>
      <c r="B572" s="38"/>
      <c r="C572" s="37"/>
      <c r="D572" s="39"/>
      <c r="E572" s="39"/>
      <c r="F572" s="37"/>
      <c r="G572" s="37"/>
      <c r="H572" s="41"/>
      <c r="I572" s="37"/>
      <c r="J572" s="42"/>
      <c r="K572" s="43"/>
      <c r="L572" s="42"/>
      <c r="M572" s="12">
        <f t="shared" si="9"/>
        <v>569</v>
      </c>
    </row>
    <row r="573" spans="1:13" x14ac:dyDescent="0.25">
      <c r="A573" s="37">
        <v>570</v>
      </c>
      <c r="B573" s="38"/>
      <c r="C573" s="37"/>
      <c r="D573" s="39"/>
      <c r="E573" s="39"/>
      <c r="F573" s="37"/>
      <c r="G573" s="37"/>
      <c r="H573" s="41"/>
      <c r="I573" s="37"/>
      <c r="J573" s="42"/>
      <c r="K573" s="43"/>
      <c r="L573" s="42"/>
      <c r="M573" s="12">
        <f t="shared" si="9"/>
        <v>570</v>
      </c>
    </row>
    <row r="574" spans="1:13" x14ac:dyDescent="0.25">
      <c r="A574" s="37">
        <v>571</v>
      </c>
      <c r="B574" s="30"/>
      <c r="C574" s="30"/>
      <c r="D574" s="32"/>
      <c r="E574" s="32"/>
      <c r="F574" s="30"/>
      <c r="G574" s="30"/>
      <c r="H574" s="41"/>
      <c r="I574" s="37"/>
      <c r="J574" s="42"/>
      <c r="K574" s="43"/>
      <c r="L574" s="42"/>
      <c r="M574" s="12">
        <f t="shared" si="9"/>
        <v>571</v>
      </c>
    </row>
    <row r="575" spans="1:13" x14ac:dyDescent="0.25">
      <c r="A575" s="37">
        <v>572</v>
      </c>
      <c r="B575" s="38"/>
      <c r="C575" s="37"/>
      <c r="D575" s="39"/>
      <c r="E575" s="39"/>
      <c r="F575" s="37"/>
      <c r="G575" s="37"/>
      <c r="H575" s="34"/>
      <c r="I575" s="30"/>
      <c r="J575" s="36"/>
      <c r="K575" s="36"/>
      <c r="L575" s="35"/>
      <c r="M575" s="12">
        <f t="shared" si="9"/>
        <v>572</v>
      </c>
    </row>
    <row r="576" spans="1:13" x14ac:dyDescent="0.25">
      <c r="A576" s="37">
        <v>573</v>
      </c>
      <c r="B576" s="38"/>
      <c r="C576" s="37"/>
      <c r="D576" s="39"/>
      <c r="E576" s="39"/>
      <c r="F576" s="37"/>
      <c r="G576" s="37"/>
      <c r="H576" s="41"/>
      <c r="I576" s="37"/>
      <c r="J576" s="42"/>
      <c r="K576" s="43"/>
      <c r="L576" s="42"/>
      <c r="M576" s="12">
        <f t="shared" si="9"/>
        <v>573</v>
      </c>
    </row>
    <row r="577" spans="1:13" x14ac:dyDescent="0.25">
      <c r="A577" s="37">
        <v>574</v>
      </c>
      <c r="B577" s="38"/>
      <c r="C577" s="37"/>
      <c r="D577" s="39"/>
      <c r="E577" s="39"/>
      <c r="F577" s="37"/>
      <c r="G577" s="37"/>
      <c r="H577" s="41"/>
      <c r="I577" s="37"/>
      <c r="J577" s="42"/>
      <c r="K577" s="43"/>
      <c r="L577" s="42"/>
      <c r="M577" s="12">
        <f t="shared" si="9"/>
        <v>574</v>
      </c>
    </row>
    <row r="578" spans="1:13" ht="33.75" customHeight="1" x14ac:dyDescent="0.25">
      <c r="A578" s="37">
        <v>575</v>
      </c>
      <c r="B578" s="38"/>
      <c r="C578" s="37"/>
      <c r="D578" s="39"/>
      <c r="E578" s="39"/>
      <c r="F578" s="37"/>
      <c r="G578" s="37"/>
      <c r="H578" s="41"/>
      <c r="I578" s="37"/>
      <c r="J578" s="42"/>
      <c r="K578" s="43"/>
      <c r="L578" s="42"/>
      <c r="M578" s="12">
        <f t="shared" si="9"/>
        <v>575</v>
      </c>
    </row>
    <row r="579" spans="1:13" x14ac:dyDescent="0.25">
      <c r="A579" s="37">
        <v>576</v>
      </c>
      <c r="B579" s="38"/>
      <c r="C579" s="37"/>
      <c r="D579" s="39"/>
      <c r="E579" s="39"/>
      <c r="F579" s="37"/>
      <c r="G579" s="37"/>
      <c r="H579" s="41"/>
      <c r="I579" s="37"/>
      <c r="J579" s="42"/>
      <c r="K579" s="43"/>
      <c r="L579" s="42"/>
      <c r="M579" s="12">
        <f t="shared" si="9"/>
        <v>576</v>
      </c>
    </row>
    <row r="580" spans="1:13" x14ac:dyDescent="0.25">
      <c r="A580" s="37">
        <v>577</v>
      </c>
      <c r="B580" s="38"/>
      <c r="C580" s="37"/>
      <c r="D580" s="39"/>
      <c r="E580" s="39"/>
      <c r="F580" s="37"/>
      <c r="G580" s="37"/>
      <c r="H580" s="41"/>
      <c r="I580" s="37"/>
      <c r="J580" s="42"/>
      <c r="K580" s="43"/>
      <c r="L580" s="42"/>
      <c r="M580" s="12">
        <f t="shared" si="9"/>
        <v>577</v>
      </c>
    </row>
    <row r="581" spans="1:13" x14ac:dyDescent="0.25">
      <c r="A581" s="37">
        <v>578</v>
      </c>
      <c r="B581" s="38"/>
      <c r="C581" s="37"/>
      <c r="D581" s="39"/>
      <c r="E581" s="39"/>
      <c r="F581" s="37"/>
      <c r="G581" s="37"/>
      <c r="H581" s="41"/>
      <c r="I581" s="37"/>
      <c r="J581" s="42"/>
      <c r="K581" s="43"/>
      <c r="L581" s="42"/>
      <c r="M581" s="12">
        <f t="shared" ref="M581:M589" si="10">ROW()-3</f>
        <v>578</v>
      </c>
    </row>
    <row r="582" spans="1:13" x14ac:dyDescent="0.25">
      <c r="A582" s="37">
        <v>579</v>
      </c>
      <c r="B582" s="38"/>
      <c r="C582" s="37"/>
      <c r="D582" s="39"/>
      <c r="E582" s="39"/>
      <c r="F582" s="37"/>
      <c r="G582" s="37"/>
      <c r="H582" s="41"/>
      <c r="I582" s="37"/>
      <c r="J582" s="43"/>
      <c r="K582" s="43"/>
      <c r="L582" s="42"/>
      <c r="M582" s="12">
        <f t="shared" si="10"/>
        <v>579</v>
      </c>
    </row>
    <row r="583" spans="1:13" x14ac:dyDescent="0.25">
      <c r="A583" s="37">
        <v>580</v>
      </c>
      <c r="B583" s="38"/>
      <c r="C583" s="37"/>
      <c r="D583" s="39"/>
      <c r="E583" s="39"/>
      <c r="F583" s="37"/>
      <c r="G583" s="37"/>
      <c r="H583" s="41"/>
      <c r="I583" s="37"/>
      <c r="J583" s="42"/>
      <c r="K583" s="43"/>
      <c r="L583" s="42"/>
      <c r="M583" s="12">
        <f t="shared" si="10"/>
        <v>580</v>
      </c>
    </row>
    <row r="584" spans="1:13" x14ac:dyDescent="0.25">
      <c r="A584" s="37">
        <v>581</v>
      </c>
      <c r="B584" s="38"/>
      <c r="C584" s="37"/>
      <c r="D584" s="39"/>
      <c r="E584" s="39"/>
      <c r="F584" s="37"/>
      <c r="G584" s="37"/>
      <c r="H584" s="41"/>
      <c r="I584" s="37"/>
      <c r="J584" s="42"/>
      <c r="K584" s="43"/>
      <c r="L584" s="42"/>
      <c r="M584" s="12">
        <f t="shared" si="10"/>
        <v>581</v>
      </c>
    </row>
    <row r="585" spans="1:13" x14ac:dyDescent="0.25">
      <c r="A585" s="37">
        <v>582</v>
      </c>
      <c r="B585" s="38"/>
      <c r="C585" s="37"/>
      <c r="D585" s="39"/>
      <c r="E585" s="39"/>
      <c r="F585" s="37"/>
      <c r="G585" s="37"/>
      <c r="H585" s="41"/>
      <c r="I585" s="37"/>
      <c r="J585" s="42"/>
      <c r="K585" s="43"/>
      <c r="L585" s="42"/>
      <c r="M585" s="12">
        <f t="shared" si="10"/>
        <v>582</v>
      </c>
    </row>
    <row r="586" spans="1:13" x14ac:dyDescent="0.25">
      <c r="A586" s="37">
        <v>583</v>
      </c>
      <c r="B586" s="38"/>
      <c r="C586" s="37"/>
      <c r="D586" s="39"/>
      <c r="E586" s="39"/>
      <c r="F586" s="37"/>
      <c r="G586" s="37"/>
      <c r="H586" s="41"/>
      <c r="I586" s="37"/>
      <c r="J586" s="42"/>
      <c r="K586" s="43"/>
      <c r="L586" s="42"/>
      <c r="M586" s="12">
        <f t="shared" si="10"/>
        <v>583</v>
      </c>
    </row>
    <row r="587" spans="1:13" x14ac:dyDescent="0.25">
      <c r="A587" s="37">
        <v>584</v>
      </c>
      <c r="B587" s="38"/>
      <c r="C587" s="37"/>
      <c r="D587" s="39"/>
      <c r="E587" s="39"/>
      <c r="F587" s="37"/>
      <c r="G587" s="37"/>
      <c r="H587" s="41"/>
      <c r="I587" s="37"/>
      <c r="J587" s="42"/>
      <c r="K587" s="43"/>
      <c r="L587" s="42"/>
      <c r="M587" s="12">
        <f t="shared" si="10"/>
        <v>584</v>
      </c>
    </row>
    <row r="588" spans="1:13" x14ac:dyDescent="0.25">
      <c r="A588" s="37">
        <v>585</v>
      </c>
      <c r="B588" s="38"/>
      <c r="C588" s="37"/>
      <c r="D588" s="39"/>
      <c r="E588" s="39"/>
      <c r="F588" s="37"/>
      <c r="G588" s="37"/>
      <c r="H588" s="41"/>
      <c r="I588" s="37"/>
      <c r="J588" s="42"/>
      <c r="K588" s="43"/>
      <c r="L588" s="42"/>
      <c r="M588" s="12">
        <f t="shared" si="10"/>
        <v>585</v>
      </c>
    </row>
    <row r="589" spans="1:13" x14ac:dyDescent="0.25">
      <c r="A589" s="37">
        <v>586</v>
      </c>
      <c r="B589" s="38"/>
      <c r="C589" s="37"/>
      <c r="D589" s="39"/>
      <c r="E589" s="39"/>
      <c r="F589" s="37"/>
      <c r="G589" s="37"/>
      <c r="H589" s="41"/>
      <c r="I589" s="37"/>
      <c r="J589" s="42"/>
      <c r="K589" s="43"/>
      <c r="L589" s="42"/>
      <c r="M589" s="12">
        <f t="shared" si="10"/>
        <v>586</v>
      </c>
    </row>
    <row r="590" spans="1:13" x14ac:dyDescent="0.25">
      <c r="A590" s="37">
        <v>587</v>
      </c>
      <c r="B590" s="38"/>
      <c r="C590" s="37"/>
      <c r="D590" s="39"/>
      <c r="E590" s="39"/>
      <c r="F590" s="37"/>
      <c r="G590" s="37"/>
      <c r="H590" s="41"/>
      <c r="I590" s="37"/>
      <c r="J590" s="42"/>
      <c r="K590" s="43"/>
      <c r="L590" s="42"/>
      <c r="M590" s="12"/>
    </row>
    <row r="591" spans="1:13" x14ac:dyDescent="0.25">
      <c r="A591" s="37">
        <v>588</v>
      </c>
      <c r="B591" s="38"/>
      <c r="C591" s="37"/>
      <c r="D591" s="39"/>
      <c r="E591" s="39"/>
      <c r="F591" s="37"/>
      <c r="G591" s="37"/>
      <c r="H591" s="41"/>
      <c r="I591" s="37"/>
      <c r="J591" s="42"/>
      <c r="K591" s="43"/>
      <c r="L591" s="42"/>
      <c r="M591" s="12"/>
    </row>
    <row r="592" spans="1:13" x14ac:dyDescent="0.25">
      <c r="A592" s="37">
        <v>589</v>
      </c>
      <c r="B592" s="38"/>
      <c r="C592" s="37"/>
      <c r="D592" s="39"/>
      <c r="E592" s="39"/>
      <c r="F592" s="37"/>
      <c r="G592" s="37"/>
      <c r="H592" s="41"/>
      <c r="I592" s="37"/>
      <c r="J592" s="42"/>
      <c r="K592" s="43"/>
      <c r="L592" s="42"/>
      <c r="M592" s="12">
        <v>593</v>
      </c>
    </row>
    <row r="593" spans="1:13" x14ac:dyDescent="0.25">
      <c r="A593" s="37">
        <v>590</v>
      </c>
      <c r="B593" s="38"/>
      <c r="C593" s="37"/>
      <c r="D593" s="39"/>
      <c r="E593" s="39"/>
      <c r="F593" s="37"/>
      <c r="G593" s="37"/>
      <c r="H593" s="41"/>
      <c r="I593" s="37"/>
      <c r="J593" s="42"/>
      <c r="K593" s="43"/>
      <c r="L593" s="42"/>
      <c r="M593" s="12">
        <v>594</v>
      </c>
    </row>
    <row r="594" spans="1:13" x14ac:dyDescent="0.25">
      <c r="A594" s="37">
        <v>591</v>
      </c>
      <c r="B594" s="38"/>
      <c r="C594" s="37"/>
      <c r="D594" s="39"/>
      <c r="E594" s="39"/>
      <c r="F594" s="37"/>
      <c r="G594" s="37"/>
      <c r="H594" s="41"/>
      <c r="I594" s="37"/>
      <c r="J594" s="42"/>
      <c r="K594" s="43"/>
      <c r="L594" s="42"/>
      <c r="M594" s="12">
        <v>595</v>
      </c>
    </row>
    <row r="595" spans="1:13" x14ac:dyDescent="0.25">
      <c r="A595" s="37">
        <v>592</v>
      </c>
      <c r="B595" s="38"/>
      <c r="C595" s="37"/>
      <c r="D595" s="39"/>
      <c r="E595" s="39"/>
      <c r="F595" s="37"/>
      <c r="G595" s="37"/>
      <c r="H595" s="41"/>
      <c r="I595" s="37"/>
      <c r="J595" s="42"/>
      <c r="K595" s="43"/>
      <c r="L595" s="42"/>
      <c r="M595" s="12">
        <v>596</v>
      </c>
    </row>
    <row r="596" spans="1:13" x14ac:dyDescent="0.25">
      <c r="A596" s="37">
        <v>593</v>
      </c>
      <c r="B596" s="38"/>
      <c r="C596" s="37"/>
      <c r="D596" s="39"/>
      <c r="E596" s="39"/>
      <c r="F596" s="37"/>
      <c r="G596" s="37"/>
      <c r="H596" s="41"/>
      <c r="I596" s="37"/>
      <c r="J596" s="42"/>
      <c r="K596" s="43"/>
      <c r="L596" s="42"/>
      <c r="M596" s="12"/>
    </row>
    <row r="597" spans="1:13" x14ac:dyDescent="0.25">
      <c r="A597" s="37">
        <v>594</v>
      </c>
      <c r="B597" s="38"/>
      <c r="C597" s="37"/>
      <c r="D597" s="39"/>
      <c r="E597" s="39"/>
      <c r="F597" s="37"/>
      <c r="G597" s="37"/>
      <c r="H597" s="41"/>
      <c r="I597" s="37"/>
      <c r="J597" s="42"/>
      <c r="K597" s="43"/>
      <c r="L597" s="42"/>
      <c r="M597" s="12"/>
    </row>
    <row r="598" spans="1:13" x14ac:dyDescent="0.25">
      <c r="A598" s="37">
        <v>595</v>
      </c>
      <c r="B598" s="31"/>
      <c r="C598" s="30"/>
      <c r="D598" s="32"/>
      <c r="E598" s="32"/>
      <c r="F598" s="30"/>
      <c r="G598" s="30"/>
      <c r="H598" s="41"/>
      <c r="I598" s="37"/>
      <c r="J598" s="42"/>
      <c r="K598" s="43"/>
      <c r="L598" s="42"/>
      <c r="M598" s="12"/>
    </row>
    <row r="599" spans="1:13" x14ac:dyDescent="0.25">
      <c r="A599" s="37">
        <v>596</v>
      </c>
      <c r="B599" s="31"/>
      <c r="C599" s="30"/>
      <c r="D599" s="32"/>
      <c r="E599" s="32"/>
      <c r="F599" s="30"/>
      <c r="G599" s="30"/>
      <c r="H599" s="34"/>
      <c r="I599" s="34"/>
      <c r="J599" s="35"/>
      <c r="K599" s="36"/>
      <c r="L599" s="35"/>
      <c r="M599" s="12">
        <v>600</v>
      </c>
    </row>
    <row r="600" spans="1:13" x14ac:dyDescent="0.25">
      <c r="A600" s="37">
        <v>597</v>
      </c>
      <c r="B600" s="38"/>
      <c r="C600" s="37"/>
      <c r="D600" s="39"/>
      <c r="E600" s="39"/>
      <c r="F600" s="37"/>
      <c r="G600" s="37"/>
      <c r="H600" s="34"/>
      <c r="I600" s="30"/>
      <c r="J600" s="35"/>
      <c r="K600" s="36"/>
      <c r="L600" s="35"/>
      <c r="M600" s="12">
        <v>601</v>
      </c>
    </row>
    <row r="601" spans="1:13" x14ac:dyDescent="0.25">
      <c r="A601" s="37">
        <v>598</v>
      </c>
      <c r="B601" s="38"/>
      <c r="C601" s="37"/>
      <c r="D601" s="39"/>
      <c r="E601" s="39"/>
      <c r="F601" s="37"/>
      <c r="G601" s="37"/>
      <c r="H601" s="41"/>
      <c r="I601" s="37"/>
      <c r="J601" s="42"/>
      <c r="K601" s="43"/>
      <c r="L601" s="42"/>
      <c r="M601" s="12">
        <v>602</v>
      </c>
    </row>
    <row r="602" spans="1:13" x14ac:dyDescent="0.25">
      <c r="A602" s="37">
        <v>599</v>
      </c>
      <c r="B602" s="38"/>
      <c r="C602" s="37"/>
      <c r="D602" s="39"/>
      <c r="E602" s="39"/>
      <c r="F602" s="37"/>
      <c r="G602" s="37"/>
      <c r="H602" s="41"/>
      <c r="I602" s="37"/>
      <c r="J602" s="42"/>
      <c r="K602" s="43"/>
      <c r="L602" s="42"/>
      <c r="M602" s="12">
        <v>603</v>
      </c>
    </row>
    <row r="603" spans="1:13" x14ac:dyDescent="0.25">
      <c r="A603" s="37">
        <v>600</v>
      </c>
      <c r="B603" s="38"/>
      <c r="C603" s="37"/>
      <c r="D603" s="39"/>
      <c r="E603" s="39"/>
      <c r="F603" s="37"/>
      <c r="G603" s="37"/>
      <c r="H603" s="41"/>
      <c r="I603" s="37"/>
      <c r="J603" s="42"/>
      <c r="K603" s="43"/>
      <c r="L603" s="42"/>
      <c r="M603" s="12">
        <v>604</v>
      </c>
    </row>
    <row r="604" spans="1:13" x14ac:dyDescent="0.25">
      <c r="A604" s="37">
        <v>601</v>
      </c>
      <c r="B604" s="38"/>
      <c r="C604" s="37"/>
      <c r="D604" s="39"/>
      <c r="E604" s="39"/>
      <c r="F604" s="37"/>
      <c r="G604" s="37"/>
      <c r="H604" s="41"/>
      <c r="I604" s="37"/>
      <c r="J604" s="42"/>
      <c r="K604" s="43"/>
      <c r="L604" s="42"/>
      <c r="M604" s="12">
        <v>605</v>
      </c>
    </row>
    <row r="605" spans="1:13" x14ac:dyDescent="0.25">
      <c r="A605" s="37">
        <v>602</v>
      </c>
      <c r="B605" s="38"/>
      <c r="C605" s="37"/>
      <c r="D605" s="39"/>
      <c r="E605" s="39"/>
      <c r="F605" s="37"/>
      <c r="G605" s="37"/>
      <c r="H605" s="41"/>
      <c r="I605" s="37"/>
      <c r="J605" s="42"/>
      <c r="K605" s="43"/>
      <c r="L605" s="42"/>
      <c r="M605" s="12">
        <v>606</v>
      </c>
    </row>
    <row r="606" spans="1:13" x14ac:dyDescent="0.25">
      <c r="A606" s="37">
        <v>603</v>
      </c>
      <c r="B606" s="38"/>
      <c r="C606" s="37"/>
      <c r="D606" s="39"/>
      <c r="E606" s="39"/>
      <c r="F606" s="37"/>
      <c r="G606" s="37"/>
      <c r="H606" s="41"/>
      <c r="I606" s="37"/>
      <c r="J606" s="42"/>
      <c r="K606" s="43"/>
      <c r="L606" s="42"/>
      <c r="M606" s="12">
        <v>607</v>
      </c>
    </row>
    <row r="607" spans="1:13" x14ac:dyDescent="0.25">
      <c r="A607" s="37">
        <v>604</v>
      </c>
      <c r="B607" s="38"/>
      <c r="C607" s="37"/>
      <c r="D607" s="39"/>
      <c r="E607" s="39"/>
      <c r="F607" s="37"/>
      <c r="G607" s="37"/>
      <c r="H607" s="41"/>
      <c r="I607" s="37"/>
      <c r="J607" s="42"/>
      <c r="K607" s="43"/>
      <c r="L607" s="42"/>
      <c r="M607" s="12">
        <v>608</v>
      </c>
    </row>
    <row r="608" spans="1:13" x14ac:dyDescent="0.25">
      <c r="A608" s="37">
        <v>605</v>
      </c>
      <c r="B608" s="38"/>
      <c r="C608" s="37"/>
      <c r="D608" s="39"/>
      <c r="E608" s="39"/>
      <c r="F608" s="37"/>
      <c r="G608" s="37"/>
      <c r="H608" s="41"/>
      <c r="I608" s="37"/>
      <c r="J608" s="42"/>
      <c r="K608" s="43"/>
      <c r="L608" s="42"/>
      <c r="M608" s="12">
        <v>609</v>
      </c>
    </row>
    <row r="609" spans="1:13" x14ac:dyDescent="0.25">
      <c r="A609" s="37">
        <v>606</v>
      </c>
      <c r="B609" s="38"/>
      <c r="C609" s="37"/>
      <c r="D609" s="39"/>
      <c r="E609" s="39"/>
      <c r="F609" s="37"/>
      <c r="G609" s="37"/>
      <c r="H609" s="41"/>
      <c r="I609" s="37"/>
      <c r="J609" s="42"/>
      <c r="K609" s="43"/>
      <c r="L609" s="42"/>
      <c r="M609" s="12">
        <v>610</v>
      </c>
    </row>
    <row r="610" spans="1:13" x14ac:dyDescent="0.25">
      <c r="A610" s="37">
        <v>607</v>
      </c>
      <c r="B610" s="38"/>
      <c r="C610" s="37"/>
      <c r="D610" s="39"/>
      <c r="E610" s="39"/>
      <c r="F610" s="37"/>
      <c r="G610" s="37"/>
      <c r="H610" s="41"/>
      <c r="I610" s="37"/>
      <c r="J610" s="42"/>
      <c r="K610" s="43"/>
      <c r="L610" s="42"/>
      <c r="M610" s="12">
        <v>611</v>
      </c>
    </row>
    <row r="611" spans="1:13" x14ac:dyDescent="0.25">
      <c r="A611" s="37">
        <v>608</v>
      </c>
      <c r="B611" s="37"/>
      <c r="C611" s="37"/>
      <c r="D611" s="39"/>
      <c r="E611" s="39"/>
      <c r="F611" s="37"/>
      <c r="G611" s="37"/>
      <c r="H611" s="41"/>
      <c r="I611" s="37"/>
      <c r="J611" s="42"/>
      <c r="K611" s="43"/>
      <c r="L611" s="42"/>
      <c r="M611" s="12">
        <v>612</v>
      </c>
    </row>
    <row r="612" spans="1:13" x14ac:dyDescent="0.25">
      <c r="A612" s="37">
        <v>609</v>
      </c>
      <c r="B612" s="38"/>
      <c r="C612" s="37"/>
      <c r="D612" s="39"/>
      <c r="E612" s="39"/>
      <c r="F612" s="37"/>
      <c r="G612" s="37"/>
      <c r="H612" s="41"/>
      <c r="I612" s="37"/>
      <c r="J612" s="43"/>
      <c r="K612" s="43"/>
      <c r="L612" s="43"/>
      <c r="M612" s="12">
        <v>613</v>
      </c>
    </row>
    <row r="613" spans="1:13" x14ac:dyDescent="0.25">
      <c r="A613" s="37">
        <v>610</v>
      </c>
      <c r="B613" s="38"/>
      <c r="C613" s="37"/>
      <c r="D613" s="39"/>
      <c r="E613" s="39"/>
      <c r="F613" s="37"/>
      <c r="G613" s="37"/>
      <c r="H613" s="41"/>
      <c r="I613" s="37"/>
      <c r="J613" s="42"/>
      <c r="K613" s="43"/>
      <c r="L613" s="42"/>
      <c r="M613" s="12"/>
    </row>
    <row r="614" spans="1:13" x14ac:dyDescent="0.25">
      <c r="A614" s="37">
        <v>611</v>
      </c>
      <c r="B614" s="38"/>
      <c r="C614" s="37"/>
      <c r="D614" s="39"/>
      <c r="E614" s="39"/>
      <c r="F614" s="37"/>
      <c r="G614" s="37"/>
      <c r="H614" s="41"/>
      <c r="I614" s="37"/>
      <c r="J614" s="42"/>
      <c r="K614" s="43"/>
      <c r="L614" s="42"/>
      <c r="M614" s="12">
        <v>615</v>
      </c>
    </row>
    <row r="615" spans="1:13" x14ac:dyDescent="0.25">
      <c r="A615" s="37">
        <v>612</v>
      </c>
      <c r="B615" s="38"/>
      <c r="C615" s="37"/>
      <c r="D615" s="39"/>
      <c r="E615" s="39"/>
      <c r="F615" s="37"/>
      <c r="G615" s="37"/>
      <c r="H615" s="41"/>
      <c r="I615" s="37"/>
      <c r="J615" s="42"/>
      <c r="K615" s="43"/>
      <c r="L615" s="42"/>
      <c r="M615" s="12">
        <v>616</v>
      </c>
    </row>
    <row r="616" spans="1:13" x14ac:dyDescent="0.25">
      <c r="A616" s="37">
        <v>613</v>
      </c>
      <c r="B616" s="38"/>
      <c r="C616" s="37"/>
      <c r="D616" s="39"/>
      <c r="E616" s="39"/>
      <c r="F616" s="37"/>
      <c r="G616" s="37"/>
      <c r="H616" s="41"/>
      <c r="I616" s="37"/>
      <c r="J616" s="42"/>
      <c r="K616" s="43"/>
      <c r="L616" s="42"/>
      <c r="M616" s="12">
        <v>617</v>
      </c>
    </row>
    <row r="617" spans="1:13" x14ac:dyDescent="0.25">
      <c r="A617" s="37">
        <v>614</v>
      </c>
      <c r="B617" s="38"/>
      <c r="C617" s="37"/>
      <c r="D617" s="39"/>
      <c r="E617" s="39"/>
      <c r="F617" s="37"/>
      <c r="G617" s="37"/>
      <c r="H617" s="41"/>
      <c r="I617" s="37"/>
      <c r="J617" s="42"/>
      <c r="K617" s="43"/>
      <c r="L617" s="42"/>
      <c r="M617" s="12">
        <v>618</v>
      </c>
    </row>
    <row r="618" spans="1:13" x14ac:dyDescent="0.25">
      <c r="A618" s="37">
        <v>615</v>
      </c>
      <c r="B618" s="38"/>
      <c r="C618" s="37"/>
      <c r="D618" s="39"/>
      <c r="E618" s="39"/>
      <c r="F618" s="37"/>
      <c r="G618" s="37"/>
      <c r="H618" s="41"/>
      <c r="I618" s="37"/>
      <c r="J618" s="42"/>
      <c r="K618" s="43"/>
      <c r="L618" s="42"/>
      <c r="M618" s="12">
        <v>619</v>
      </c>
    </row>
    <row r="619" spans="1:13" x14ac:dyDescent="0.25">
      <c r="A619" s="37">
        <v>616</v>
      </c>
      <c r="B619" s="38"/>
      <c r="C619" s="37"/>
      <c r="D619" s="39"/>
      <c r="E619" s="39"/>
      <c r="F619" s="37"/>
      <c r="G619" s="37"/>
      <c r="H619" s="41"/>
      <c r="I619" s="37"/>
      <c r="J619" s="42"/>
      <c r="K619" s="43"/>
      <c r="L619" s="42"/>
      <c r="M619" s="12">
        <v>620</v>
      </c>
    </row>
    <row r="620" spans="1:13" x14ac:dyDescent="0.25">
      <c r="A620" s="37">
        <v>617</v>
      </c>
      <c r="B620" s="38"/>
      <c r="C620" s="37"/>
      <c r="D620" s="39"/>
      <c r="E620" s="39"/>
      <c r="F620" s="37"/>
      <c r="G620" s="37"/>
      <c r="H620" s="41"/>
      <c r="I620" s="37"/>
      <c r="J620" s="42"/>
      <c r="K620" s="43"/>
      <c r="L620" s="42"/>
      <c r="M620" s="12">
        <v>621</v>
      </c>
    </row>
    <row r="621" spans="1:13" x14ac:dyDescent="0.2">
      <c r="A621" s="37">
        <v>618</v>
      </c>
      <c r="B621" s="355"/>
      <c r="C621" s="37"/>
      <c r="D621" s="356"/>
      <c r="E621" s="39"/>
      <c r="F621" s="37"/>
      <c r="G621" s="37"/>
      <c r="H621" s="41"/>
      <c r="I621" s="37"/>
      <c r="J621" s="42"/>
      <c r="K621" s="43"/>
      <c r="L621" s="42"/>
      <c r="M621" s="12">
        <v>622</v>
      </c>
    </row>
    <row r="622" spans="1:13" x14ac:dyDescent="0.2">
      <c r="A622" s="37">
        <v>619</v>
      </c>
      <c r="B622" s="38"/>
      <c r="C622" s="37"/>
      <c r="D622" s="39"/>
      <c r="E622" s="39"/>
      <c r="F622" s="37"/>
      <c r="G622" s="37"/>
      <c r="H622" s="41"/>
      <c r="I622" s="37"/>
      <c r="J622" s="355"/>
      <c r="K622" s="43"/>
      <c r="L622" s="42"/>
      <c r="M622" s="12">
        <v>623</v>
      </c>
    </row>
    <row r="623" spans="1:13" x14ac:dyDescent="0.25">
      <c r="A623" s="37">
        <v>620</v>
      </c>
      <c r="B623" s="38"/>
      <c r="C623" s="37"/>
      <c r="D623" s="39"/>
      <c r="E623" s="39"/>
      <c r="F623" s="37"/>
      <c r="G623" s="37"/>
      <c r="H623" s="41"/>
      <c r="I623" s="37"/>
      <c r="J623" s="42"/>
      <c r="K623" s="43"/>
      <c r="L623" s="42"/>
      <c r="M623" s="12">
        <v>624</v>
      </c>
    </row>
    <row r="624" spans="1:13" x14ac:dyDescent="0.25">
      <c r="A624" s="37">
        <v>621</v>
      </c>
      <c r="B624" s="38"/>
      <c r="C624" s="37"/>
      <c r="D624" s="39"/>
      <c r="E624" s="39"/>
      <c r="F624" s="37"/>
      <c r="G624" s="37"/>
      <c r="H624" s="41"/>
      <c r="I624" s="37"/>
      <c r="J624" s="42"/>
      <c r="K624" s="43"/>
      <c r="L624" s="42"/>
      <c r="M624" s="12">
        <v>625</v>
      </c>
    </row>
    <row r="625" spans="1:13" x14ac:dyDescent="0.25">
      <c r="A625" s="37">
        <v>622</v>
      </c>
      <c r="B625" s="38"/>
      <c r="C625" s="37"/>
      <c r="D625" s="39"/>
      <c r="E625" s="39"/>
      <c r="F625" s="37"/>
      <c r="G625" s="37"/>
      <c r="H625" s="41"/>
      <c r="I625" s="37"/>
      <c r="J625" s="42"/>
      <c r="K625" s="43"/>
      <c r="L625" s="42"/>
      <c r="M625" s="12">
        <v>626</v>
      </c>
    </row>
    <row r="626" spans="1:13" x14ac:dyDescent="0.25">
      <c r="A626" s="37">
        <v>623</v>
      </c>
      <c r="B626" s="38"/>
      <c r="C626" s="37"/>
      <c r="D626" s="39"/>
      <c r="E626" s="39"/>
      <c r="F626" s="37"/>
      <c r="G626" s="37"/>
      <c r="H626" s="41"/>
      <c r="I626" s="37"/>
      <c r="J626" s="42"/>
      <c r="K626" s="43"/>
      <c r="L626" s="42"/>
      <c r="M626" s="12">
        <v>627</v>
      </c>
    </row>
    <row r="627" spans="1:13" x14ac:dyDescent="0.25">
      <c r="A627" s="37">
        <v>624</v>
      </c>
      <c r="B627" s="38"/>
      <c r="C627" s="37"/>
      <c r="D627" s="39"/>
      <c r="E627" s="39"/>
      <c r="F627" s="37"/>
      <c r="G627" s="37"/>
      <c r="H627" s="41"/>
      <c r="I627" s="37"/>
      <c r="J627" s="42"/>
      <c r="K627" s="43"/>
      <c r="L627" s="42"/>
      <c r="M627" s="12">
        <v>628</v>
      </c>
    </row>
    <row r="628" spans="1:13" x14ac:dyDescent="0.25">
      <c r="A628" s="37">
        <v>625</v>
      </c>
      <c r="B628" s="38"/>
      <c r="C628" s="37"/>
      <c r="D628" s="39"/>
      <c r="E628" s="39"/>
      <c r="F628" s="37"/>
      <c r="G628" s="37"/>
      <c r="H628" s="41"/>
      <c r="I628" s="37"/>
      <c r="J628" s="42"/>
      <c r="K628" s="43"/>
      <c r="L628" s="42"/>
      <c r="M628" s="12">
        <v>629</v>
      </c>
    </row>
    <row r="629" spans="1:13" x14ac:dyDescent="0.25">
      <c r="A629" s="37">
        <v>626</v>
      </c>
      <c r="B629" s="38"/>
      <c r="C629" s="37"/>
      <c r="D629" s="39"/>
      <c r="E629" s="39"/>
      <c r="F629" s="37"/>
      <c r="G629" s="37"/>
      <c r="H629" s="41"/>
      <c r="I629" s="37"/>
      <c r="J629" s="42"/>
      <c r="K629" s="43"/>
      <c r="L629" s="42"/>
      <c r="M629" s="12">
        <v>630</v>
      </c>
    </row>
    <row r="630" spans="1:13" x14ac:dyDescent="0.25">
      <c r="A630" s="37">
        <v>627</v>
      </c>
      <c r="B630" s="38"/>
      <c r="C630" s="37"/>
      <c r="D630" s="39"/>
      <c r="E630" s="39"/>
      <c r="F630" s="37"/>
      <c r="G630" s="37"/>
      <c r="H630" s="41"/>
      <c r="I630" s="37"/>
      <c r="J630" s="42"/>
      <c r="K630" s="43"/>
      <c r="L630" s="42"/>
      <c r="M630" s="12">
        <v>631</v>
      </c>
    </row>
    <row r="631" spans="1:13" x14ac:dyDescent="0.25">
      <c r="A631" s="37">
        <v>628</v>
      </c>
      <c r="B631" s="38"/>
      <c r="C631" s="37"/>
      <c r="D631" s="39"/>
      <c r="E631" s="39"/>
      <c r="F631" s="37"/>
      <c r="G631" s="37"/>
      <c r="H631" s="41"/>
      <c r="I631" s="37"/>
      <c r="J631" s="42"/>
      <c r="K631" s="43"/>
      <c r="L631" s="42"/>
      <c r="M631" s="12">
        <v>632</v>
      </c>
    </row>
    <row r="632" spans="1:13" x14ac:dyDescent="0.25">
      <c r="A632" s="37">
        <v>629</v>
      </c>
      <c r="B632" s="38"/>
      <c r="C632" s="37"/>
      <c r="D632" s="39"/>
      <c r="E632" s="39"/>
      <c r="F632" s="37"/>
      <c r="G632" s="37"/>
      <c r="H632" s="41"/>
      <c r="I632" s="37"/>
      <c r="J632" s="42"/>
      <c r="K632" s="43"/>
      <c r="L632" s="42"/>
      <c r="M632" s="12">
        <v>633</v>
      </c>
    </row>
    <row r="633" spans="1:13" x14ac:dyDescent="0.25">
      <c r="A633" s="37">
        <v>630</v>
      </c>
      <c r="B633" s="38"/>
      <c r="C633" s="37"/>
      <c r="D633" s="39"/>
      <c r="E633" s="39"/>
      <c r="F633" s="37"/>
      <c r="G633" s="37"/>
      <c r="H633" s="41"/>
      <c r="I633" s="37"/>
      <c r="J633" s="42"/>
      <c r="K633" s="43"/>
      <c r="L633" s="42"/>
      <c r="M633" s="12">
        <v>634</v>
      </c>
    </row>
    <row r="634" spans="1:13" x14ac:dyDescent="0.25">
      <c r="A634" s="37">
        <v>631</v>
      </c>
      <c r="B634" s="38"/>
      <c r="C634" s="37"/>
      <c r="D634" s="39"/>
      <c r="E634" s="39"/>
      <c r="F634" s="37"/>
      <c r="G634" s="37"/>
      <c r="H634" s="41"/>
      <c r="I634" s="37"/>
      <c r="J634" s="42"/>
      <c r="K634" s="43"/>
      <c r="L634" s="42"/>
      <c r="M634" s="12">
        <v>635</v>
      </c>
    </row>
    <row r="635" spans="1:13" x14ac:dyDescent="0.25">
      <c r="A635" s="37">
        <v>632</v>
      </c>
      <c r="B635" s="38"/>
      <c r="C635" s="37"/>
      <c r="D635" s="39"/>
      <c r="E635" s="39"/>
      <c r="F635" s="37"/>
      <c r="G635" s="37"/>
      <c r="H635" s="41"/>
      <c r="I635" s="37"/>
      <c r="J635" s="42"/>
      <c r="K635" s="43"/>
      <c r="L635" s="42"/>
      <c r="M635" s="12">
        <v>636</v>
      </c>
    </row>
    <row r="636" spans="1:13" x14ac:dyDescent="0.25">
      <c r="A636" s="37">
        <v>633</v>
      </c>
      <c r="B636" s="38"/>
      <c r="C636" s="37"/>
      <c r="D636" s="39"/>
      <c r="E636" s="39"/>
      <c r="F636" s="37"/>
      <c r="G636" s="37"/>
      <c r="H636" s="41"/>
      <c r="I636" s="37"/>
      <c r="J636" s="42"/>
      <c r="K636" s="43"/>
      <c r="L636" s="42"/>
      <c r="M636" s="12">
        <v>637</v>
      </c>
    </row>
    <row r="637" spans="1:13" x14ac:dyDescent="0.25">
      <c r="A637" s="37">
        <v>634</v>
      </c>
      <c r="B637" s="38"/>
      <c r="C637" s="37"/>
      <c r="D637" s="39"/>
      <c r="E637" s="39"/>
      <c r="F637" s="37"/>
      <c r="G637" s="37"/>
      <c r="H637" s="41"/>
      <c r="I637" s="37"/>
      <c r="J637" s="42"/>
      <c r="K637" s="43"/>
      <c r="L637" s="42"/>
      <c r="M637" s="12">
        <v>638</v>
      </c>
    </row>
    <row r="638" spans="1:13" x14ac:dyDescent="0.25">
      <c r="A638" s="37">
        <v>635</v>
      </c>
      <c r="B638" s="38"/>
      <c r="C638" s="37"/>
      <c r="D638" s="39"/>
      <c r="E638" s="39"/>
      <c r="F638" s="37"/>
      <c r="G638" s="37"/>
      <c r="H638" s="41"/>
      <c r="I638" s="37"/>
      <c r="J638" s="42"/>
      <c r="K638" s="43"/>
      <c r="L638" s="42"/>
      <c r="M638" s="12">
        <v>640</v>
      </c>
    </row>
    <row r="639" spans="1:13" x14ac:dyDescent="0.25">
      <c r="A639" s="37">
        <v>636</v>
      </c>
      <c r="B639" s="38"/>
      <c r="C639" s="37"/>
      <c r="D639" s="39"/>
      <c r="E639" s="39"/>
      <c r="F639" s="37"/>
      <c r="G639" s="37"/>
      <c r="H639" s="41"/>
      <c r="I639" s="37"/>
      <c r="J639" s="42"/>
      <c r="K639" s="43"/>
      <c r="L639" s="42"/>
      <c r="M639" s="12"/>
    </row>
    <row r="640" spans="1:13" x14ac:dyDescent="0.25">
      <c r="A640" s="37">
        <v>637</v>
      </c>
      <c r="B640" s="38"/>
      <c r="C640" s="37"/>
      <c r="D640" s="39"/>
      <c r="E640" s="39"/>
      <c r="F640" s="37"/>
      <c r="G640" s="37"/>
      <c r="H640" s="41"/>
      <c r="I640" s="37"/>
      <c r="J640" s="42"/>
      <c r="K640" s="43"/>
      <c r="L640" s="42"/>
      <c r="M640" s="12">
        <v>641</v>
      </c>
    </row>
    <row r="641" spans="1:13" x14ac:dyDescent="0.25">
      <c r="A641" s="37">
        <v>638</v>
      </c>
      <c r="B641" s="38"/>
      <c r="C641" s="37"/>
      <c r="D641" s="39"/>
      <c r="E641" s="39"/>
      <c r="F641" s="37"/>
      <c r="G641" s="37"/>
      <c r="H641" s="41"/>
      <c r="I641" s="37"/>
      <c r="J641" s="42"/>
      <c r="K641" s="43"/>
      <c r="L641" s="42"/>
      <c r="M641" s="12">
        <v>642</v>
      </c>
    </row>
    <row r="642" spans="1:13" x14ac:dyDescent="0.25">
      <c r="A642" s="37">
        <v>639</v>
      </c>
      <c r="B642" s="38"/>
      <c r="C642" s="37"/>
      <c r="D642" s="39"/>
      <c r="E642" s="39"/>
      <c r="F642" s="37"/>
      <c r="G642" s="37"/>
      <c r="H642" s="41"/>
      <c r="I642" s="37"/>
      <c r="J642" s="42"/>
      <c r="K642" s="43"/>
      <c r="L642" s="42"/>
      <c r="M642" s="12">
        <v>643</v>
      </c>
    </row>
    <row r="643" spans="1:13" x14ac:dyDescent="0.25">
      <c r="A643" s="37">
        <v>640</v>
      </c>
      <c r="B643" s="38"/>
      <c r="C643" s="37"/>
      <c r="D643" s="39"/>
      <c r="E643" s="39"/>
      <c r="F643" s="37"/>
      <c r="G643" s="37"/>
      <c r="H643" s="41"/>
      <c r="I643" s="37"/>
      <c r="J643" s="42"/>
      <c r="K643" s="43"/>
      <c r="L643" s="42"/>
      <c r="M643" s="12">
        <v>644</v>
      </c>
    </row>
    <row r="644" spans="1:13" x14ac:dyDescent="0.25">
      <c r="A644" s="37">
        <v>641</v>
      </c>
      <c r="B644" s="38"/>
      <c r="C644" s="37"/>
      <c r="D644" s="39"/>
      <c r="E644" s="39"/>
      <c r="F644" s="37"/>
      <c r="G644" s="37"/>
      <c r="H644" s="41"/>
      <c r="I644" s="37"/>
      <c r="J644" s="42"/>
      <c r="K644" s="43"/>
      <c r="L644" s="42"/>
      <c r="M644" s="12">
        <v>645</v>
      </c>
    </row>
    <row r="645" spans="1:13" x14ac:dyDescent="0.25">
      <c r="A645" s="37">
        <v>642</v>
      </c>
      <c r="B645" s="38"/>
      <c r="C645" s="37"/>
      <c r="D645" s="39"/>
      <c r="E645" s="39"/>
      <c r="F645" s="37"/>
      <c r="G645" s="37"/>
      <c r="H645" s="41"/>
      <c r="I645" s="37"/>
      <c r="J645" s="42"/>
      <c r="K645" s="43"/>
      <c r="L645" s="42"/>
      <c r="M645" s="12">
        <v>646</v>
      </c>
    </row>
    <row r="646" spans="1:13" x14ac:dyDescent="0.25">
      <c r="A646" s="37">
        <v>643</v>
      </c>
      <c r="B646" s="38"/>
      <c r="C646" s="37"/>
      <c r="D646" s="39"/>
      <c r="E646" s="39"/>
      <c r="F646" s="37"/>
      <c r="G646" s="37"/>
      <c r="H646" s="41"/>
      <c r="I646" s="37"/>
      <c r="J646" s="42"/>
      <c r="K646" s="43"/>
      <c r="L646" s="42"/>
      <c r="M646" s="12">
        <v>647</v>
      </c>
    </row>
    <row r="647" spans="1:13" x14ac:dyDescent="0.25">
      <c r="A647" s="37">
        <v>644</v>
      </c>
      <c r="B647" s="38"/>
      <c r="C647" s="37"/>
      <c r="D647" s="39"/>
      <c r="E647" s="39"/>
      <c r="F647" s="37"/>
      <c r="G647" s="37"/>
      <c r="H647" s="41"/>
      <c r="I647" s="37"/>
      <c r="J647" s="42"/>
      <c r="K647" s="43"/>
      <c r="L647" s="42"/>
      <c r="M647" s="12">
        <v>648</v>
      </c>
    </row>
    <row r="648" spans="1:13" x14ac:dyDescent="0.25">
      <c r="A648" s="37">
        <v>645</v>
      </c>
      <c r="B648" s="38"/>
      <c r="C648" s="37"/>
      <c r="D648" s="39"/>
      <c r="E648" s="39"/>
      <c r="F648" s="37"/>
      <c r="G648" s="37"/>
      <c r="H648" s="41"/>
      <c r="I648" s="37"/>
      <c r="J648" s="42"/>
      <c r="K648" s="43"/>
      <c r="L648" s="42"/>
      <c r="M648" s="12">
        <v>649</v>
      </c>
    </row>
    <row r="649" spans="1:13" x14ac:dyDescent="0.25">
      <c r="A649" s="37">
        <v>646</v>
      </c>
      <c r="B649" s="38"/>
      <c r="C649" s="37"/>
      <c r="D649" s="39"/>
      <c r="E649" s="39"/>
      <c r="F649" s="37"/>
      <c r="G649" s="37"/>
      <c r="H649" s="41"/>
      <c r="I649" s="37"/>
      <c r="J649" s="42"/>
      <c r="K649" s="43"/>
      <c r="L649" s="42"/>
      <c r="M649" s="12">
        <v>650</v>
      </c>
    </row>
    <row r="650" spans="1:13" x14ac:dyDescent="0.25">
      <c r="A650" s="37">
        <v>647</v>
      </c>
      <c r="B650" s="38"/>
      <c r="C650" s="37"/>
      <c r="D650" s="39"/>
      <c r="E650" s="39"/>
      <c r="F650" s="37"/>
      <c r="G650" s="37"/>
      <c r="H650" s="41"/>
      <c r="I650" s="37"/>
      <c r="J650" s="42"/>
      <c r="K650" s="43"/>
      <c r="L650" s="42"/>
      <c r="M650" s="12">
        <v>651</v>
      </c>
    </row>
    <row r="651" spans="1:13" x14ac:dyDescent="0.25">
      <c r="A651" s="37">
        <v>648</v>
      </c>
      <c r="B651" s="38"/>
      <c r="C651" s="37"/>
      <c r="D651" s="39"/>
      <c r="E651" s="39"/>
      <c r="F651" s="37"/>
      <c r="G651" s="37"/>
      <c r="H651" s="41"/>
      <c r="I651" s="37"/>
      <c r="J651" s="42"/>
      <c r="K651" s="43"/>
      <c r="L651" s="42"/>
      <c r="M651" s="12">
        <v>652</v>
      </c>
    </row>
    <row r="652" spans="1:13" x14ac:dyDescent="0.25">
      <c r="A652" s="37">
        <v>649</v>
      </c>
      <c r="B652" s="38"/>
      <c r="C652" s="37"/>
      <c r="D652" s="39"/>
      <c r="E652" s="39"/>
      <c r="F652" s="37"/>
      <c r="G652" s="37"/>
      <c r="H652" s="41"/>
      <c r="I652" s="37"/>
      <c r="J652" s="42"/>
      <c r="K652" s="43"/>
      <c r="L652" s="42"/>
      <c r="M652" s="12">
        <v>653</v>
      </c>
    </row>
    <row r="653" spans="1:13" x14ac:dyDescent="0.25">
      <c r="A653" s="37">
        <v>650</v>
      </c>
      <c r="B653" s="38"/>
      <c r="C653" s="37"/>
      <c r="D653" s="39"/>
      <c r="E653" s="39"/>
      <c r="F653" s="37"/>
      <c r="G653" s="37"/>
      <c r="H653" s="41"/>
      <c r="I653" s="37"/>
      <c r="J653" s="42"/>
      <c r="K653" s="43"/>
      <c r="L653" s="42"/>
      <c r="M653" s="12">
        <v>654</v>
      </c>
    </row>
    <row r="654" spans="1:13" x14ac:dyDescent="0.25">
      <c r="A654" s="37">
        <v>651</v>
      </c>
      <c r="B654" s="38"/>
      <c r="C654" s="37"/>
      <c r="D654" s="39"/>
      <c r="E654" s="39"/>
      <c r="F654" s="37"/>
      <c r="G654" s="37"/>
      <c r="H654" s="41"/>
      <c r="I654" s="37"/>
      <c r="J654" s="42"/>
      <c r="K654" s="43"/>
      <c r="L654" s="42"/>
      <c r="M654" s="12">
        <v>655</v>
      </c>
    </row>
    <row r="655" spans="1:13" x14ac:dyDescent="0.25">
      <c r="A655" s="37">
        <v>652</v>
      </c>
      <c r="B655" s="38"/>
      <c r="C655" s="37"/>
      <c r="D655" s="39"/>
      <c r="E655" s="39"/>
      <c r="F655" s="37"/>
      <c r="G655" s="37"/>
      <c r="H655" s="41"/>
      <c r="I655" s="37"/>
      <c r="J655" s="42"/>
      <c r="K655" s="43"/>
      <c r="L655" s="42"/>
      <c r="M655" s="12"/>
    </row>
    <row r="656" spans="1:13" x14ac:dyDescent="0.25">
      <c r="A656" s="37">
        <v>653</v>
      </c>
      <c r="B656" s="31"/>
      <c r="C656" s="30"/>
      <c r="D656" s="32"/>
      <c r="E656" s="32"/>
      <c r="F656" s="30"/>
      <c r="G656" s="30"/>
      <c r="H656" s="41"/>
      <c r="I656" s="37"/>
      <c r="J656" s="42"/>
      <c r="K656" s="43"/>
      <c r="L656" s="42"/>
      <c r="M656" s="12">
        <v>657</v>
      </c>
    </row>
    <row r="657" spans="1:13" x14ac:dyDescent="0.25">
      <c r="A657" s="37">
        <v>654</v>
      </c>
      <c r="B657" s="38"/>
      <c r="C657" s="37"/>
      <c r="D657" s="39"/>
      <c r="E657" s="39"/>
      <c r="F657" s="37"/>
      <c r="G657" s="37"/>
      <c r="H657" s="34"/>
      <c r="I657" s="30"/>
      <c r="J657" s="35"/>
      <c r="K657" s="36"/>
      <c r="L657" s="35"/>
      <c r="M657" s="12">
        <v>658</v>
      </c>
    </row>
    <row r="658" spans="1:13" x14ac:dyDescent="0.25">
      <c r="A658" s="37">
        <v>655</v>
      </c>
      <c r="B658" s="38"/>
      <c r="C658" s="37"/>
      <c r="D658" s="39"/>
      <c r="E658" s="39"/>
      <c r="F658" s="37"/>
      <c r="G658" s="37"/>
      <c r="H658" s="41"/>
      <c r="I658" s="37"/>
      <c r="J658" s="42"/>
      <c r="K658" s="43"/>
      <c r="L658" s="42"/>
      <c r="M658" s="12">
        <v>659</v>
      </c>
    </row>
    <row r="659" spans="1:13" x14ac:dyDescent="0.25">
      <c r="A659" s="37">
        <v>656</v>
      </c>
      <c r="B659" s="38"/>
      <c r="C659" s="37"/>
      <c r="D659" s="39"/>
      <c r="E659" s="39"/>
      <c r="F659" s="37"/>
      <c r="G659" s="37"/>
      <c r="H659" s="41"/>
      <c r="I659" s="37"/>
      <c r="J659" s="42"/>
      <c r="K659" s="43"/>
      <c r="L659" s="42"/>
      <c r="M659" s="12">
        <v>660</v>
      </c>
    </row>
    <row r="660" spans="1:13" x14ac:dyDescent="0.25">
      <c r="A660" s="37">
        <v>657</v>
      </c>
      <c r="B660" s="38"/>
      <c r="C660" s="37"/>
      <c r="D660" s="39"/>
      <c r="E660" s="39"/>
      <c r="F660" s="37"/>
      <c r="G660" s="37"/>
      <c r="H660" s="41"/>
      <c r="I660" s="37"/>
      <c r="J660" s="42"/>
      <c r="K660" s="43"/>
      <c r="L660" s="42"/>
      <c r="M660" s="12">
        <v>661</v>
      </c>
    </row>
    <row r="661" spans="1:13" x14ac:dyDescent="0.25">
      <c r="A661" s="37">
        <v>658</v>
      </c>
      <c r="B661" s="38"/>
      <c r="C661" s="37"/>
      <c r="D661" s="39"/>
      <c r="E661" s="39"/>
      <c r="F661" s="37"/>
      <c r="G661" s="37"/>
      <c r="H661" s="41"/>
      <c r="I661" s="37"/>
      <c r="J661" s="42"/>
      <c r="K661" s="43"/>
      <c r="L661" s="42"/>
      <c r="M661" s="12">
        <v>662</v>
      </c>
    </row>
    <row r="662" spans="1:13" x14ac:dyDescent="0.25">
      <c r="A662" s="37">
        <v>659</v>
      </c>
      <c r="B662" s="38"/>
      <c r="C662" s="37"/>
      <c r="D662" s="39"/>
      <c r="E662" s="39"/>
      <c r="F662" s="37"/>
      <c r="G662" s="37"/>
      <c r="H662" s="41"/>
      <c r="I662" s="37"/>
      <c r="J662" s="42"/>
      <c r="K662" s="43"/>
      <c r="L662" s="42"/>
      <c r="M662" s="12">
        <v>663</v>
      </c>
    </row>
    <row r="663" spans="1:13" x14ac:dyDescent="0.25">
      <c r="A663" s="37">
        <v>660</v>
      </c>
      <c r="B663" s="38"/>
      <c r="C663" s="37"/>
      <c r="D663" s="39"/>
      <c r="E663" s="39"/>
      <c r="F663" s="37"/>
      <c r="G663" s="37"/>
      <c r="H663" s="41"/>
      <c r="I663" s="37"/>
      <c r="J663" s="42"/>
      <c r="K663" s="43"/>
      <c r="L663" s="42"/>
      <c r="M663" s="12">
        <v>664</v>
      </c>
    </row>
    <row r="664" spans="1:13" x14ac:dyDescent="0.25">
      <c r="A664" s="37">
        <v>661</v>
      </c>
      <c r="B664" s="38"/>
      <c r="C664" s="37"/>
      <c r="D664" s="39"/>
      <c r="E664" s="39"/>
      <c r="F664" s="37"/>
      <c r="G664" s="37"/>
      <c r="H664" s="41"/>
      <c r="I664" s="37"/>
      <c r="J664" s="42"/>
      <c r="K664" s="43"/>
      <c r="L664" s="42"/>
      <c r="M664" s="12">
        <v>665</v>
      </c>
    </row>
    <row r="665" spans="1:13" x14ac:dyDescent="0.25">
      <c r="A665" s="37">
        <v>662</v>
      </c>
      <c r="B665" s="38"/>
      <c r="C665" s="37"/>
      <c r="D665" s="39"/>
      <c r="E665" s="39"/>
      <c r="F665" s="37"/>
      <c r="G665" s="37"/>
      <c r="H665" s="41"/>
      <c r="I665" s="37"/>
      <c r="J665" s="42"/>
      <c r="K665" s="43"/>
      <c r="L665" s="42"/>
      <c r="M665" s="12">
        <v>666</v>
      </c>
    </row>
    <row r="666" spans="1:13" x14ac:dyDescent="0.25">
      <c r="A666" s="37">
        <v>663</v>
      </c>
      <c r="B666" s="38"/>
      <c r="C666" s="37"/>
      <c r="D666" s="39"/>
      <c r="E666" s="39"/>
      <c r="F666" s="37"/>
      <c r="G666" s="37"/>
      <c r="H666" s="41"/>
      <c r="I666" s="37"/>
      <c r="J666" s="42"/>
      <c r="K666" s="43"/>
      <c r="L666" s="42"/>
      <c r="M666" s="12">
        <v>667</v>
      </c>
    </row>
    <row r="667" spans="1:13" x14ac:dyDescent="0.25">
      <c r="A667" s="30">
        <v>664</v>
      </c>
      <c r="B667" s="38"/>
      <c r="C667" s="37"/>
      <c r="D667" s="39"/>
      <c r="E667" s="39"/>
      <c r="F667" s="37"/>
      <c r="G667" s="37"/>
      <c r="H667" s="41"/>
      <c r="I667" s="37"/>
      <c r="J667" s="42"/>
      <c r="K667" s="43"/>
      <c r="L667" s="42"/>
      <c r="M667" s="12">
        <v>668</v>
      </c>
    </row>
    <row r="668" spans="1:13" x14ac:dyDescent="0.25">
      <c r="A668" s="37">
        <v>665</v>
      </c>
      <c r="B668" s="38"/>
      <c r="C668" s="37"/>
      <c r="D668" s="39"/>
      <c r="E668" s="39"/>
      <c r="F668" s="37"/>
      <c r="G668" s="37"/>
      <c r="H668" s="41"/>
      <c r="I668" s="37"/>
      <c r="J668" s="42"/>
      <c r="K668" s="43"/>
      <c r="L668" s="42"/>
      <c r="M668" s="12">
        <v>669</v>
      </c>
    </row>
    <row r="669" spans="1:13" x14ac:dyDescent="0.25">
      <c r="A669" s="37">
        <v>666</v>
      </c>
      <c r="B669" s="38"/>
      <c r="C669" s="37"/>
      <c r="D669" s="39"/>
      <c r="E669" s="39"/>
      <c r="F669" s="37"/>
      <c r="G669" s="37"/>
      <c r="H669" s="41"/>
      <c r="I669" s="37"/>
      <c r="J669" s="42"/>
      <c r="K669" s="43"/>
      <c r="L669" s="42"/>
      <c r="M669" s="12">
        <v>670</v>
      </c>
    </row>
    <row r="670" spans="1:13" x14ac:dyDescent="0.25">
      <c r="A670" s="37">
        <v>667</v>
      </c>
      <c r="B670" s="38"/>
      <c r="C670" s="37"/>
      <c r="D670" s="39"/>
      <c r="E670" s="39"/>
      <c r="F670" s="37"/>
      <c r="G670" s="37"/>
      <c r="H670" s="41"/>
      <c r="I670" s="37"/>
      <c r="J670" s="42"/>
      <c r="K670" s="43"/>
      <c r="L670" s="42"/>
      <c r="M670" s="12">
        <v>671</v>
      </c>
    </row>
    <row r="671" spans="1:13" x14ac:dyDescent="0.25">
      <c r="A671" s="37">
        <v>668</v>
      </c>
      <c r="B671" s="38"/>
      <c r="C671" s="37"/>
      <c r="D671" s="39"/>
      <c r="E671" s="39"/>
      <c r="F671" s="37"/>
      <c r="G671" s="37"/>
      <c r="H671" s="41"/>
      <c r="I671" s="37"/>
      <c r="J671" s="42"/>
      <c r="K671" s="43"/>
      <c r="L671" s="42"/>
      <c r="M671" s="12">
        <v>672</v>
      </c>
    </row>
    <row r="672" spans="1:13" x14ac:dyDescent="0.25">
      <c r="A672" s="37">
        <v>669</v>
      </c>
      <c r="B672" s="38"/>
      <c r="C672" s="37"/>
      <c r="D672" s="39"/>
      <c r="E672" s="39"/>
      <c r="F672" s="37"/>
      <c r="G672" s="37"/>
      <c r="H672" s="41"/>
      <c r="I672" s="37"/>
      <c r="J672" s="42"/>
      <c r="K672" s="42"/>
      <c r="L672" s="42"/>
      <c r="M672" s="12">
        <v>673</v>
      </c>
    </row>
    <row r="673" spans="1:13" x14ac:dyDescent="0.25">
      <c r="A673" s="37">
        <v>670</v>
      </c>
      <c r="B673" s="38"/>
      <c r="C673" s="37"/>
      <c r="D673" s="39"/>
      <c r="E673" s="39"/>
      <c r="F673" s="37"/>
      <c r="G673" s="37"/>
      <c r="H673" s="41"/>
      <c r="I673" s="37"/>
      <c r="J673" s="42"/>
      <c r="K673" s="43"/>
      <c r="L673" s="42"/>
      <c r="M673" s="12">
        <v>674</v>
      </c>
    </row>
    <row r="674" spans="1:13" x14ac:dyDescent="0.25">
      <c r="A674" s="37">
        <v>671</v>
      </c>
      <c r="B674" s="38"/>
      <c r="C674" s="37"/>
      <c r="D674" s="39"/>
      <c r="E674" s="39"/>
      <c r="F674" s="37"/>
      <c r="G674" s="37"/>
      <c r="H674" s="41"/>
      <c r="I674" s="37"/>
      <c r="J674" s="42"/>
      <c r="K674" s="43"/>
      <c r="L674" s="42"/>
      <c r="M674" s="12">
        <v>675</v>
      </c>
    </row>
    <row r="675" spans="1:13" x14ac:dyDescent="0.25">
      <c r="A675" s="37">
        <v>672</v>
      </c>
      <c r="B675" s="38"/>
      <c r="C675" s="37"/>
      <c r="D675" s="39"/>
      <c r="E675" s="39"/>
      <c r="F675" s="37"/>
      <c r="G675" s="37"/>
      <c r="H675" s="41"/>
      <c r="I675" s="37"/>
      <c r="J675" s="42"/>
      <c r="K675" s="43"/>
      <c r="L675" s="42"/>
      <c r="M675" s="12">
        <v>676</v>
      </c>
    </row>
    <row r="676" spans="1:13" x14ac:dyDescent="0.25">
      <c r="A676" s="37">
        <v>673</v>
      </c>
      <c r="B676" s="38"/>
      <c r="C676" s="37"/>
      <c r="D676" s="39"/>
      <c r="E676" s="39"/>
      <c r="F676" s="37"/>
      <c r="G676" s="37"/>
      <c r="H676" s="41"/>
      <c r="I676" s="37"/>
      <c r="J676" s="42"/>
      <c r="K676" s="43"/>
      <c r="L676" s="42"/>
      <c r="M676" s="12">
        <v>677</v>
      </c>
    </row>
    <row r="677" spans="1:13" x14ac:dyDescent="0.25">
      <c r="A677" s="37">
        <v>674</v>
      </c>
      <c r="B677" s="38"/>
      <c r="C677" s="37"/>
      <c r="D677" s="39"/>
      <c r="E677" s="39"/>
      <c r="F677" s="37"/>
      <c r="G677" s="37"/>
      <c r="H677" s="41"/>
      <c r="I677" s="37"/>
      <c r="J677" s="42"/>
      <c r="K677" s="43"/>
      <c r="L677" s="42"/>
      <c r="M677" s="12">
        <v>678</v>
      </c>
    </row>
    <row r="678" spans="1:13" x14ac:dyDescent="0.25">
      <c r="A678" s="37">
        <v>675</v>
      </c>
      <c r="B678" s="38"/>
      <c r="C678" s="37"/>
      <c r="D678" s="39"/>
      <c r="E678" s="39"/>
      <c r="F678" s="37"/>
      <c r="G678" s="37"/>
      <c r="H678" s="41"/>
      <c r="I678" s="37"/>
      <c r="J678" s="42"/>
      <c r="K678" s="43"/>
      <c r="L678" s="42"/>
      <c r="M678" s="12">
        <v>679</v>
      </c>
    </row>
    <row r="679" spans="1:13" x14ac:dyDescent="0.25">
      <c r="A679" s="37">
        <v>676</v>
      </c>
      <c r="B679" s="38"/>
      <c r="C679" s="37"/>
      <c r="D679" s="39"/>
      <c r="E679" s="39"/>
      <c r="F679" s="37"/>
      <c r="G679" s="37"/>
      <c r="H679" s="41"/>
      <c r="I679" s="37"/>
      <c r="J679" s="42"/>
      <c r="K679" s="43"/>
      <c r="L679" s="42"/>
      <c r="M679" s="12">
        <v>680</v>
      </c>
    </row>
    <row r="680" spans="1:13" x14ac:dyDescent="0.25">
      <c r="A680" s="37">
        <v>677</v>
      </c>
      <c r="B680" s="38"/>
      <c r="C680" s="37"/>
      <c r="D680" s="39"/>
      <c r="E680" s="39"/>
      <c r="F680" s="37"/>
      <c r="G680" s="37"/>
      <c r="H680" s="41"/>
      <c r="I680" s="37"/>
      <c r="J680" s="42"/>
      <c r="K680" s="43"/>
      <c r="L680" s="42"/>
      <c r="M680" s="12">
        <v>681</v>
      </c>
    </row>
    <row r="681" spans="1:13" x14ac:dyDescent="0.25">
      <c r="A681" s="37">
        <v>678</v>
      </c>
      <c r="B681" s="38"/>
      <c r="C681" s="37"/>
      <c r="D681" s="39"/>
      <c r="E681" s="39"/>
      <c r="F681" s="37"/>
      <c r="G681" s="37"/>
      <c r="H681" s="41"/>
      <c r="I681" s="37"/>
      <c r="J681" s="42"/>
      <c r="K681" s="43"/>
      <c r="L681" s="42"/>
      <c r="M681" s="12">
        <v>682</v>
      </c>
    </row>
    <row r="682" spans="1:13" x14ac:dyDescent="0.25">
      <c r="A682" s="37">
        <v>679</v>
      </c>
      <c r="B682" s="38"/>
      <c r="C682" s="37"/>
      <c r="D682" s="39"/>
      <c r="E682" s="39"/>
      <c r="F682" s="37"/>
      <c r="G682" s="37"/>
      <c r="H682" s="41"/>
      <c r="I682" s="37"/>
      <c r="J682" s="42"/>
      <c r="K682" s="43"/>
      <c r="L682" s="42"/>
      <c r="M682" s="12">
        <v>683</v>
      </c>
    </row>
    <row r="683" spans="1:13" x14ac:dyDescent="0.25">
      <c r="A683" s="37">
        <v>680</v>
      </c>
      <c r="B683" s="38"/>
      <c r="C683" s="37"/>
      <c r="D683" s="39"/>
      <c r="E683" s="39"/>
      <c r="F683" s="37"/>
      <c r="G683" s="37"/>
      <c r="H683" s="41"/>
      <c r="I683" s="37"/>
      <c r="J683" s="42"/>
      <c r="K683" s="43"/>
      <c r="L683" s="42"/>
      <c r="M683" s="12">
        <v>684</v>
      </c>
    </row>
    <row r="684" spans="1:13" x14ac:dyDescent="0.25">
      <c r="A684" s="37">
        <v>681</v>
      </c>
      <c r="B684" s="38"/>
      <c r="C684" s="37"/>
      <c r="D684" s="39"/>
      <c r="E684" s="39"/>
      <c r="F684" s="37"/>
      <c r="G684" s="37"/>
      <c r="H684" s="41"/>
      <c r="I684" s="37"/>
      <c r="J684" s="42"/>
      <c r="K684" s="43"/>
      <c r="L684" s="42"/>
      <c r="M684" s="12">
        <v>685</v>
      </c>
    </row>
    <row r="685" spans="1:13" x14ac:dyDescent="0.25">
      <c r="A685" s="37">
        <v>682</v>
      </c>
      <c r="B685" s="38"/>
      <c r="C685" s="37"/>
      <c r="D685" s="39"/>
      <c r="E685" s="39"/>
      <c r="F685" s="37"/>
      <c r="G685" s="37"/>
      <c r="H685" s="41"/>
      <c r="I685" s="37"/>
      <c r="J685" s="42"/>
      <c r="K685" s="43"/>
      <c r="L685" s="42"/>
      <c r="M685" s="12">
        <v>686</v>
      </c>
    </row>
    <row r="686" spans="1:13" x14ac:dyDescent="0.25">
      <c r="A686" s="37">
        <v>683</v>
      </c>
      <c r="B686" s="38"/>
      <c r="C686" s="37"/>
      <c r="D686" s="39"/>
      <c r="E686" s="39"/>
      <c r="F686" s="37"/>
      <c r="G686" s="37"/>
      <c r="H686" s="41"/>
      <c r="I686" s="37"/>
      <c r="J686" s="42"/>
      <c r="K686" s="43"/>
      <c r="L686" s="42"/>
      <c r="M686" s="12">
        <v>687</v>
      </c>
    </row>
    <row r="687" spans="1:13" x14ac:dyDescent="0.25">
      <c r="A687" s="37">
        <v>684</v>
      </c>
      <c r="B687" s="38"/>
      <c r="C687" s="37"/>
      <c r="D687" s="39"/>
      <c r="E687" s="39"/>
      <c r="F687" s="37"/>
      <c r="G687" s="37"/>
      <c r="H687" s="41"/>
      <c r="I687" s="37"/>
      <c r="J687" s="42"/>
      <c r="K687" s="43"/>
      <c r="L687" s="42"/>
      <c r="M687" s="12">
        <v>688</v>
      </c>
    </row>
    <row r="688" spans="1:13" x14ac:dyDescent="0.25">
      <c r="A688" s="37">
        <v>685</v>
      </c>
      <c r="B688" s="38"/>
      <c r="C688" s="37"/>
      <c r="D688" s="39"/>
      <c r="E688" s="39"/>
      <c r="F688" s="37"/>
      <c r="G688" s="37"/>
      <c r="H688" s="41"/>
      <c r="I688" s="37"/>
      <c r="J688" s="42"/>
      <c r="K688" s="43"/>
      <c r="L688" s="42"/>
      <c r="M688" s="12">
        <v>689</v>
      </c>
    </row>
    <row r="689" spans="1:13" x14ac:dyDescent="0.25">
      <c r="A689" s="37">
        <v>686</v>
      </c>
      <c r="B689" s="38"/>
      <c r="C689" s="37"/>
      <c r="D689" s="39"/>
      <c r="E689" s="39"/>
      <c r="F689" s="37"/>
      <c r="G689" s="37"/>
      <c r="H689" s="41"/>
      <c r="I689" s="37"/>
      <c r="J689" s="42"/>
      <c r="K689" s="43"/>
      <c r="L689" s="42"/>
      <c r="M689" s="12">
        <v>690</v>
      </c>
    </row>
    <row r="690" spans="1:13" x14ac:dyDescent="0.25">
      <c r="A690" s="37">
        <v>687</v>
      </c>
      <c r="B690" s="38"/>
      <c r="C690" s="37"/>
      <c r="D690" s="39"/>
      <c r="E690" s="39"/>
      <c r="F690" s="37"/>
      <c r="G690" s="37"/>
      <c r="H690" s="41"/>
      <c r="I690" s="37"/>
      <c r="J690" s="42"/>
      <c r="K690" s="43"/>
      <c r="L690" s="42"/>
      <c r="M690" s="12">
        <v>691</v>
      </c>
    </row>
    <row r="691" spans="1:13" x14ac:dyDescent="0.25">
      <c r="A691" s="38">
        <v>689</v>
      </c>
      <c r="B691" s="38"/>
      <c r="C691" s="37"/>
      <c r="D691" s="39"/>
      <c r="E691" s="39"/>
      <c r="F691" s="37"/>
      <c r="G691" s="37"/>
      <c r="H691" s="41"/>
      <c r="I691" s="37"/>
      <c r="J691" s="42"/>
      <c r="K691" s="43"/>
      <c r="L691" s="42"/>
      <c r="M691" s="12">
        <v>692</v>
      </c>
    </row>
    <row r="692" spans="1:13" x14ac:dyDescent="0.25">
      <c r="A692" s="37">
        <v>690</v>
      </c>
      <c r="B692" s="38"/>
      <c r="C692" s="37"/>
      <c r="D692" s="39"/>
      <c r="E692" s="39"/>
      <c r="F692" s="37"/>
      <c r="G692" s="37"/>
      <c r="H692" s="41"/>
      <c r="I692" s="37"/>
      <c r="J692" s="42"/>
      <c r="K692" s="43"/>
      <c r="L692" s="42"/>
      <c r="M692" s="12">
        <v>693</v>
      </c>
    </row>
    <row r="693" spans="1:13" x14ac:dyDescent="0.25">
      <c r="A693" s="37">
        <v>691</v>
      </c>
      <c r="B693" s="38"/>
      <c r="C693" s="37"/>
      <c r="D693" s="39"/>
      <c r="E693" s="39"/>
      <c r="F693" s="37"/>
      <c r="G693" s="37"/>
      <c r="H693" s="41"/>
      <c r="I693" s="37"/>
      <c r="J693" s="42"/>
      <c r="K693" s="43"/>
      <c r="L693" s="42"/>
      <c r="M693" s="12">
        <v>694</v>
      </c>
    </row>
    <row r="694" spans="1:13" x14ac:dyDescent="0.25">
      <c r="A694" s="37">
        <v>692</v>
      </c>
      <c r="B694" s="38"/>
      <c r="C694" s="37"/>
      <c r="D694" s="39"/>
      <c r="E694" s="39"/>
      <c r="F694" s="37"/>
      <c r="G694" s="37"/>
      <c r="H694" s="41"/>
      <c r="I694" s="37"/>
      <c r="J694" s="42"/>
      <c r="K694" s="43"/>
      <c r="L694" s="42"/>
      <c r="M694" s="12">
        <v>695</v>
      </c>
    </row>
    <row r="695" spans="1:13" x14ac:dyDescent="0.25">
      <c r="A695" s="37">
        <v>693</v>
      </c>
      <c r="B695" s="38"/>
      <c r="C695" s="37"/>
      <c r="D695" s="39"/>
      <c r="E695" s="39"/>
      <c r="F695" s="37"/>
      <c r="G695" s="37"/>
      <c r="H695" s="41"/>
      <c r="I695" s="37"/>
      <c r="J695" s="42"/>
      <c r="K695" s="43"/>
      <c r="L695" s="42"/>
      <c r="M695" s="12">
        <v>696</v>
      </c>
    </row>
    <row r="696" spans="1:13" x14ac:dyDescent="0.25">
      <c r="A696" s="37">
        <v>694</v>
      </c>
      <c r="B696" s="38"/>
      <c r="C696" s="37"/>
      <c r="D696" s="39"/>
      <c r="E696" s="39"/>
      <c r="F696" s="37"/>
      <c r="G696" s="37"/>
      <c r="H696" s="41"/>
      <c r="I696" s="37"/>
      <c r="J696" s="42"/>
      <c r="K696" s="43"/>
      <c r="L696" s="42"/>
      <c r="M696" s="12">
        <v>697</v>
      </c>
    </row>
    <row r="697" spans="1:13" x14ac:dyDescent="0.25">
      <c r="A697" s="37">
        <v>695</v>
      </c>
      <c r="B697" s="38"/>
      <c r="C697" s="37"/>
      <c r="D697" s="39"/>
      <c r="E697" s="39"/>
      <c r="F697" s="37"/>
      <c r="G697" s="37"/>
      <c r="H697" s="41"/>
      <c r="I697" s="37"/>
      <c r="J697" s="42"/>
      <c r="K697" s="43"/>
      <c r="L697" s="42"/>
      <c r="M697" s="12">
        <v>698</v>
      </c>
    </row>
    <row r="698" spans="1:13" x14ac:dyDescent="0.25">
      <c r="A698" s="37">
        <v>696</v>
      </c>
      <c r="B698" s="38"/>
      <c r="C698" s="37"/>
      <c r="D698" s="39"/>
      <c r="E698" s="39"/>
      <c r="F698" s="37"/>
      <c r="G698" s="37"/>
      <c r="H698" s="41"/>
      <c r="I698" s="37"/>
      <c r="J698" s="42"/>
      <c r="K698" s="43"/>
      <c r="L698" s="42"/>
      <c r="M698" s="12">
        <v>699</v>
      </c>
    </row>
    <row r="699" spans="1:13" x14ac:dyDescent="0.25">
      <c r="A699" s="37">
        <v>697</v>
      </c>
      <c r="B699" s="38"/>
      <c r="C699" s="37"/>
      <c r="D699" s="39"/>
      <c r="E699" s="39"/>
      <c r="F699" s="37"/>
      <c r="G699" s="37"/>
      <c r="H699" s="41"/>
      <c r="I699" s="37"/>
      <c r="J699" s="42"/>
      <c r="K699" s="43"/>
      <c r="L699" s="42"/>
      <c r="M699" s="12">
        <v>700</v>
      </c>
    </row>
    <row r="700" spans="1:13" x14ac:dyDescent="0.25">
      <c r="A700" s="37">
        <v>698</v>
      </c>
      <c r="B700" s="38"/>
      <c r="C700" s="37"/>
      <c r="D700" s="39"/>
      <c r="E700" s="39"/>
      <c r="F700" s="37"/>
      <c r="G700" s="37"/>
      <c r="H700" s="41"/>
      <c r="I700" s="37"/>
      <c r="J700" s="42"/>
      <c r="K700" s="43"/>
      <c r="L700" s="42"/>
      <c r="M700" s="12">
        <v>701</v>
      </c>
    </row>
    <row r="701" spans="1:13" x14ac:dyDescent="0.25">
      <c r="A701" s="37">
        <v>699</v>
      </c>
      <c r="B701" s="38"/>
      <c r="C701" s="37"/>
      <c r="D701" s="39"/>
      <c r="E701" s="39"/>
      <c r="F701" s="37"/>
      <c r="G701" s="37"/>
      <c r="H701" s="41"/>
      <c r="I701" s="37"/>
      <c r="J701" s="42"/>
      <c r="K701" s="43"/>
      <c r="L701" s="42"/>
      <c r="M701" s="12">
        <v>702</v>
      </c>
    </row>
    <row r="702" spans="1:13" x14ac:dyDescent="0.25">
      <c r="A702" s="37">
        <v>700</v>
      </c>
      <c r="B702" s="38"/>
      <c r="C702" s="37"/>
      <c r="D702" s="39"/>
      <c r="E702" s="39"/>
      <c r="F702" s="37"/>
      <c r="G702" s="37"/>
      <c r="H702" s="41"/>
      <c r="I702" s="37"/>
      <c r="J702" s="42"/>
      <c r="K702" s="43"/>
      <c r="L702" s="42"/>
      <c r="M702" s="12">
        <v>703</v>
      </c>
    </row>
    <row r="703" spans="1:13" x14ac:dyDescent="0.25">
      <c r="A703" s="37">
        <v>701</v>
      </c>
      <c r="B703" s="31"/>
      <c r="C703" s="30"/>
      <c r="D703" s="32"/>
      <c r="E703" s="32"/>
      <c r="F703" s="30"/>
      <c r="G703" s="30"/>
      <c r="H703" s="41"/>
      <c r="I703" s="37"/>
      <c r="J703" s="42"/>
      <c r="K703" s="43"/>
      <c r="L703" s="42"/>
      <c r="M703" s="12">
        <v>704</v>
      </c>
    </row>
    <row r="704" spans="1:13" x14ac:dyDescent="0.25">
      <c r="A704" s="37">
        <v>702</v>
      </c>
      <c r="B704" s="38"/>
      <c r="C704" s="37"/>
      <c r="D704" s="39"/>
      <c r="E704" s="39"/>
      <c r="F704" s="37"/>
      <c r="G704" s="37"/>
      <c r="H704" s="34"/>
      <c r="I704" s="30"/>
      <c r="J704" s="35"/>
      <c r="K704" s="36"/>
      <c r="L704" s="35"/>
      <c r="M704" s="12">
        <v>705</v>
      </c>
    </row>
    <row r="705" spans="1:13" x14ac:dyDescent="0.25">
      <c r="A705" s="37">
        <v>703</v>
      </c>
      <c r="B705" s="38"/>
      <c r="C705" s="37"/>
      <c r="D705" s="39"/>
      <c r="E705" s="39"/>
      <c r="F705" s="37"/>
      <c r="G705" s="37"/>
      <c r="H705" s="41"/>
      <c r="I705" s="37"/>
      <c r="J705" s="42"/>
      <c r="K705" s="43"/>
      <c r="L705" s="42"/>
      <c r="M705" s="12">
        <v>706</v>
      </c>
    </row>
    <row r="706" spans="1:13" x14ac:dyDescent="0.25">
      <c r="A706" s="37">
        <v>704</v>
      </c>
      <c r="B706" s="38"/>
      <c r="C706" s="37"/>
      <c r="D706" s="39"/>
      <c r="E706" s="39"/>
      <c r="F706" s="37"/>
      <c r="G706" s="37"/>
      <c r="H706" s="41"/>
      <c r="I706" s="37"/>
      <c r="J706" s="42"/>
      <c r="K706" s="42"/>
      <c r="L706" s="42"/>
      <c r="M706" s="12">
        <v>707</v>
      </c>
    </row>
    <row r="707" spans="1:13" x14ac:dyDescent="0.25">
      <c r="A707" s="37">
        <v>705</v>
      </c>
      <c r="B707" s="38"/>
      <c r="C707" s="37"/>
      <c r="D707" s="39"/>
      <c r="E707" s="39"/>
      <c r="F707" s="37"/>
      <c r="G707" s="37"/>
      <c r="H707" s="41"/>
      <c r="I707" s="37"/>
      <c r="J707" s="42"/>
      <c r="K707" s="43"/>
      <c r="L707" s="42"/>
      <c r="M707" s="12">
        <v>708</v>
      </c>
    </row>
    <row r="708" spans="1:13" x14ac:dyDescent="0.25">
      <c r="A708" s="37">
        <v>706</v>
      </c>
      <c r="B708" s="38"/>
      <c r="C708" s="37"/>
      <c r="D708" s="39"/>
      <c r="E708" s="39"/>
      <c r="F708" s="37"/>
      <c r="G708" s="37"/>
      <c r="H708" s="41"/>
      <c r="I708" s="37"/>
      <c r="J708" s="42"/>
      <c r="K708" s="42"/>
      <c r="L708" s="42"/>
      <c r="M708" s="12">
        <v>709</v>
      </c>
    </row>
    <row r="709" spans="1:13" x14ac:dyDescent="0.25">
      <c r="A709" s="37">
        <v>707</v>
      </c>
      <c r="B709" s="31"/>
      <c r="C709" s="30"/>
      <c r="D709" s="32"/>
      <c r="E709" s="32"/>
      <c r="F709" s="30"/>
      <c r="G709" s="30"/>
      <c r="H709" s="41"/>
      <c r="I709" s="37"/>
      <c r="J709" s="42"/>
      <c r="K709" s="43"/>
      <c r="L709" s="42"/>
      <c r="M709" s="12">
        <v>710</v>
      </c>
    </row>
    <row r="710" spans="1:13" x14ac:dyDescent="0.25">
      <c r="A710" s="37">
        <v>708</v>
      </c>
      <c r="B710" s="30"/>
      <c r="C710" s="30"/>
      <c r="D710" s="32"/>
      <c r="E710" s="32"/>
      <c r="F710" s="30"/>
      <c r="G710" s="30"/>
      <c r="H710" s="34"/>
      <c r="I710" s="30"/>
      <c r="J710" s="35"/>
      <c r="K710" s="36"/>
      <c r="L710" s="35"/>
      <c r="M710" s="12">
        <v>711</v>
      </c>
    </row>
    <row r="711" spans="1:13" x14ac:dyDescent="0.25">
      <c r="A711" s="37">
        <v>709</v>
      </c>
      <c r="B711" s="38"/>
      <c r="C711" s="37"/>
      <c r="D711" s="39"/>
      <c r="E711" s="39"/>
      <c r="F711" s="37"/>
      <c r="G711" s="37"/>
      <c r="H711" s="34"/>
      <c r="I711" s="30"/>
      <c r="J711" s="36"/>
      <c r="K711" s="36"/>
      <c r="L711" s="36"/>
      <c r="M711" s="12">
        <v>712</v>
      </c>
    </row>
    <row r="712" spans="1:13" x14ac:dyDescent="0.25">
      <c r="A712" s="37">
        <v>710</v>
      </c>
      <c r="B712" s="38"/>
      <c r="C712" s="37"/>
      <c r="D712" s="39"/>
      <c r="E712" s="39"/>
      <c r="F712" s="37"/>
      <c r="G712" s="37"/>
      <c r="H712" s="41"/>
      <c r="I712" s="37"/>
      <c r="J712" s="42"/>
      <c r="K712" s="42"/>
      <c r="L712" s="42"/>
      <c r="M712" s="12">
        <v>713</v>
      </c>
    </row>
    <row r="713" spans="1:13" x14ac:dyDescent="0.25">
      <c r="A713" s="37">
        <v>711</v>
      </c>
      <c r="B713" s="38"/>
      <c r="C713" s="37"/>
      <c r="D713" s="39"/>
      <c r="E713" s="39"/>
      <c r="F713" s="37"/>
      <c r="G713" s="37"/>
      <c r="H713" s="41"/>
      <c r="I713" s="37"/>
      <c r="J713" s="42"/>
      <c r="K713" s="42"/>
      <c r="L713" s="42"/>
      <c r="M713" s="12">
        <v>714</v>
      </c>
    </row>
    <row r="714" spans="1:13" x14ac:dyDescent="0.25">
      <c r="A714" s="37">
        <v>712</v>
      </c>
      <c r="B714" s="38"/>
      <c r="C714" s="37"/>
      <c r="D714" s="39"/>
      <c r="E714" s="39"/>
      <c r="F714" s="37"/>
      <c r="G714" s="37"/>
      <c r="H714" s="41"/>
      <c r="I714" s="37"/>
      <c r="J714" s="42"/>
      <c r="K714" s="43"/>
      <c r="L714" s="42"/>
      <c r="M714" s="12">
        <v>715</v>
      </c>
    </row>
    <row r="715" spans="1:13" x14ac:dyDescent="0.25">
      <c r="A715" s="37">
        <v>713</v>
      </c>
      <c r="B715" s="38"/>
      <c r="C715" s="37"/>
      <c r="D715" s="39"/>
      <c r="E715" s="39"/>
      <c r="F715" s="37"/>
      <c r="G715" s="37"/>
      <c r="H715" s="41"/>
      <c r="I715" s="37"/>
      <c r="J715" s="42"/>
      <c r="K715" s="43"/>
      <c r="L715" s="42"/>
      <c r="M715" s="12">
        <v>716</v>
      </c>
    </row>
    <row r="716" spans="1:13" x14ac:dyDescent="0.25">
      <c r="A716" s="37">
        <v>714</v>
      </c>
      <c r="B716" s="38"/>
      <c r="C716" s="37"/>
      <c r="D716" s="39"/>
      <c r="E716" s="39"/>
      <c r="F716" s="37"/>
      <c r="G716" s="37"/>
      <c r="H716" s="41"/>
      <c r="I716" s="37"/>
      <c r="J716" s="42"/>
      <c r="K716" s="43"/>
      <c r="L716" s="307"/>
      <c r="M716" s="12">
        <v>717</v>
      </c>
    </row>
    <row r="717" spans="1:13" x14ac:dyDescent="0.25">
      <c r="A717" s="37">
        <v>715</v>
      </c>
      <c r="B717" s="37"/>
      <c r="C717" s="37"/>
      <c r="D717" s="39"/>
      <c r="E717" s="39"/>
      <c r="F717" s="37"/>
      <c r="G717" s="37"/>
      <c r="H717" s="41"/>
      <c r="I717" s="37"/>
      <c r="J717" s="42"/>
      <c r="K717" s="43"/>
      <c r="L717" s="42"/>
      <c r="M717" s="12">
        <v>718</v>
      </c>
    </row>
    <row r="718" spans="1:13" x14ac:dyDescent="0.25">
      <c r="A718" s="37">
        <v>716</v>
      </c>
      <c r="B718" s="38"/>
      <c r="C718" s="37"/>
      <c r="D718" s="39"/>
      <c r="E718" s="39"/>
      <c r="F718" s="37"/>
      <c r="G718" s="37"/>
      <c r="H718" s="41"/>
      <c r="I718" s="37"/>
      <c r="J718" s="42"/>
      <c r="K718" s="36"/>
      <c r="L718" s="36"/>
      <c r="M718" s="12">
        <v>719</v>
      </c>
    </row>
    <row r="719" spans="1:13" x14ac:dyDescent="0.25">
      <c r="A719" s="37">
        <v>717</v>
      </c>
      <c r="B719" s="38"/>
      <c r="C719" s="37"/>
      <c r="D719" s="39"/>
      <c r="E719" s="39"/>
      <c r="F719" s="37"/>
      <c r="G719" s="37"/>
      <c r="H719" s="41"/>
      <c r="I719" s="37"/>
      <c r="J719" s="42"/>
      <c r="K719" s="43"/>
      <c r="L719" s="42"/>
      <c r="M719" s="12">
        <v>720</v>
      </c>
    </row>
    <row r="720" spans="1:13" x14ac:dyDescent="0.25">
      <c r="A720" s="37">
        <v>718</v>
      </c>
      <c r="B720" s="38"/>
      <c r="C720" s="37"/>
      <c r="D720" s="39"/>
      <c r="E720" s="39"/>
      <c r="F720" s="37"/>
      <c r="G720" s="37"/>
      <c r="H720" s="41"/>
      <c r="I720" s="37"/>
      <c r="J720" s="42"/>
      <c r="K720" s="43"/>
      <c r="L720" s="42"/>
      <c r="M720" s="12">
        <v>721</v>
      </c>
    </row>
    <row r="721" spans="1:13" x14ac:dyDescent="0.25">
      <c r="A721" s="37">
        <v>719</v>
      </c>
      <c r="B721" s="38"/>
      <c r="C721" s="37"/>
      <c r="D721" s="39"/>
      <c r="E721" s="39"/>
      <c r="F721" s="37"/>
      <c r="G721" s="37"/>
      <c r="H721" s="41"/>
      <c r="I721" s="37"/>
      <c r="J721" s="42"/>
      <c r="K721" s="43"/>
      <c r="L721" s="42"/>
      <c r="M721" s="12">
        <v>722</v>
      </c>
    </row>
    <row r="722" spans="1:13" x14ac:dyDescent="0.25">
      <c r="A722" s="37">
        <v>720</v>
      </c>
      <c r="B722" s="38"/>
      <c r="C722" s="37"/>
      <c r="D722" s="39"/>
      <c r="E722" s="39"/>
      <c r="F722" s="37"/>
      <c r="G722" s="37"/>
      <c r="H722" s="41"/>
      <c r="I722" s="37"/>
      <c r="J722" s="42"/>
      <c r="K722" s="43"/>
      <c r="L722" s="42"/>
      <c r="M722" s="12">
        <v>723</v>
      </c>
    </row>
    <row r="723" spans="1:13" x14ac:dyDescent="0.25">
      <c r="A723" s="37">
        <v>721</v>
      </c>
      <c r="B723" s="38"/>
      <c r="C723" s="37"/>
      <c r="D723" s="39"/>
      <c r="E723" s="39"/>
      <c r="F723" s="37"/>
      <c r="G723" s="37"/>
      <c r="H723" s="41"/>
      <c r="I723" s="37"/>
      <c r="J723" s="42"/>
      <c r="K723" s="43"/>
      <c r="L723" s="42"/>
      <c r="M723" s="12">
        <v>724</v>
      </c>
    </row>
    <row r="724" spans="1:13" x14ac:dyDescent="0.25">
      <c r="A724" s="37">
        <v>722</v>
      </c>
      <c r="B724" s="38"/>
      <c r="C724" s="37"/>
      <c r="D724" s="39"/>
      <c r="E724" s="39"/>
      <c r="F724" s="37"/>
      <c r="G724" s="37"/>
      <c r="H724" s="41"/>
      <c r="I724" s="37"/>
      <c r="J724" s="42"/>
      <c r="K724" s="43"/>
      <c r="L724" s="42"/>
      <c r="M724" s="12">
        <v>725</v>
      </c>
    </row>
    <row r="725" spans="1:13" x14ac:dyDescent="0.25">
      <c r="A725" s="37">
        <v>723</v>
      </c>
      <c r="B725" s="38"/>
      <c r="C725" s="37"/>
      <c r="D725" s="39"/>
      <c r="E725" s="39"/>
      <c r="F725" s="37"/>
      <c r="G725" s="37"/>
      <c r="H725" s="41"/>
      <c r="I725" s="37"/>
      <c r="J725" s="42"/>
      <c r="K725" s="43"/>
      <c r="L725" s="42"/>
      <c r="M725" s="12">
        <v>726</v>
      </c>
    </row>
    <row r="726" spans="1:13" x14ac:dyDescent="0.25">
      <c r="A726" s="37">
        <v>724</v>
      </c>
      <c r="B726" s="38"/>
      <c r="C726" s="37"/>
      <c r="D726" s="39"/>
      <c r="E726" s="39"/>
      <c r="F726" s="37"/>
      <c r="G726" s="37"/>
      <c r="H726" s="41"/>
      <c r="I726" s="37"/>
      <c r="J726" s="42"/>
      <c r="K726" s="43"/>
      <c r="L726" s="42"/>
      <c r="M726" s="12">
        <v>727</v>
      </c>
    </row>
    <row r="727" spans="1:13" x14ac:dyDescent="0.25">
      <c r="A727" s="37">
        <v>725</v>
      </c>
      <c r="B727" s="38"/>
      <c r="C727" s="37"/>
      <c r="D727" s="39"/>
      <c r="E727" s="39"/>
      <c r="F727" s="37"/>
      <c r="G727" s="37"/>
      <c r="H727" s="41"/>
      <c r="I727" s="37"/>
      <c r="J727" s="42"/>
      <c r="K727" s="43"/>
      <c r="L727" s="42"/>
      <c r="M727" s="12">
        <v>728</v>
      </c>
    </row>
    <row r="728" spans="1:13" x14ac:dyDescent="0.25">
      <c r="A728" s="37">
        <v>726</v>
      </c>
      <c r="B728" s="38"/>
      <c r="C728" s="37"/>
      <c r="D728" s="39"/>
      <c r="E728" s="39"/>
      <c r="F728" s="37"/>
      <c r="G728" s="37"/>
      <c r="H728" s="41"/>
      <c r="I728" s="37"/>
      <c r="J728" s="42"/>
      <c r="K728" s="43"/>
      <c r="L728" s="42"/>
      <c r="M728" s="12">
        <v>729</v>
      </c>
    </row>
    <row r="729" spans="1:13" x14ac:dyDescent="0.25">
      <c r="A729" s="37">
        <v>727</v>
      </c>
      <c r="B729" s="38"/>
      <c r="C729" s="37"/>
      <c r="D729" s="39"/>
      <c r="E729" s="39"/>
      <c r="F729" s="37"/>
      <c r="G729" s="37"/>
      <c r="H729" s="41"/>
      <c r="I729" s="37"/>
      <c r="J729" s="42"/>
      <c r="K729" s="43"/>
      <c r="L729" s="42"/>
      <c r="M729" s="12">
        <v>730</v>
      </c>
    </row>
    <row r="730" spans="1:13" x14ac:dyDescent="0.25">
      <c r="A730" s="37">
        <v>728</v>
      </c>
      <c r="B730" s="38"/>
      <c r="C730" s="37"/>
      <c r="D730" s="39"/>
      <c r="E730" s="39"/>
      <c r="F730" s="37"/>
      <c r="G730" s="37"/>
      <c r="H730" s="41"/>
      <c r="I730" s="37"/>
      <c r="J730" s="42"/>
      <c r="K730" s="43"/>
      <c r="L730" s="42"/>
      <c r="M730" s="12">
        <v>731</v>
      </c>
    </row>
    <row r="731" spans="1:13" x14ac:dyDescent="0.25">
      <c r="A731" s="37">
        <v>729</v>
      </c>
      <c r="B731" s="38"/>
      <c r="C731" s="37"/>
      <c r="D731" s="39"/>
      <c r="E731" s="39"/>
      <c r="F731" s="37"/>
      <c r="G731" s="37"/>
      <c r="H731" s="41"/>
      <c r="I731" s="37"/>
      <c r="J731" s="42"/>
      <c r="K731" s="43"/>
      <c r="L731" s="42"/>
      <c r="M731" s="12">
        <v>732</v>
      </c>
    </row>
    <row r="732" spans="1:13" x14ac:dyDescent="0.25">
      <c r="A732" s="37">
        <v>730</v>
      </c>
      <c r="B732" s="38"/>
      <c r="C732" s="37"/>
      <c r="D732" s="39"/>
      <c r="E732" s="39"/>
      <c r="F732" s="37"/>
      <c r="G732" s="37"/>
      <c r="H732" s="41"/>
      <c r="I732" s="37"/>
      <c r="J732" s="42"/>
      <c r="K732" s="43"/>
      <c r="L732" s="42"/>
      <c r="M732" s="12">
        <v>733</v>
      </c>
    </row>
    <row r="733" spans="1:13" x14ac:dyDescent="0.25">
      <c r="A733" s="37">
        <v>731</v>
      </c>
      <c r="B733" s="38"/>
      <c r="C733" s="37"/>
      <c r="D733" s="39"/>
      <c r="E733" s="39"/>
      <c r="F733" s="37"/>
      <c r="G733" s="37"/>
      <c r="H733" s="41"/>
      <c r="I733" s="37"/>
      <c r="J733" s="42"/>
      <c r="K733" s="43"/>
      <c r="L733" s="42"/>
      <c r="M733" s="12">
        <v>734</v>
      </c>
    </row>
    <row r="734" spans="1:13" x14ac:dyDescent="0.25">
      <c r="A734" s="37">
        <v>732</v>
      </c>
      <c r="B734" s="38"/>
      <c r="C734" s="37"/>
      <c r="D734" s="39"/>
      <c r="E734" s="39"/>
      <c r="F734" s="37"/>
      <c r="G734" s="37"/>
      <c r="H734" s="41"/>
      <c r="I734" s="37"/>
      <c r="J734" s="42"/>
      <c r="K734" s="43"/>
      <c r="L734" s="42"/>
      <c r="M734" s="12">
        <v>735</v>
      </c>
    </row>
    <row r="735" spans="1:13" x14ac:dyDescent="0.25">
      <c r="A735" s="37">
        <v>733</v>
      </c>
      <c r="B735" s="38"/>
      <c r="C735" s="37"/>
      <c r="D735" s="39"/>
      <c r="E735" s="39"/>
      <c r="F735" s="37"/>
      <c r="G735" s="37"/>
      <c r="H735" s="41"/>
      <c r="I735" s="42"/>
      <c r="J735" s="42"/>
      <c r="K735" s="43"/>
      <c r="L735" s="42"/>
      <c r="M735" s="12">
        <v>736</v>
      </c>
    </row>
    <row r="736" spans="1:13" x14ac:dyDescent="0.25">
      <c r="A736" s="37">
        <v>734</v>
      </c>
      <c r="B736" s="38"/>
      <c r="C736" s="37"/>
      <c r="D736" s="39"/>
      <c r="E736" s="39"/>
      <c r="F736" s="37"/>
      <c r="G736" s="37"/>
      <c r="H736" s="41"/>
      <c r="I736" s="37"/>
      <c r="J736" s="42"/>
      <c r="K736" s="43"/>
      <c r="L736" s="42"/>
      <c r="M736" s="12">
        <v>737</v>
      </c>
    </row>
    <row r="737" spans="1:13" x14ac:dyDescent="0.25">
      <c r="A737" s="37">
        <v>735</v>
      </c>
      <c r="B737" s="38"/>
      <c r="C737" s="37"/>
      <c r="D737" s="39"/>
      <c r="E737" s="39"/>
      <c r="F737" s="37"/>
      <c r="G737" s="37"/>
      <c r="H737" s="41"/>
      <c r="I737" s="37"/>
      <c r="J737" s="42"/>
      <c r="K737" s="42"/>
      <c r="L737" s="42"/>
      <c r="M737" s="12">
        <v>738</v>
      </c>
    </row>
    <row r="738" spans="1:13" x14ac:dyDescent="0.25">
      <c r="A738" s="37">
        <v>736</v>
      </c>
      <c r="B738" s="38"/>
      <c r="C738" s="37"/>
      <c r="D738" s="39"/>
      <c r="E738" s="39"/>
      <c r="F738" s="37"/>
      <c r="G738" s="37"/>
      <c r="H738" s="41"/>
      <c r="I738" s="37"/>
      <c r="J738" s="42"/>
      <c r="K738" s="43"/>
      <c r="L738" s="42"/>
      <c r="M738" s="12">
        <v>739</v>
      </c>
    </row>
    <row r="739" spans="1:13" x14ac:dyDescent="0.25">
      <c r="A739" s="37">
        <v>737</v>
      </c>
      <c r="B739" s="38"/>
      <c r="C739" s="37"/>
      <c r="D739" s="39"/>
      <c r="E739" s="39"/>
      <c r="F739" s="37"/>
      <c r="G739" s="37"/>
      <c r="H739" s="41"/>
      <c r="I739" s="37"/>
      <c r="J739" s="42"/>
      <c r="K739" s="43"/>
      <c r="L739" s="42"/>
      <c r="M739" s="12">
        <v>740</v>
      </c>
    </row>
    <row r="740" spans="1:13" x14ac:dyDescent="0.25">
      <c r="A740" s="37">
        <v>738</v>
      </c>
      <c r="B740" s="38"/>
      <c r="C740" s="37"/>
      <c r="D740" s="39"/>
      <c r="E740" s="39"/>
      <c r="F740" s="37"/>
      <c r="G740" s="37"/>
      <c r="H740" s="41"/>
      <c r="I740" s="37"/>
      <c r="J740" s="42"/>
      <c r="K740" s="43"/>
      <c r="L740" s="42"/>
      <c r="M740" s="12">
        <v>741</v>
      </c>
    </row>
    <row r="741" spans="1:13" x14ac:dyDescent="0.25">
      <c r="A741" s="37">
        <v>739</v>
      </c>
      <c r="B741" s="38"/>
      <c r="C741" s="37"/>
      <c r="D741" s="39"/>
      <c r="E741" s="39"/>
      <c r="F741" s="37"/>
      <c r="G741" s="37"/>
      <c r="H741" s="41"/>
      <c r="I741" s="37"/>
      <c r="J741" s="42"/>
      <c r="K741" s="43"/>
      <c r="L741" s="42"/>
      <c r="M741" s="12">
        <v>742</v>
      </c>
    </row>
    <row r="742" spans="1:13" x14ac:dyDescent="0.25">
      <c r="A742" s="37">
        <v>740</v>
      </c>
      <c r="B742" s="38"/>
      <c r="C742" s="37"/>
      <c r="D742" s="39"/>
      <c r="E742" s="39"/>
      <c r="F742" s="37"/>
      <c r="G742" s="37"/>
      <c r="H742" s="41"/>
      <c r="I742" s="37"/>
      <c r="J742" s="42"/>
      <c r="K742" s="43"/>
      <c r="L742" s="42"/>
      <c r="M742" s="12">
        <v>743</v>
      </c>
    </row>
    <row r="743" spans="1:13" x14ac:dyDescent="0.25">
      <c r="A743" s="37">
        <v>741</v>
      </c>
      <c r="B743" s="38"/>
      <c r="C743" s="37"/>
      <c r="D743" s="39"/>
      <c r="E743" s="39"/>
      <c r="F743" s="37"/>
      <c r="G743" s="37"/>
      <c r="H743" s="41"/>
      <c r="I743" s="37"/>
      <c r="J743" s="42"/>
      <c r="K743" s="43"/>
      <c r="L743" s="42"/>
      <c r="M743" s="12">
        <v>744</v>
      </c>
    </row>
    <row r="744" spans="1:13" x14ac:dyDescent="0.25">
      <c r="A744" s="37">
        <v>742</v>
      </c>
      <c r="B744" s="38"/>
      <c r="C744" s="37"/>
      <c r="D744" s="39"/>
      <c r="E744" s="39"/>
      <c r="F744" s="37"/>
      <c r="G744" s="37"/>
      <c r="H744" s="41"/>
      <c r="I744" s="37"/>
      <c r="J744" s="42"/>
      <c r="K744" s="43"/>
      <c r="L744" s="42"/>
      <c r="M744" s="12">
        <v>745</v>
      </c>
    </row>
    <row r="745" spans="1:13" x14ac:dyDescent="0.25">
      <c r="A745" s="37">
        <v>743</v>
      </c>
      <c r="B745" s="38"/>
      <c r="C745" s="37"/>
      <c r="D745" s="39"/>
      <c r="E745" s="39"/>
      <c r="F745" s="37"/>
      <c r="G745" s="37"/>
      <c r="H745" s="41"/>
      <c r="I745" s="37"/>
      <c r="J745" s="42"/>
      <c r="K745" s="43"/>
      <c r="L745" s="42"/>
      <c r="M745" s="12">
        <v>746</v>
      </c>
    </row>
    <row r="746" spans="1:13" x14ac:dyDescent="0.25">
      <c r="A746" s="37">
        <v>744</v>
      </c>
      <c r="B746" s="38"/>
      <c r="C746" s="37"/>
      <c r="D746" s="39"/>
      <c r="E746" s="39"/>
      <c r="F746" s="37"/>
      <c r="G746" s="37"/>
      <c r="H746" s="41"/>
      <c r="I746" s="37"/>
      <c r="J746" s="42"/>
      <c r="K746" s="43"/>
      <c r="L746" s="42"/>
      <c r="M746" s="12">
        <v>747</v>
      </c>
    </row>
    <row r="747" spans="1:13" x14ac:dyDescent="0.25">
      <c r="A747" s="37">
        <v>745</v>
      </c>
      <c r="B747" s="38"/>
      <c r="C747" s="37"/>
      <c r="D747" s="39"/>
      <c r="E747" s="39"/>
      <c r="F747" s="37"/>
      <c r="G747" s="37"/>
      <c r="H747" s="41"/>
      <c r="I747" s="37"/>
      <c r="J747" s="42"/>
      <c r="K747" s="43"/>
      <c r="L747" s="42"/>
      <c r="M747" s="12">
        <v>748</v>
      </c>
    </row>
    <row r="748" spans="1:13" x14ac:dyDescent="0.25">
      <c r="A748" s="37">
        <v>746</v>
      </c>
      <c r="B748" s="38"/>
      <c r="C748" s="37"/>
      <c r="D748" s="39"/>
      <c r="E748" s="39"/>
      <c r="F748" s="37"/>
      <c r="G748" s="37"/>
      <c r="H748" s="41"/>
      <c r="I748" s="37"/>
      <c r="J748" s="42"/>
      <c r="K748" s="43"/>
      <c r="L748" s="42"/>
      <c r="M748" s="12">
        <v>749</v>
      </c>
    </row>
    <row r="749" spans="1:13" x14ac:dyDescent="0.25">
      <c r="A749" s="37">
        <v>747</v>
      </c>
      <c r="B749" s="38"/>
      <c r="C749" s="37"/>
      <c r="D749" s="39"/>
      <c r="E749" s="39"/>
      <c r="F749" s="37"/>
      <c r="G749" s="37"/>
      <c r="H749" s="41"/>
      <c r="I749" s="37"/>
      <c r="J749" s="42"/>
      <c r="K749" s="43"/>
      <c r="L749" s="42"/>
      <c r="M749" s="12">
        <v>750</v>
      </c>
    </row>
    <row r="750" spans="1:13" x14ac:dyDescent="0.25">
      <c r="A750" s="37">
        <v>748</v>
      </c>
      <c r="B750" s="38"/>
      <c r="C750" s="37"/>
      <c r="D750" s="39"/>
      <c r="E750" s="39"/>
      <c r="F750" s="37"/>
      <c r="G750" s="37"/>
      <c r="H750" s="41"/>
      <c r="I750" s="37"/>
      <c r="J750" s="42"/>
      <c r="K750" s="43"/>
      <c r="L750" s="42"/>
      <c r="M750" s="12">
        <v>751</v>
      </c>
    </row>
    <row r="751" spans="1:13" x14ac:dyDescent="0.25">
      <c r="A751" s="37">
        <v>749</v>
      </c>
      <c r="B751" s="38"/>
      <c r="C751" s="37"/>
      <c r="D751" s="39"/>
      <c r="E751" s="39"/>
      <c r="F751" s="37"/>
      <c r="G751" s="37"/>
      <c r="H751" s="41"/>
      <c r="I751" s="37"/>
      <c r="J751" s="42"/>
      <c r="K751" s="43"/>
      <c r="L751" s="42"/>
      <c r="M751" s="12">
        <v>752</v>
      </c>
    </row>
    <row r="752" spans="1:13" x14ac:dyDescent="0.25">
      <c r="A752" s="37">
        <v>750</v>
      </c>
      <c r="B752" s="38"/>
      <c r="C752" s="37"/>
      <c r="D752" s="39"/>
      <c r="E752" s="39"/>
      <c r="F752" s="37"/>
      <c r="G752" s="37"/>
      <c r="H752" s="41"/>
      <c r="I752" s="37"/>
      <c r="J752" s="42"/>
      <c r="K752" s="43"/>
      <c r="L752" s="42"/>
      <c r="M752" s="12">
        <v>753</v>
      </c>
    </row>
    <row r="753" spans="1:13" x14ac:dyDescent="0.25">
      <c r="A753" s="37">
        <v>751</v>
      </c>
      <c r="B753" s="38"/>
      <c r="C753" s="37"/>
      <c r="D753" s="39"/>
      <c r="E753" s="39"/>
      <c r="F753" s="37"/>
      <c r="G753" s="37"/>
      <c r="H753" s="41"/>
      <c r="I753" s="37"/>
      <c r="J753" s="42"/>
      <c r="K753" s="43"/>
      <c r="L753" s="42"/>
      <c r="M753" s="12">
        <v>754</v>
      </c>
    </row>
    <row r="754" spans="1:13" x14ac:dyDescent="0.25">
      <c r="A754" s="37">
        <v>752</v>
      </c>
      <c r="B754" s="38"/>
      <c r="C754" s="37"/>
      <c r="D754" s="39"/>
      <c r="E754" s="39"/>
      <c r="F754" s="37"/>
      <c r="G754" s="37"/>
      <c r="H754" s="41"/>
      <c r="I754" s="37"/>
      <c r="J754" s="42"/>
      <c r="K754" s="43"/>
      <c r="L754" s="42"/>
      <c r="M754" s="12">
        <v>755</v>
      </c>
    </row>
    <row r="755" spans="1:13" x14ac:dyDescent="0.25">
      <c r="A755" s="37">
        <v>753</v>
      </c>
      <c r="B755" s="38"/>
      <c r="C755" s="37"/>
      <c r="D755" s="39"/>
      <c r="E755" s="39"/>
      <c r="F755" s="37"/>
      <c r="G755" s="37"/>
      <c r="H755" s="41"/>
      <c r="I755" s="37"/>
      <c r="J755" s="42"/>
      <c r="K755" s="43"/>
      <c r="L755" s="42"/>
      <c r="M755" s="12">
        <v>756</v>
      </c>
    </row>
    <row r="756" spans="1:13" x14ac:dyDescent="0.25">
      <c r="A756" s="37">
        <v>754</v>
      </c>
      <c r="B756" s="31"/>
      <c r="C756" s="30"/>
      <c r="D756" s="32"/>
      <c r="E756" s="32"/>
      <c r="F756" s="30"/>
      <c r="G756" s="30"/>
      <c r="H756" s="41"/>
      <c r="I756" s="37"/>
      <c r="J756" s="42"/>
      <c r="K756" s="43"/>
      <c r="L756" s="42"/>
      <c r="M756" s="12">
        <v>757</v>
      </c>
    </row>
    <row r="757" spans="1:13" x14ac:dyDescent="0.25">
      <c r="A757" s="37">
        <v>755</v>
      </c>
      <c r="B757" s="38"/>
      <c r="C757" s="37"/>
      <c r="D757" s="39"/>
      <c r="E757" s="39"/>
      <c r="F757" s="37"/>
      <c r="G757" s="37"/>
      <c r="H757" s="34"/>
      <c r="I757" s="30"/>
      <c r="J757" s="35"/>
      <c r="K757" s="36"/>
      <c r="L757" s="35"/>
      <c r="M757" s="12">
        <v>758</v>
      </c>
    </row>
    <row r="758" spans="1:13" x14ac:dyDescent="0.25">
      <c r="A758" s="37">
        <v>756</v>
      </c>
      <c r="B758" s="38"/>
      <c r="C758" s="37"/>
      <c r="D758" s="39"/>
      <c r="E758" s="39"/>
      <c r="F758" s="37"/>
      <c r="G758" s="37"/>
      <c r="H758" s="41"/>
      <c r="I758" s="37"/>
      <c r="J758" s="42"/>
      <c r="K758" s="43"/>
      <c r="L758" s="42"/>
      <c r="M758" s="12">
        <v>759</v>
      </c>
    </row>
    <row r="759" spans="1:13" x14ac:dyDescent="0.25">
      <c r="A759" s="37">
        <v>757</v>
      </c>
      <c r="B759" s="38"/>
      <c r="C759" s="37"/>
      <c r="D759" s="39"/>
      <c r="E759" s="39"/>
      <c r="F759" s="37"/>
      <c r="G759" s="37"/>
      <c r="H759" s="41"/>
      <c r="I759" s="37"/>
      <c r="J759" s="42"/>
      <c r="K759" s="43"/>
      <c r="L759" s="42"/>
      <c r="M759" s="12">
        <v>760</v>
      </c>
    </row>
    <row r="760" spans="1:13" x14ac:dyDescent="0.25">
      <c r="A760" s="37">
        <v>758</v>
      </c>
      <c r="B760" s="38"/>
      <c r="C760" s="37"/>
      <c r="D760" s="39"/>
      <c r="E760" s="39"/>
      <c r="F760" s="37"/>
      <c r="G760" s="37"/>
      <c r="H760" s="41"/>
      <c r="I760" s="37"/>
      <c r="J760" s="42"/>
      <c r="K760" s="43"/>
      <c r="L760" s="42"/>
      <c r="M760" s="12">
        <v>761</v>
      </c>
    </row>
    <row r="761" spans="1:13" x14ac:dyDescent="0.25">
      <c r="A761" s="37">
        <v>759</v>
      </c>
      <c r="B761" s="38"/>
      <c r="C761" s="37"/>
      <c r="D761" s="39"/>
      <c r="E761" s="39"/>
      <c r="F761" s="37"/>
      <c r="G761" s="37"/>
      <c r="H761" s="41"/>
      <c r="I761" s="37"/>
      <c r="J761" s="42"/>
      <c r="K761" s="43"/>
      <c r="L761" s="42"/>
      <c r="M761" s="12">
        <v>762</v>
      </c>
    </row>
    <row r="762" spans="1:13" x14ac:dyDescent="0.25">
      <c r="A762" s="37">
        <v>760</v>
      </c>
      <c r="B762" s="38"/>
      <c r="C762" s="37"/>
      <c r="D762" s="39"/>
      <c r="E762" s="39"/>
      <c r="F762" s="37"/>
      <c r="G762" s="37"/>
      <c r="H762" s="41"/>
      <c r="I762" s="37"/>
      <c r="J762" s="42"/>
      <c r="K762" s="43"/>
      <c r="L762" s="42"/>
      <c r="M762" s="12">
        <v>763</v>
      </c>
    </row>
    <row r="763" spans="1:13" x14ac:dyDescent="0.25">
      <c r="A763" s="37">
        <v>761</v>
      </c>
      <c r="B763" s="38"/>
      <c r="C763" s="37"/>
      <c r="D763" s="39"/>
      <c r="E763" s="39"/>
      <c r="F763" s="37"/>
      <c r="G763" s="37"/>
      <c r="H763" s="41"/>
      <c r="I763" s="37"/>
      <c r="J763" s="42"/>
      <c r="K763" s="43"/>
      <c r="L763" s="42"/>
      <c r="M763" s="12">
        <v>764</v>
      </c>
    </row>
    <row r="764" spans="1:13" x14ac:dyDescent="0.25">
      <c r="A764" s="37">
        <v>762</v>
      </c>
      <c r="B764" s="38"/>
      <c r="C764" s="37"/>
      <c r="D764" s="39"/>
      <c r="E764" s="39"/>
      <c r="F764" s="37"/>
      <c r="G764" s="37"/>
      <c r="H764" s="41"/>
      <c r="I764" s="37"/>
      <c r="J764" s="42"/>
      <c r="K764" s="43"/>
      <c r="L764" s="42"/>
      <c r="M764" s="12">
        <v>765</v>
      </c>
    </row>
    <row r="765" spans="1:13" x14ac:dyDescent="0.25">
      <c r="A765" s="37">
        <v>763</v>
      </c>
      <c r="B765" s="38"/>
      <c r="C765" s="37"/>
      <c r="D765" s="39"/>
      <c r="E765" s="39"/>
      <c r="F765" s="37"/>
      <c r="G765" s="37"/>
      <c r="H765" s="41"/>
      <c r="I765" s="37"/>
      <c r="J765" s="42"/>
      <c r="K765" s="43"/>
      <c r="L765" s="42"/>
      <c r="M765" s="12">
        <v>766</v>
      </c>
    </row>
    <row r="766" spans="1:13" x14ac:dyDescent="0.25">
      <c r="A766" s="37">
        <v>764</v>
      </c>
      <c r="B766" s="38"/>
      <c r="C766" s="37"/>
      <c r="D766" s="39"/>
      <c r="E766" s="39"/>
      <c r="F766" s="37"/>
      <c r="G766" s="37"/>
      <c r="H766" s="41"/>
      <c r="I766" s="37"/>
      <c r="J766" s="42"/>
      <c r="K766" s="43"/>
      <c r="L766" s="42"/>
      <c r="M766" s="12">
        <v>767</v>
      </c>
    </row>
    <row r="767" spans="1:13" x14ac:dyDescent="0.25">
      <c r="A767" s="37">
        <v>765</v>
      </c>
      <c r="B767" s="38"/>
      <c r="C767" s="37"/>
      <c r="D767" s="39"/>
      <c r="E767" s="39"/>
      <c r="F767" s="37"/>
      <c r="G767" s="37"/>
      <c r="H767" s="41"/>
      <c r="I767" s="37"/>
      <c r="J767" s="42"/>
      <c r="K767" s="43"/>
      <c r="L767" s="42"/>
      <c r="M767" s="12">
        <v>768</v>
      </c>
    </row>
    <row r="768" spans="1:13" x14ac:dyDescent="0.25">
      <c r="A768" s="37">
        <v>766</v>
      </c>
      <c r="B768" s="38"/>
      <c r="C768" s="37"/>
      <c r="D768" s="39"/>
      <c r="E768" s="39"/>
      <c r="F768" s="37"/>
      <c r="G768" s="37"/>
      <c r="H768" s="41"/>
      <c r="I768" s="37"/>
      <c r="J768" s="42"/>
      <c r="K768" s="43"/>
      <c r="L768" s="42"/>
      <c r="M768" s="12">
        <v>769</v>
      </c>
    </row>
    <row r="769" spans="1:13" x14ac:dyDescent="0.25">
      <c r="A769" s="37">
        <v>767</v>
      </c>
      <c r="B769" s="38"/>
      <c r="C769" s="37"/>
      <c r="D769" s="39"/>
      <c r="E769" s="39"/>
      <c r="F769" s="37"/>
      <c r="G769" s="37"/>
      <c r="H769" s="41"/>
      <c r="I769" s="37"/>
      <c r="J769" s="42"/>
      <c r="K769" s="43"/>
      <c r="L769" s="42"/>
      <c r="M769" s="12">
        <v>770</v>
      </c>
    </row>
    <row r="770" spans="1:13" x14ac:dyDescent="0.25">
      <c r="A770" s="37">
        <v>768</v>
      </c>
      <c r="B770" s="38"/>
      <c r="C770" s="37"/>
      <c r="D770" s="39"/>
      <c r="E770" s="39"/>
      <c r="F770" s="37"/>
      <c r="G770" s="37"/>
      <c r="H770" s="41"/>
      <c r="I770" s="37"/>
      <c r="J770" s="42"/>
      <c r="K770" s="43"/>
      <c r="L770" s="42"/>
      <c r="M770" s="12">
        <v>771</v>
      </c>
    </row>
    <row r="771" spans="1:13" x14ac:dyDescent="0.25">
      <c r="A771" s="37">
        <v>769</v>
      </c>
      <c r="B771" s="38"/>
      <c r="C771" s="37"/>
      <c r="D771" s="39"/>
      <c r="E771" s="39"/>
      <c r="F771" s="37"/>
      <c r="G771" s="37"/>
      <c r="H771" s="41"/>
      <c r="I771" s="37"/>
      <c r="J771" s="42"/>
      <c r="K771" s="43"/>
      <c r="L771" s="42"/>
      <c r="M771" s="12">
        <v>772</v>
      </c>
    </row>
    <row r="772" spans="1:13" x14ac:dyDescent="0.25">
      <c r="A772" s="37">
        <v>770</v>
      </c>
      <c r="B772" s="37"/>
      <c r="C772" s="37"/>
      <c r="D772" s="39"/>
      <c r="E772" s="39"/>
      <c r="F772" s="37"/>
      <c r="G772" s="37"/>
      <c r="H772" s="41"/>
      <c r="I772" s="37"/>
      <c r="J772" s="42"/>
      <c r="K772" s="43"/>
      <c r="L772" s="42"/>
      <c r="M772" s="12">
        <v>773</v>
      </c>
    </row>
    <row r="773" spans="1:13" x14ac:dyDescent="0.25">
      <c r="A773" s="37">
        <v>771</v>
      </c>
      <c r="B773" s="38"/>
      <c r="C773" s="37"/>
      <c r="D773" s="39"/>
      <c r="E773" s="39"/>
      <c r="F773" s="37"/>
      <c r="G773" s="37"/>
      <c r="H773" s="41"/>
      <c r="I773" s="37"/>
      <c r="J773" s="43"/>
      <c r="K773" s="43"/>
      <c r="L773" s="43"/>
      <c r="M773" s="12">
        <v>774</v>
      </c>
    </row>
    <row r="774" spans="1:13" x14ac:dyDescent="0.25">
      <c r="A774" s="37">
        <v>772</v>
      </c>
      <c r="B774" s="38"/>
      <c r="C774" s="37"/>
      <c r="D774" s="39"/>
      <c r="E774" s="39"/>
      <c r="F774" s="37"/>
      <c r="G774" s="37"/>
      <c r="H774" s="41"/>
      <c r="I774" s="37"/>
      <c r="J774" s="42"/>
      <c r="K774" s="43"/>
      <c r="L774" s="42"/>
      <c r="M774" s="12">
        <v>775</v>
      </c>
    </row>
    <row r="775" spans="1:13" x14ac:dyDescent="0.25">
      <c r="A775" s="37">
        <v>773</v>
      </c>
      <c r="B775" s="38"/>
      <c r="C775" s="37"/>
      <c r="D775" s="39"/>
      <c r="E775" s="39"/>
      <c r="F775" s="37"/>
      <c r="G775" s="37"/>
      <c r="H775" s="41"/>
      <c r="I775" s="37"/>
      <c r="J775" s="42"/>
      <c r="K775" s="43"/>
      <c r="L775" s="42"/>
      <c r="M775" s="12">
        <v>776</v>
      </c>
    </row>
    <row r="776" spans="1:13" x14ac:dyDescent="0.25">
      <c r="A776" s="37">
        <v>774</v>
      </c>
      <c r="B776" s="38"/>
      <c r="C776" s="37"/>
      <c r="D776" s="39"/>
      <c r="E776" s="39"/>
      <c r="F776" s="37"/>
      <c r="G776" s="37"/>
      <c r="H776" s="41"/>
      <c r="I776" s="37"/>
      <c r="J776" s="42"/>
      <c r="K776" s="43"/>
      <c r="L776" s="42"/>
      <c r="M776" s="12">
        <v>777</v>
      </c>
    </row>
    <row r="777" spans="1:13" x14ac:dyDescent="0.25">
      <c r="A777" s="37">
        <v>775</v>
      </c>
      <c r="B777" s="38"/>
      <c r="C777" s="37"/>
      <c r="D777" s="39"/>
      <c r="E777" s="39"/>
      <c r="F777" s="37"/>
      <c r="G777" s="37"/>
      <c r="H777" s="41"/>
      <c r="I777" s="37"/>
      <c r="J777" s="42"/>
      <c r="K777" s="43"/>
      <c r="L777" s="42"/>
      <c r="M777" s="12">
        <v>778</v>
      </c>
    </row>
    <row r="778" spans="1:13" x14ac:dyDescent="0.25">
      <c r="A778" s="37">
        <v>776</v>
      </c>
      <c r="B778" s="38"/>
      <c r="C778" s="37"/>
      <c r="D778" s="39"/>
      <c r="E778" s="39"/>
      <c r="F778" s="37"/>
      <c r="G778" s="37"/>
      <c r="H778" s="41"/>
      <c r="I778" s="37"/>
      <c r="J778" s="42"/>
      <c r="K778" s="43"/>
      <c r="L778" s="42"/>
      <c r="M778" s="12">
        <v>779</v>
      </c>
    </row>
    <row r="779" spans="1:13" x14ac:dyDescent="0.25">
      <c r="A779" s="37">
        <v>777</v>
      </c>
      <c r="B779" s="38"/>
      <c r="C779" s="37"/>
      <c r="D779" s="39"/>
      <c r="E779" s="39"/>
      <c r="F779" s="37"/>
      <c r="G779" s="37"/>
      <c r="H779" s="41"/>
      <c r="I779" s="37"/>
      <c r="J779" s="42"/>
      <c r="K779" s="43"/>
      <c r="L779" s="42"/>
      <c r="M779" s="12">
        <v>780</v>
      </c>
    </row>
    <row r="780" spans="1:13" x14ac:dyDescent="0.25">
      <c r="A780" s="37">
        <v>778</v>
      </c>
      <c r="B780" s="38"/>
      <c r="C780" s="37"/>
      <c r="D780" s="39"/>
      <c r="E780" s="39"/>
      <c r="F780" s="37"/>
      <c r="G780" s="37"/>
      <c r="H780" s="41"/>
      <c r="I780" s="37"/>
      <c r="J780" s="42"/>
      <c r="K780" s="43"/>
      <c r="L780" s="42"/>
      <c r="M780" s="12">
        <v>781</v>
      </c>
    </row>
    <row r="781" spans="1:13" x14ac:dyDescent="0.25">
      <c r="A781" s="37">
        <v>779</v>
      </c>
      <c r="B781" s="38"/>
      <c r="C781" s="37"/>
      <c r="D781" s="39"/>
      <c r="E781" s="39"/>
      <c r="F781" s="37"/>
      <c r="G781" s="37"/>
      <c r="H781" s="41"/>
      <c r="I781" s="37"/>
      <c r="J781" s="42"/>
      <c r="K781" s="43"/>
      <c r="L781" s="42"/>
      <c r="M781" s="12">
        <v>782</v>
      </c>
    </row>
    <row r="782" spans="1:13" x14ac:dyDescent="0.25">
      <c r="A782" s="37">
        <v>780</v>
      </c>
      <c r="B782" s="38"/>
      <c r="C782" s="37"/>
      <c r="D782" s="39"/>
      <c r="E782" s="39"/>
      <c r="F782" s="37"/>
      <c r="G782" s="37"/>
      <c r="H782" s="41"/>
      <c r="I782" s="37"/>
      <c r="J782" s="42"/>
      <c r="K782" s="43"/>
      <c r="L782" s="42"/>
      <c r="M782" s="12">
        <v>783</v>
      </c>
    </row>
    <row r="783" spans="1:13" x14ac:dyDescent="0.25">
      <c r="A783" s="37">
        <v>781</v>
      </c>
      <c r="B783" s="38"/>
      <c r="C783" s="37"/>
      <c r="D783" s="39"/>
      <c r="E783" s="39"/>
      <c r="F783" s="37"/>
      <c r="G783" s="37"/>
      <c r="H783" s="41"/>
      <c r="I783" s="37"/>
      <c r="J783" s="42"/>
      <c r="K783" s="43"/>
      <c r="L783" s="42"/>
      <c r="M783" s="12">
        <v>784</v>
      </c>
    </row>
    <row r="784" spans="1:13" x14ac:dyDescent="0.25">
      <c r="A784" s="37">
        <v>782</v>
      </c>
      <c r="B784" s="38"/>
      <c r="C784" s="37"/>
      <c r="D784" s="39"/>
      <c r="E784" s="39"/>
      <c r="F784" s="37"/>
      <c r="G784" s="37"/>
      <c r="H784" s="41"/>
      <c r="I784" s="37"/>
      <c r="J784" s="42"/>
      <c r="K784" s="43"/>
      <c r="L784" s="42"/>
      <c r="M784" s="12">
        <v>785</v>
      </c>
    </row>
    <row r="785" spans="1:13" x14ac:dyDescent="0.25">
      <c r="A785" s="37">
        <v>783</v>
      </c>
      <c r="B785" s="38"/>
      <c r="C785" s="37"/>
      <c r="D785" s="39"/>
      <c r="E785" s="39"/>
      <c r="F785" s="37"/>
      <c r="G785" s="37"/>
      <c r="H785" s="41"/>
      <c r="I785" s="37"/>
      <c r="J785" s="42"/>
      <c r="K785" s="43"/>
      <c r="L785" s="42"/>
      <c r="M785" s="12">
        <v>786</v>
      </c>
    </row>
    <row r="786" spans="1:13" x14ac:dyDescent="0.25">
      <c r="A786" s="37">
        <v>784</v>
      </c>
      <c r="B786" s="38"/>
      <c r="C786" s="37"/>
      <c r="D786" s="39"/>
      <c r="E786" s="39"/>
      <c r="F786" s="37"/>
      <c r="G786" s="37"/>
      <c r="H786" s="41"/>
      <c r="I786" s="37"/>
      <c r="J786" s="42"/>
      <c r="K786" s="43"/>
      <c r="L786" s="42"/>
      <c r="M786" s="12">
        <v>787</v>
      </c>
    </row>
    <row r="787" spans="1:13" x14ac:dyDescent="0.25">
      <c r="A787" s="37">
        <v>785</v>
      </c>
      <c r="B787" s="38"/>
      <c r="C787" s="37"/>
      <c r="D787" s="39"/>
      <c r="E787" s="39"/>
      <c r="F787" s="37"/>
      <c r="G787" s="37"/>
      <c r="H787" s="41"/>
      <c r="I787" s="37"/>
      <c r="J787" s="42"/>
      <c r="K787" s="43"/>
      <c r="L787" s="42"/>
      <c r="M787" s="12">
        <v>788</v>
      </c>
    </row>
    <row r="788" spans="1:13" x14ac:dyDescent="0.25">
      <c r="A788" s="37">
        <v>786</v>
      </c>
      <c r="B788" s="38"/>
      <c r="C788" s="37"/>
      <c r="D788" s="39"/>
      <c r="E788" s="39"/>
      <c r="F788" s="37"/>
      <c r="G788" s="37"/>
      <c r="H788" s="41"/>
      <c r="I788" s="37"/>
      <c r="J788" s="42"/>
      <c r="K788" s="43"/>
      <c r="L788" s="42"/>
      <c r="M788" s="12">
        <v>789</v>
      </c>
    </row>
    <row r="789" spans="1:13" x14ac:dyDescent="0.25">
      <c r="A789" s="37">
        <v>787</v>
      </c>
      <c r="B789" s="38"/>
      <c r="C789" s="37"/>
      <c r="D789" s="39"/>
      <c r="E789" s="39"/>
      <c r="F789" s="37"/>
      <c r="G789" s="37"/>
      <c r="H789" s="41"/>
      <c r="I789" s="37"/>
      <c r="J789" s="42"/>
      <c r="K789" s="43"/>
      <c r="L789" s="42"/>
      <c r="M789" s="12">
        <v>790</v>
      </c>
    </row>
    <row r="790" spans="1:13" x14ac:dyDescent="0.25">
      <c r="A790" s="37">
        <v>788</v>
      </c>
      <c r="B790" s="38"/>
      <c r="C790" s="37"/>
      <c r="D790" s="39"/>
      <c r="E790" s="39"/>
      <c r="F790" s="37"/>
      <c r="G790" s="37"/>
      <c r="H790" s="41"/>
      <c r="I790" s="37"/>
      <c r="J790" s="42"/>
      <c r="K790" s="43"/>
      <c r="L790" s="42"/>
      <c r="M790" s="12">
        <v>791</v>
      </c>
    </row>
    <row r="791" spans="1:13" x14ac:dyDescent="0.25">
      <c r="A791" s="37">
        <v>789</v>
      </c>
      <c r="B791" s="38"/>
      <c r="C791" s="37"/>
      <c r="D791" s="39"/>
      <c r="E791" s="39"/>
      <c r="F791" s="37"/>
      <c r="G791" s="37"/>
      <c r="H791" s="41"/>
      <c r="I791" s="37"/>
      <c r="J791" s="42"/>
      <c r="K791" s="43"/>
      <c r="L791" s="42"/>
      <c r="M791" s="12">
        <v>792</v>
      </c>
    </row>
    <row r="792" spans="1:13" x14ac:dyDescent="0.25">
      <c r="A792" s="37">
        <v>790</v>
      </c>
      <c r="B792" s="38"/>
      <c r="C792" s="37"/>
      <c r="D792" s="39"/>
      <c r="E792" s="39"/>
      <c r="F792" s="37"/>
      <c r="G792" s="37"/>
      <c r="H792" s="41"/>
      <c r="I792" s="37"/>
      <c r="J792" s="42"/>
      <c r="K792" s="43"/>
      <c r="L792" s="42"/>
      <c r="M792" s="12">
        <v>793</v>
      </c>
    </row>
    <row r="793" spans="1:13" x14ac:dyDescent="0.25">
      <c r="A793" s="37">
        <v>791</v>
      </c>
      <c r="B793" s="38"/>
      <c r="C793" s="37"/>
      <c r="D793" s="39"/>
      <c r="E793" s="39"/>
      <c r="F793" s="37"/>
      <c r="G793" s="37"/>
      <c r="H793" s="41"/>
      <c r="I793" s="37"/>
      <c r="J793" s="42"/>
      <c r="K793" s="43"/>
      <c r="L793" s="42"/>
      <c r="M793" s="12">
        <v>794</v>
      </c>
    </row>
    <row r="794" spans="1:13" x14ac:dyDescent="0.25">
      <c r="A794" s="37">
        <v>792</v>
      </c>
      <c r="B794" s="38"/>
      <c r="C794" s="37"/>
      <c r="D794" s="39"/>
      <c r="E794" s="39"/>
      <c r="F794" s="37"/>
      <c r="G794" s="37"/>
      <c r="H794" s="41"/>
      <c r="I794" s="37"/>
      <c r="J794" s="42"/>
      <c r="K794" s="43"/>
      <c r="L794" s="42"/>
      <c r="M794" s="12">
        <v>795</v>
      </c>
    </row>
    <row r="795" spans="1:13" x14ac:dyDescent="0.25">
      <c r="A795" s="37">
        <v>793</v>
      </c>
      <c r="B795" s="38"/>
      <c r="C795" s="37"/>
      <c r="D795" s="39"/>
      <c r="E795" s="39"/>
      <c r="F795" s="37"/>
      <c r="G795" s="37"/>
      <c r="H795" s="41"/>
      <c r="I795" s="37"/>
      <c r="J795" s="42"/>
      <c r="K795" s="42"/>
      <c r="L795" s="42"/>
      <c r="M795" s="12">
        <v>796</v>
      </c>
    </row>
    <row r="796" spans="1:13" x14ac:dyDescent="0.25">
      <c r="A796" s="37">
        <v>794</v>
      </c>
      <c r="B796" s="38"/>
      <c r="C796" s="37"/>
      <c r="D796" s="39"/>
      <c r="E796" s="39"/>
      <c r="F796" s="37"/>
      <c r="G796" s="37"/>
      <c r="H796" s="41"/>
      <c r="I796" s="37"/>
      <c r="J796" s="42"/>
      <c r="K796" s="43"/>
      <c r="L796" s="42"/>
      <c r="M796" s="12">
        <v>797</v>
      </c>
    </row>
    <row r="797" spans="1:13" x14ac:dyDescent="0.25">
      <c r="A797" s="37">
        <v>795</v>
      </c>
      <c r="B797" s="38"/>
      <c r="C797" s="37"/>
      <c r="D797" s="39"/>
      <c r="E797" s="39"/>
      <c r="F797" s="37"/>
      <c r="G797" s="37"/>
      <c r="H797" s="41"/>
      <c r="I797" s="37"/>
      <c r="J797" s="42"/>
      <c r="K797" s="42"/>
      <c r="L797" s="42"/>
      <c r="M797" s="12">
        <v>798</v>
      </c>
    </row>
    <row r="798" spans="1:13" x14ac:dyDescent="0.25">
      <c r="A798" s="37">
        <v>796</v>
      </c>
      <c r="B798" s="38"/>
      <c r="C798" s="37"/>
      <c r="D798" s="39"/>
      <c r="E798" s="39"/>
      <c r="F798" s="37"/>
      <c r="G798" s="37"/>
      <c r="H798" s="41"/>
      <c r="I798" s="37"/>
      <c r="J798" s="42"/>
      <c r="K798" s="43"/>
      <c r="L798" s="42"/>
      <c r="M798" s="12">
        <v>799</v>
      </c>
    </row>
    <row r="799" spans="1:13" x14ac:dyDescent="0.25">
      <c r="A799" s="37">
        <v>797</v>
      </c>
      <c r="B799" s="38"/>
      <c r="C799" s="37"/>
      <c r="D799" s="39"/>
      <c r="E799" s="39"/>
      <c r="F799" s="37"/>
      <c r="G799" s="37"/>
      <c r="H799" s="41"/>
      <c r="I799" s="37"/>
      <c r="J799" s="42"/>
      <c r="K799" s="43"/>
      <c r="L799" s="42"/>
      <c r="M799" s="12">
        <v>800</v>
      </c>
    </row>
    <row r="800" spans="1:13" x14ac:dyDescent="0.25">
      <c r="A800" s="333">
        <v>798</v>
      </c>
      <c r="B800" s="38"/>
      <c r="C800" s="37"/>
      <c r="D800" s="39"/>
      <c r="E800" s="39"/>
      <c r="F800" s="37"/>
      <c r="G800" s="37"/>
      <c r="H800" s="41"/>
      <c r="I800" s="37"/>
      <c r="J800" s="42"/>
      <c r="K800" s="43"/>
      <c r="L800" s="42"/>
      <c r="M800" s="12">
        <v>801</v>
      </c>
    </row>
    <row r="801" spans="1:13" x14ac:dyDescent="0.25">
      <c r="A801" s="37">
        <v>799</v>
      </c>
      <c r="B801" s="38"/>
      <c r="C801" s="37"/>
      <c r="D801" s="39"/>
      <c r="E801" s="39"/>
      <c r="F801" s="37"/>
      <c r="G801" s="37"/>
      <c r="H801" s="41"/>
      <c r="I801" s="37"/>
      <c r="J801" s="42"/>
      <c r="K801" s="43"/>
      <c r="L801" s="42"/>
      <c r="M801" s="12">
        <v>802</v>
      </c>
    </row>
    <row r="802" spans="1:13" x14ac:dyDescent="0.25">
      <c r="A802" s="37">
        <v>800</v>
      </c>
      <c r="B802" s="38"/>
      <c r="C802" s="37"/>
      <c r="D802" s="39"/>
      <c r="E802" s="39"/>
      <c r="F802" s="37"/>
      <c r="G802" s="37"/>
      <c r="H802" s="41"/>
      <c r="I802" s="37"/>
      <c r="J802" s="42"/>
      <c r="K802" s="43"/>
      <c r="L802" s="42"/>
      <c r="M802" s="12">
        <v>803</v>
      </c>
    </row>
    <row r="803" spans="1:13" x14ac:dyDescent="0.25">
      <c r="A803" s="37">
        <v>801</v>
      </c>
      <c r="B803" s="38"/>
      <c r="C803" s="37"/>
      <c r="D803" s="39"/>
      <c r="E803" s="39"/>
      <c r="F803" s="37"/>
      <c r="G803" s="37"/>
      <c r="H803" s="41"/>
      <c r="I803" s="37"/>
      <c r="J803" s="42"/>
      <c r="K803" s="43"/>
      <c r="L803" s="42"/>
      <c r="M803" s="12">
        <v>804</v>
      </c>
    </row>
    <row r="804" spans="1:13" x14ac:dyDescent="0.25">
      <c r="A804" s="37">
        <v>802</v>
      </c>
      <c r="B804" s="38"/>
      <c r="C804" s="37"/>
      <c r="D804" s="39"/>
      <c r="E804" s="39"/>
      <c r="F804" s="37"/>
      <c r="G804" s="37"/>
      <c r="H804" s="41"/>
      <c r="I804" s="37"/>
      <c r="J804" s="42"/>
      <c r="K804" s="42"/>
      <c r="L804" s="42"/>
      <c r="M804" s="12">
        <v>805</v>
      </c>
    </row>
    <row r="805" spans="1:13" x14ac:dyDescent="0.25">
      <c r="A805" s="37">
        <v>803</v>
      </c>
      <c r="B805" s="38"/>
      <c r="C805" s="37"/>
      <c r="D805" s="39"/>
      <c r="E805" s="39"/>
      <c r="F805" s="37"/>
      <c r="G805" s="37"/>
      <c r="H805" s="41"/>
      <c r="I805" s="37"/>
      <c r="J805" s="42"/>
      <c r="K805" s="43"/>
      <c r="L805" s="42"/>
      <c r="M805" s="12">
        <v>806</v>
      </c>
    </row>
    <row r="806" spans="1:13" x14ac:dyDescent="0.25">
      <c r="A806" s="37">
        <v>804</v>
      </c>
      <c r="B806" s="38"/>
      <c r="C806" s="37"/>
      <c r="D806" s="39"/>
      <c r="E806" s="39"/>
      <c r="F806" s="37"/>
      <c r="G806" s="37"/>
      <c r="H806" s="41"/>
      <c r="I806" s="37"/>
      <c r="J806" s="42"/>
      <c r="K806" s="43"/>
      <c r="L806" s="42"/>
      <c r="M806" s="12">
        <v>807</v>
      </c>
    </row>
    <row r="807" spans="1:13" x14ac:dyDescent="0.25">
      <c r="A807" s="37">
        <v>805</v>
      </c>
      <c r="B807" s="38"/>
      <c r="C807" s="37"/>
      <c r="D807" s="39"/>
      <c r="E807" s="39"/>
      <c r="F807" s="37"/>
      <c r="G807" s="37"/>
      <c r="H807" s="41"/>
      <c r="I807" s="37"/>
      <c r="J807" s="42"/>
      <c r="K807" s="43"/>
      <c r="L807" s="42"/>
      <c r="M807" s="12">
        <v>808</v>
      </c>
    </row>
    <row r="808" spans="1:13" x14ac:dyDescent="0.25">
      <c r="A808" s="37">
        <v>806</v>
      </c>
      <c r="B808" s="38"/>
      <c r="C808" s="37"/>
      <c r="D808" s="39"/>
      <c r="E808" s="39"/>
      <c r="F808" s="37"/>
      <c r="G808" s="37"/>
      <c r="H808" s="41"/>
      <c r="I808" s="37"/>
      <c r="J808" s="42"/>
      <c r="K808" s="43"/>
      <c r="L808" s="42"/>
      <c r="M808" s="12">
        <v>809</v>
      </c>
    </row>
    <row r="809" spans="1:13" x14ac:dyDescent="0.25">
      <c r="A809" s="37">
        <v>807</v>
      </c>
      <c r="B809" s="38"/>
      <c r="C809" s="37"/>
      <c r="D809" s="39"/>
      <c r="E809" s="39"/>
      <c r="F809" s="37"/>
      <c r="G809" s="37"/>
      <c r="H809" s="41"/>
      <c r="I809" s="37"/>
      <c r="J809" s="42"/>
      <c r="K809" s="43"/>
      <c r="L809" s="42"/>
      <c r="M809" s="12">
        <v>810</v>
      </c>
    </row>
    <row r="810" spans="1:13" x14ac:dyDescent="0.25">
      <c r="A810" s="37">
        <v>808</v>
      </c>
      <c r="B810" s="38"/>
      <c r="C810" s="37"/>
      <c r="D810" s="39"/>
      <c r="E810" s="39"/>
      <c r="F810" s="37"/>
      <c r="G810" s="37"/>
      <c r="H810" s="41"/>
      <c r="I810" s="37"/>
      <c r="J810" s="42"/>
      <c r="K810" s="43"/>
      <c r="L810" s="42"/>
      <c r="M810" s="12">
        <v>811</v>
      </c>
    </row>
    <row r="811" spans="1:13" x14ac:dyDescent="0.25">
      <c r="A811" s="37">
        <v>809</v>
      </c>
      <c r="B811" s="38"/>
      <c r="C811" s="37"/>
      <c r="D811" s="39"/>
      <c r="E811" s="39"/>
      <c r="F811" s="37"/>
      <c r="G811" s="37"/>
      <c r="H811" s="41"/>
      <c r="I811" s="37"/>
      <c r="J811" s="42"/>
      <c r="K811" s="43"/>
      <c r="L811" s="42"/>
      <c r="M811" s="12">
        <v>812</v>
      </c>
    </row>
    <row r="812" spans="1:13" x14ac:dyDescent="0.25">
      <c r="A812" s="37">
        <v>810</v>
      </c>
      <c r="B812" s="38"/>
      <c r="C812" s="37"/>
      <c r="D812" s="39"/>
      <c r="E812" s="39"/>
      <c r="F812" s="37"/>
      <c r="G812" s="37"/>
      <c r="H812" s="41"/>
      <c r="I812" s="37"/>
      <c r="J812" s="42"/>
      <c r="K812" s="43"/>
      <c r="L812" s="42"/>
      <c r="M812" s="12"/>
    </row>
    <row r="813" spans="1:13" x14ac:dyDescent="0.25">
      <c r="A813" s="37">
        <v>811</v>
      </c>
      <c r="B813" s="38"/>
      <c r="C813" s="37"/>
      <c r="D813" s="39"/>
      <c r="E813" s="39"/>
      <c r="F813" s="37"/>
      <c r="G813" s="37"/>
      <c r="H813" s="41"/>
      <c r="I813" s="37"/>
      <c r="J813" s="42"/>
      <c r="K813" s="43"/>
      <c r="L813" s="42"/>
      <c r="M813" s="12"/>
    </row>
    <row r="814" spans="1:13" x14ac:dyDescent="0.25">
      <c r="A814" s="37">
        <v>812</v>
      </c>
      <c r="B814" s="38"/>
      <c r="C814" s="37"/>
      <c r="D814" s="39"/>
      <c r="E814" s="39"/>
      <c r="F814" s="37"/>
      <c r="G814" s="37"/>
      <c r="H814" s="41"/>
      <c r="I814" s="37"/>
      <c r="J814" s="42"/>
      <c r="K814" s="43"/>
      <c r="L814" s="42"/>
      <c r="M814" s="12"/>
    </row>
    <row r="815" spans="1:13" x14ac:dyDescent="0.25">
      <c r="A815" s="37">
        <v>813</v>
      </c>
      <c r="B815" s="38"/>
      <c r="C815" s="37"/>
      <c r="D815" s="39"/>
      <c r="E815" s="39"/>
      <c r="F815" s="37"/>
      <c r="G815" s="37"/>
      <c r="H815" s="41"/>
      <c r="I815" s="37"/>
      <c r="J815" s="42"/>
      <c r="K815" s="43"/>
      <c r="L815" s="42"/>
      <c r="M815" s="12"/>
    </row>
    <row r="816" spans="1:13" x14ac:dyDescent="0.25">
      <c r="A816" s="37">
        <v>814</v>
      </c>
      <c r="B816" s="38"/>
      <c r="C816" s="37"/>
      <c r="D816" s="39"/>
      <c r="E816" s="39"/>
      <c r="F816" s="37"/>
      <c r="G816" s="37"/>
      <c r="H816" s="41"/>
      <c r="I816" s="37"/>
      <c r="J816" s="42"/>
      <c r="K816" s="43"/>
      <c r="L816" s="42"/>
      <c r="M816" s="12"/>
    </row>
    <row r="817" spans="1:13" x14ac:dyDescent="0.25">
      <c r="A817" s="37">
        <v>815</v>
      </c>
      <c r="B817" s="38"/>
      <c r="C817" s="37"/>
      <c r="D817" s="39"/>
      <c r="E817" s="39"/>
      <c r="F817" s="37"/>
      <c r="G817" s="37"/>
      <c r="H817" s="41"/>
      <c r="I817" s="37"/>
      <c r="J817" s="42"/>
      <c r="K817" s="43"/>
      <c r="L817" s="42"/>
      <c r="M817" s="12"/>
    </row>
    <row r="818" spans="1:13" x14ac:dyDescent="0.25">
      <c r="A818" s="37">
        <v>816</v>
      </c>
      <c r="B818" s="38"/>
      <c r="C818" s="37"/>
      <c r="D818" s="39"/>
      <c r="E818" s="39"/>
      <c r="F818" s="37"/>
      <c r="G818" s="37"/>
      <c r="H818" s="41"/>
      <c r="I818" s="37"/>
      <c r="J818" s="42"/>
      <c r="K818" s="43"/>
      <c r="L818" s="42"/>
      <c r="M818" s="12"/>
    </row>
    <row r="819" spans="1:13" x14ac:dyDescent="0.25">
      <c r="A819" s="37">
        <v>817</v>
      </c>
      <c r="B819" s="38"/>
      <c r="C819" s="37"/>
      <c r="D819" s="39"/>
      <c r="E819" s="39"/>
      <c r="F819" s="37"/>
      <c r="G819" s="37"/>
      <c r="H819" s="41"/>
      <c r="I819" s="37"/>
      <c r="J819" s="42"/>
      <c r="K819" s="43"/>
      <c r="L819" s="42"/>
      <c r="M819" s="12"/>
    </row>
    <row r="820" spans="1:13" x14ac:dyDescent="0.25">
      <c r="A820" s="37">
        <v>818</v>
      </c>
      <c r="B820" s="38"/>
      <c r="C820" s="37"/>
      <c r="D820" s="39"/>
      <c r="E820" s="39"/>
      <c r="F820" s="37"/>
      <c r="G820" s="37"/>
      <c r="H820" s="41"/>
      <c r="I820" s="37"/>
      <c r="J820" s="42"/>
      <c r="K820" s="43"/>
      <c r="L820" s="42"/>
      <c r="M820" s="12"/>
    </row>
    <row r="821" spans="1:13" x14ac:dyDescent="0.25">
      <c r="A821" s="37">
        <v>819</v>
      </c>
      <c r="B821" s="38"/>
      <c r="C821" s="37"/>
      <c r="D821" s="39"/>
      <c r="E821" s="39"/>
      <c r="F821" s="37"/>
      <c r="G821" s="37"/>
      <c r="H821" s="41"/>
      <c r="I821" s="37"/>
      <c r="J821" s="42"/>
      <c r="K821" s="43"/>
      <c r="L821" s="42"/>
      <c r="M821" s="12"/>
    </row>
    <row r="822" spans="1:13" x14ac:dyDescent="0.25">
      <c r="A822" s="37">
        <v>820</v>
      </c>
      <c r="B822" s="38"/>
      <c r="C822" s="37"/>
      <c r="D822" s="39"/>
      <c r="E822" s="39"/>
      <c r="F822" s="37"/>
      <c r="G822" s="37"/>
      <c r="H822" s="41"/>
      <c r="I822" s="37"/>
      <c r="J822" s="42"/>
      <c r="K822" s="43"/>
      <c r="L822" s="42"/>
      <c r="M822" s="12"/>
    </row>
    <row r="823" spans="1:13" x14ac:dyDescent="0.25">
      <c r="A823" s="37">
        <v>821</v>
      </c>
      <c r="B823" s="38"/>
      <c r="C823" s="37"/>
      <c r="D823" s="39"/>
      <c r="E823" s="39"/>
      <c r="F823" s="37"/>
      <c r="G823" s="37"/>
      <c r="H823" s="41"/>
      <c r="I823" s="37"/>
      <c r="J823" s="42"/>
      <c r="K823" s="43"/>
      <c r="L823" s="42"/>
      <c r="M823" s="12"/>
    </row>
    <row r="824" spans="1:13" x14ac:dyDescent="0.25">
      <c r="A824" s="37">
        <v>822</v>
      </c>
      <c r="B824" s="38"/>
      <c r="C824" s="37"/>
      <c r="D824" s="39"/>
      <c r="E824" s="39"/>
      <c r="F824" s="37"/>
      <c r="G824" s="37"/>
      <c r="H824" s="41"/>
      <c r="I824" s="37"/>
      <c r="J824" s="42"/>
      <c r="K824" s="43"/>
      <c r="L824" s="42"/>
      <c r="M824" s="12"/>
    </row>
    <row r="825" spans="1:13" x14ac:dyDescent="0.25">
      <c r="A825" s="37">
        <v>823</v>
      </c>
      <c r="B825" s="38"/>
      <c r="C825" s="37"/>
      <c r="D825" s="39"/>
      <c r="E825" s="39"/>
      <c r="F825" s="37"/>
      <c r="G825" s="37"/>
      <c r="H825" s="41"/>
      <c r="I825" s="37"/>
      <c r="J825" s="42"/>
      <c r="K825" s="43"/>
      <c r="L825" s="42"/>
      <c r="M825" s="12"/>
    </row>
    <row r="826" spans="1:13" x14ac:dyDescent="0.25">
      <c r="A826" s="37">
        <v>824</v>
      </c>
      <c r="B826" s="38"/>
      <c r="C826" s="37"/>
      <c r="D826" s="39"/>
      <c r="E826" s="39"/>
      <c r="F826" s="37"/>
      <c r="G826" s="37"/>
      <c r="H826" s="41"/>
      <c r="I826" s="37"/>
      <c r="J826" s="42"/>
      <c r="K826" s="43"/>
      <c r="L826" s="42"/>
      <c r="M826" s="12"/>
    </row>
    <row r="827" spans="1:13" x14ac:dyDescent="0.25">
      <c r="A827" s="37">
        <v>825</v>
      </c>
      <c r="B827" s="38"/>
      <c r="C827" s="37"/>
      <c r="D827" s="39"/>
      <c r="E827" s="39"/>
      <c r="F827" s="37"/>
      <c r="G827" s="37"/>
      <c r="H827" s="41"/>
      <c r="I827" s="37"/>
      <c r="J827" s="42"/>
      <c r="K827" s="42"/>
      <c r="L827" s="42"/>
      <c r="M827" s="12"/>
    </row>
    <row r="828" spans="1:13" x14ac:dyDescent="0.25">
      <c r="A828" s="37">
        <v>826</v>
      </c>
      <c r="B828" s="38"/>
      <c r="C828" s="37"/>
      <c r="D828" s="39"/>
      <c r="E828" s="39"/>
      <c r="F828" s="37"/>
      <c r="G828" s="37"/>
      <c r="H828" s="41"/>
      <c r="I828" s="37"/>
      <c r="J828" s="42"/>
      <c r="K828" s="43"/>
      <c r="L828" s="42"/>
      <c r="M828" s="12"/>
    </row>
    <row r="829" spans="1:13" x14ac:dyDescent="0.25">
      <c r="A829" s="37">
        <v>827</v>
      </c>
      <c r="B829" s="38"/>
      <c r="C829" s="37"/>
      <c r="D829" s="39"/>
      <c r="E829" s="39"/>
      <c r="F829" s="37"/>
      <c r="G829" s="37"/>
      <c r="H829" s="41"/>
      <c r="I829" s="37"/>
      <c r="J829" s="42"/>
      <c r="K829" s="43"/>
      <c r="L829" s="42"/>
      <c r="M829" s="12"/>
    </row>
    <row r="830" spans="1:13" x14ac:dyDescent="0.25">
      <c r="A830" s="37">
        <v>828</v>
      </c>
      <c r="B830" s="38"/>
      <c r="C830" s="37"/>
      <c r="D830" s="39"/>
      <c r="E830" s="39"/>
      <c r="F830" s="37"/>
      <c r="G830" s="37"/>
      <c r="H830" s="41"/>
      <c r="I830" s="37"/>
      <c r="J830" s="42"/>
      <c r="K830" s="43"/>
      <c r="L830" s="42"/>
      <c r="M830" s="12"/>
    </row>
    <row r="831" spans="1:13" x14ac:dyDescent="0.25">
      <c r="A831" s="37">
        <v>829</v>
      </c>
      <c r="B831" s="38"/>
      <c r="C831" s="37"/>
      <c r="D831" s="39"/>
      <c r="E831" s="39"/>
      <c r="F831" s="37"/>
      <c r="G831" s="37"/>
      <c r="H831" s="41"/>
      <c r="I831" s="37"/>
      <c r="J831" s="42"/>
      <c r="K831" s="43"/>
      <c r="L831" s="42"/>
      <c r="M831" s="12"/>
    </row>
    <row r="832" spans="1:13" x14ac:dyDescent="0.25">
      <c r="A832" s="37">
        <v>830</v>
      </c>
      <c r="B832" s="38"/>
      <c r="C832" s="37"/>
      <c r="D832" s="39"/>
      <c r="E832" s="39"/>
      <c r="F832" s="37"/>
      <c r="G832" s="37"/>
      <c r="H832" s="41"/>
      <c r="I832" s="37"/>
      <c r="J832" s="42"/>
      <c r="K832" s="43"/>
      <c r="L832" s="42"/>
      <c r="M832" s="12"/>
    </row>
    <row r="833" spans="1:13" x14ac:dyDescent="0.25">
      <c r="A833" s="37">
        <v>831</v>
      </c>
      <c r="B833" s="38"/>
      <c r="C833" s="37"/>
      <c r="D833" s="39"/>
      <c r="E833" s="39"/>
      <c r="F833" s="37"/>
      <c r="G833" s="37"/>
      <c r="H833" s="41"/>
      <c r="I833" s="37"/>
      <c r="J833" s="42"/>
      <c r="K833" s="43"/>
      <c r="L833" s="42"/>
      <c r="M833" s="12"/>
    </row>
    <row r="834" spans="1:13" x14ac:dyDescent="0.25">
      <c r="A834" s="37">
        <v>832</v>
      </c>
      <c r="B834" s="38"/>
      <c r="C834" s="37"/>
      <c r="D834" s="39"/>
      <c r="E834" s="39"/>
      <c r="F834" s="37"/>
      <c r="G834" s="37"/>
      <c r="H834" s="41"/>
      <c r="I834" s="37"/>
      <c r="J834" s="42"/>
      <c r="K834" s="43"/>
      <c r="L834" s="42"/>
      <c r="M834" s="12"/>
    </row>
    <row r="835" spans="1:13" x14ac:dyDescent="0.25">
      <c r="A835" s="37">
        <v>833</v>
      </c>
      <c r="B835" s="38"/>
      <c r="C835" s="37"/>
      <c r="D835" s="39"/>
      <c r="E835" s="39"/>
      <c r="F835" s="37"/>
      <c r="G835" s="37"/>
      <c r="H835" s="41"/>
      <c r="I835" s="37"/>
      <c r="J835" s="42"/>
      <c r="K835" s="43"/>
      <c r="L835" s="42"/>
      <c r="M835" s="12"/>
    </row>
    <row r="836" spans="1:13" x14ac:dyDescent="0.25">
      <c r="A836" s="37">
        <v>834</v>
      </c>
      <c r="B836" s="38"/>
      <c r="C836" s="37"/>
      <c r="D836" s="39"/>
      <c r="E836" s="39"/>
      <c r="F836" s="37"/>
      <c r="G836" s="37"/>
      <c r="H836" s="41"/>
      <c r="I836" s="37"/>
      <c r="J836" s="42"/>
      <c r="K836" s="43"/>
      <c r="L836" s="42"/>
      <c r="M836" s="12"/>
    </row>
    <row r="837" spans="1:13" x14ac:dyDescent="0.25">
      <c r="A837" s="37">
        <v>835</v>
      </c>
      <c r="B837" s="38"/>
      <c r="C837" s="37"/>
      <c r="D837" s="39"/>
      <c r="E837" s="39"/>
      <c r="F837" s="37"/>
      <c r="G837" s="37"/>
      <c r="H837" s="41"/>
      <c r="I837" s="37"/>
      <c r="J837" s="42"/>
      <c r="K837" s="43"/>
      <c r="L837" s="42"/>
      <c r="M837" s="12"/>
    </row>
    <row r="838" spans="1:13" x14ac:dyDescent="0.25">
      <c r="A838" s="37">
        <v>836</v>
      </c>
      <c r="B838" s="38"/>
      <c r="C838" s="37"/>
      <c r="D838" s="39"/>
      <c r="E838" s="39"/>
      <c r="F838" s="37"/>
      <c r="G838" s="37"/>
      <c r="H838" s="41"/>
      <c r="I838" s="37"/>
      <c r="J838" s="42"/>
      <c r="K838" s="43"/>
      <c r="L838" s="42"/>
      <c r="M838" s="12"/>
    </row>
    <row r="839" spans="1:13" x14ac:dyDescent="0.25">
      <c r="A839" s="37">
        <v>837</v>
      </c>
      <c r="B839" s="38"/>
      <c r="C839" s="37"/>
      <c r="D839" s="39"/>
      <c r="E839" s="39"/>
      <c r="F839" s="37"/>
      <c r="G839" s="37"/>
      <c r="H839" s="41"/>
      <c r="I839" s="37"/>
      <c r="J839" s="42"/>
      <c r="K839" s="43"/>
      <c r="L839" s="42"/>
      <c r="M839" s="12"/>
    </row>
    <row r="840" spans="1:13" x14ac:dyDescent="0.25">
      <c r="A840" s="37">
        <v>838</v>
      </c>
      <c r="B840" s="38"/>
      <c r="C840" s="37"/>
      <c r="D840" s="39"/>
      <c r="E840" s="39"/>
      <c r="F840" s="37"/>
      <c r="G840" s="37"/>
      <c r="H840" s="41"/>
      <c r="I840" s="37"/>
      <c r="J840" s="42"/>
      <c r="K840" s="43"/>
      <c r="L840" s="42"/>
      <c r="M840" s="12"/>
    </row>
    <row r="841" spans="1:13" x14ac:dyDescent="0.25">
      <c r="A841" s="37">
        <v>839</v>
      </c>
      <c r="B841" s="38"/>
      <c r="C841" s="37"/>
      <c r="D841" s="39"/>
      <c r="E841" s="39"/>
      <c r="F841" s="37"/>
      <c r="G841" s="37"/>
      <c r="H841" s="41"/>
      <c r="I841" s="37"/>
      <c r="J841" s="42"/>
      <c r="K841" s="43"/>
      <c r="L841" s="42"/>
      <c r="M841" s="12"/>
    </row>
    <row r="842" spans="1:13" x14ac:dyDescent="0.25">
      <c r="A842" s="37">
        <v>840</v>
      </c>
      <c r="B842" s="38"/>
      <c r="C842" s="37"/>
      <c r="D842" s="39"/>
      <c r="E842" s="39"/>
      <c r="F842" s="37"/>
      <c r="G842" s="37"/>
      <c r="H842" s="41"/>
      <c r="I842" s="37"/>
      <c r="J842" s="42"/>
      <c r="K842" s="43"/>
      <c r="L842" s="42"/>
      <c r="M842" s="12"/>
    </row>
    <row r="843" spans="1:13" x14ac:dyDescent="0.25">
      <c r="A843" s="37">
        <v>841</v>
      </c>
      <c r="B843" s="38"/>
      <c r="C843" s="37"/>
      <c r="D843" s="39"/>
      <c r="E843" s="39"/>
      <c r="F843" s="37"/>
      <c r="G843" s="37"/>
      <c r="H843" s="41"/>
      <c r="I843" s="37"/>
      <c r="J843" s="42"/>
      <c r="K843" s="43"/>
      <c r="L843" s="42"/>
      <c r="M843" s="12"/>
    </row>
    <row r="844" spans="1:13" x14ac:dyDescent="0.25">
      <c r="A844" s="37">
        <v>842</v>
      </c>
      <c r="B844" s="38"/>
      <c r="C844" s="37"/>
      <c r="D844" s="39"/>
      <c r="E844" s="39"/>
      <c r="F844" s="37"/>
      <c r="G844" s="37"/>
      <c r="H844" s="41"/>
      <c r="I844" s="37"/>
      <c r="J844" s="43"/>
      <c r="K844" s="43"/>
      <c r="L844" s="42"/>
      <c r="M844" s="12"/>
    </row>
    <row r="845" spans="1:13" x14ac:dyDescent="0.25">
      <c r="A845" s="37">
        <v>843</v>
      </c>
      <c r="B845" s="38"/>
      <c r="C845" s="37"/>
      <c r="D845" s="39"/>
      <c r="E845" s="39"/>
      <c r="F845" s="37"/>
      <c r="G845" s="37"/>
      <c r="H845" s="41"/>
      <c r="I845" s="37"/>
      <c r="J845" s="43"/>
      <c r="K845" s="43"/>
      <c r="L845" s="42"/>
      <c r="M845" s="12"/>
    </row>
    <row r="846" spans="1:13" x14ac:dyDescent="0.25">
      <c r="A846" s="37">
        <v>844</v>
      </c>
      <c r="B846" s="37"/>
      <c r="C846" s="37"/>
      <c r="D846" s="39"/>
      <c r="E846" s="39"/>
      <c r="F846" s="37"/>
      <c r="G846" s="37"/>
      <c r="H846" s="41"/>
      <c r="I846" s="37"/>
      <c r="J846" s="43"/>
      <c r="K846" s="43"/>
      <c r="L846" s="42"/>
      <c r="M846" s="12"/>
    </row>
    <row r="847" spans="1:13" x14ac:dyDescent="0.25">
      <c r="A847" s="37">
        <v>845</v>
      </c>
      <c r="B847" s="37"/>
      <c r="C847" s="37"/>
      <c r="D847" s="39"/>
      <c r="E847" s="39"/>
      <c r="F847" s="37"/>
      <c r="G847" s="37"/>
      <c r="H847" s="41"/>
      <c r="I847" s="37"/>
      <c r="J847" s="43"/>
      <c r="K847" s="43"/>
      <c r="L847" s="43"/>
      <c r="M847" s="12"/>
    </row>
    <row r="848" spans="1:13" x14ac:dyDescent="0.25">
      <c r="A848" s="37">
        <v>846</v>
      </c>
      <c r="B848" s="38"/>
      <c r="C848" s="37"/>
      <c r="D848" s="39"/>
      <c r="E848" s="39"/>
      <c r="F848" s="37"/>
      <c r="G848" s="37"/>
      <c r="H848" s="41"/>
      <c r="I848" s="37"/>
      <c r="J848" s="43"/>
      <c r="K848" s="43"/>
      <c r="L848" s="43"/>
      <c r="M848" s="12"/>
    </row>
    <row r="849" spans="1:13" x14ac:dyDescent="0.25">
      <c r="A849" s="37">
        <v>847</v>
      </c>
      <c r="B849" s="38"/>
      <c r="C849" s="37"/>
      <c r="D849" s="39"/>
      <c r="E849" s="39"/>
      <c r="F849" s="37"/>
      <c r="G849" s="37"/>
      <c r="H849" s="41"/>
      <c r="I849" s="37"/>
      <c r="J849" s="43"/>
      <c r="K849" s="43"/>
      <c r="L849" s="42"/>
      <c r="M849" s="12"/>
    </row>
    <row r="850" spans="1:13" x14ac:dyDescent="0.25">
      <c r="A850" s="37">
        <v>848</v>
      </c>
      <c r="B850" s="38"/>
      <c r="C850" s="37"/>
      <c r="D850" s="39"/>
      <c r="E850" s="39"/>
      <c r="F850" s="37"/>
      <c r="G850" s="37"/>
      <c r="H850" s="41"/>
      <c r="I850" s="37"/>
      <c r="J850" s="43"/>
      <c r="K850" s="43"/>
      <c r="L850" s="42"/>
      <c r="M850" s="12"/>
    </row>
    <row r="851" spans="1:13" x14ac:dyDescent="0.25">
      <c r="A851" s="37">
        <v>849</v>
      </c>
      <c r="B851" s="38"/>
      <c r="C851" s="37"/>
      <c r="D851" s="39"/>
      <c r="E851" s="39"/>
      <c r="F851" s="37"/>
      <c r="G851" s="37"/>
      <c r="H851" s="41"/>
      <c r="I851" s="37"/>
      <c r="J851" s="42"/>
      <c r="K851" s="43"/>
      <c r="L851" s="42"/>
      <c r="M851" s="12"/>
    </row>
    <row r="852" spans="1:13" x14ac:dyDescent="0.25">
      <c r="A852" s="37">
        <v>850</v>
      </c>
      <c r="B852" s="38"/>
      <c r="C852" s="37"/>
      <c r="D852" s="39"/>
      <c r="E852" s="39"/>
      <c r="F852" s="37"/>
      <c r="G852" s="37"/>
      <c r="H852" s="41"/>
      <c r="I852" s="37"/>
      <c r="J852" s="42"/>
      <c r="K852" s="42"/>
      <c r="L852" s="42"/>
      <c r="M852" s="12"/>
    </row>
    <row r="853" spans="1:13" x14ac:dyDescent="0.25">
      <c r="A853" s="37">
        <v>851</v>
      </c>
      <c r="B853" s="38"/>
      <c r="C853" s="37"/>
      <c r="D853" s="39"/>
      <c r="E853" s="39"/>
      <c r="F853" s="37"/>
      <c r="G853" s="37"/>
      <c r="H853" s="41"/>
      <c r="I853" s="37"/>
      <c r="J853" s="42"/>
      <c r="K853" s="42"/>
      <c r="L853" s="42"/>
      <c r="M853" s="12"/>
    </row>
    <row r="854" spans="1:13" x14ac:dyDescent="0.25">
      <c r="A854" s="37">
        <v>852</v>
      </c>
      <c r="B854" s="38"/>
      <c r="C854" s="37"/>
      <c r="D854" s="39"/>
      <c r="E854" s="39"/>
      <c r="F854" s="37"/>
      <c r="G854" s="37"/>
      <c r="H854" s="41"/>
      <c r="I854" s="37"/>
      <c r="J854" s="42"/>
      <c r="K854" s="42"/>
      <c r="L854" s="42"/>
      <c r="M854" s="12"/>
    </row>
    <row r="855" spans="1:13" x14ac:dyDescent="0.25">
      <c r="A855" s="37">
        <v>853</v>
      </c>
      <c r="B855" s="38"/>
      <c r="C855" s="37"/>
      <c r="D855" s="39"/>
      <c r="E855" s="39"/>
      <c r="F855" s="37"/>
      <c r="G855" s="37"/>
      <c r="H855" s="41"/>
      <c r="I855" s="37"/>
      <c r="J855" s="42"/>
      <c r="K855" s="42"/>
      <c r="L855" s="42"/>
      <c r="M855" s="12"/>
    </row>
    <row r="856" spans="1:13" x14ac:dyDescent="0.25">
      <c r="A856" s="37">
        <v>854</v>
      </c>
      <c r="B856" s="38"/>
      <c r="C856" s="37"/>
      <c r="D856" s="39"/>
      <c r="E856" s="39"/>
      <c r="F856" s="37"/>
      <c r="G856" s="37"/>
      <c r="H856" s="41"/>
      <c r="I856" s="37"/>
      <c r="J856" s="42"/>
      <c r="K856" s="42"/>
      <c r="L856" s="42"/>
      <c r="M856" s="12"/>
    </row>
    <row r="857" spans="1:13" x14ac:dyDescent="0.25">
      <c r="A857" s="37">
        <v>855</v>
      </c>
      <c r="B857" s="38"/>
      <c r="C857" s="37"/>
      <c r="D857" s="39"/>
      <c r="E857" s="39"/>
      <c r="F857" s="37"/>
      <c r="G857" s="37"/>
      <c r="H857" s="41"/>
      <c r="I857" s="37"/>
      <c r="J857" s="42"/>
      <c r="K857" s="42"/>
      <c r="L857" s="42"/>
      <c r="M857" s="12"/>
    </row>
    <row r="858" spans="1:13" x14ac:dyDescent="0.25">
      <c r="A858" s="37">
        <v>856</v>
      </c>
      <c r="B858" s="38"/>
      <c r="C858" s="37"/>
      <c r="D858" s="39"/>
      <c r="E858" s="39"/>
      <c r="F858" s="37"/>
      <c r="G858" s="37"/>
      <c r="H858" s="41"/>
      <c r="I858" s="37"/>
      <c r="J858" s="42"/>
      <c r="K858" s="42"/>
      <c r="L858" s="42"/>
      <c r="M858" s="12"/>
    </row>
    <row r="859" spans="1:13" x14ac:dyDescent="0.25">
      <c r="A859" s="37">
        <v>857</v>
      </c>
      <c r="B859" s="38"/>
      <c r="C859" s="37"/>
      <c r="D859" s="39"/>
      <c r="E859" s="39"/>
      <c r="F859" s="37"/>
      <c r="G859" s="37"/>
      <c r="H859" s="41"/>
      <c r="I859" s="37"/>
      <c r="J859" s="42"/>
      <c r="K859" s="42"/>
      <c r="L859" s="42"/>
      <c r="M859" s="12"/>
    </row>
    <row r="860" spans="1:13" x14ac:dyDescent="0.25">
      <c r="A860" s="37">
        <v>858</v>
      </c>
      <c r="B860" s="38"/>
      <c r="C860" s="37"/>
      <c r="D860" s="39"/>
      <c r="E860" s="39"/>
      <c r="F860" s="37"/>
      <c r="G860" s="37"/>
      <c r="H860" s="41"/>
      <c r="I860" s="37"/>
      <c r="J860" s="42"/>
      <c r="K860" s="42"/>
      <c r="L860" s="42"/>
      <c r="M860" s="12"/>
    </row>
    <row r="861" spans="1:13" x14ac:dyDescent="0.25">
      <c r="A861" s="37">
        <v>859</v>
      </c>
      <c r="B861" s="38"/>
      <c r="C861" s="37"/>
      <c r="D861" s="39"/>
      <c r="E861" s="39"/>
      <c r="F861" s="37"/>
      <c r="G861" s="37"/>
      <c r="H861" s="41"/>
      <c r="I861" s="37"/>
      <c r="J861" s="42"/>
      <c r="K861" s="42"/>
      <c r="L861" s="42"/>
      <c r="M861" s="12"/>
    </row>
    <row r="862" spans="1:13" x14ac:dyDescent="0.25">
      <c r="A862" s="37">
        <v>860</v>
      </c>
      <c r="B862" s="38"/>
      <c r="C862" s="37"/>
      <c r="D862" s="39"/>
      <c r="E862" s="39"/>
      <c r="F862" s="37"/>
      <c r="G862" s="37"/>
      <c r="H862" s="41"/>
      <c r="I862" s="37"/>
      <c r="J862" s="42"/>
      <c r="K862" s="42"/>
      <c r="L862" s="42"/>
      <c r="M862" s="12"/>
    </row>
    <row r="863" spans="1:13" x14ac:dyDescent="0.25">
      <c r="A863" s="37">
        <v>861</v>
      </c>
      <c r="B863" s="38"/>
      <c r="C863" s="37"/>
      <c r="D863" s="39"/>
      <c r="E863" s="39"/>
      <c r="F863" s="37"/>
      <c r="G863" s="37"/>
      <c r="H863" s="41"/>
      <c r="I863" s="37"/>
      <c r="J863" s="42"/>
      <c r="K863" s="42"/>
      <c r="L863" s="42"/>
      <c r="M863" s="12"/>
    </row>
    <row r="864" spans="1:13" x14ac:dyDescent="0.25">
      <c r="A864" s="37">
        <v>862</v>
      </c>
      <c r="B864" s="38"/>
      <c r="C864" s="37"/>
      <c r="D864" s="39"/>
      <c r="E864" s="39"/>
      <c r="F864" s="37"/>
      <c r="G864" s="37"/>
      <c r="H864" s="41"/>
      <c r="I864" s="37"/>
      <c r="J864" s="42"/>
      <c r="K864" s="42"/>
      <c r="L864" s="42"/>
      <c r="M864" s="12"/>
    </row>
    <row r="865" spans="1:13" x14ac:dyDescent="0.25">
      <c r="A865" s="37">
        <v>863</v>
      </c>
      <c r="B865" s="38"/>
      <c r="C865" s="37"/>
      <c r="D865" s="39"/>
      <c r="E865" s="39"/>
      <c r="F865" s="37"/>
      <c r="G865" s="37"/>
      <c r="H865" s="41"/>
      <c r="I865" s="37"/>
      <c r="J865" s="42"/>
      <c r="K865" s="42"/>
      <c r="L865" s="42"/>
      <c r="M865" s="12"/>
    </row>
    <row r="866" spans="1:13" x14ac:dyDescent="0.25">
      <c r="A866" s="37">
        <v>864</v>
      </c>
      <c r="B866" s="38"/>
      <c r="C866" s="37"/>
      <c r="D866" s="39"/>
      <c r="E866" s="39"/>
      <c r="F866" s="37"/>
      <c r="G866" s="37"/>
      <c r="H866" s="41"/>
      <c r="I866" s="37"/>
      <c r="J866" s="42"/>
      <c r="K866" s="42"/>
      <c r="L866" s="42"/>
      <c r="M866" s="12"/>
    </row>
    <row r="867" spans="1:13" x14ac:dyDescent="0.25">
      <c r="A867" s="37">
        <v>865</v>
      </c>
      <c r="B867" s="38"/>
      <c r="C867" s="37"/>
      <c r="D867" s="39"/>
      <c r="E867" s="39"/>
      <c r="F867" s="37"/>
      <c r="G867" s="37"/>
      <c r="H867" s="41"/>
      <c r="I867" s="37"/>
      <c r="J867" s="42"/>
      <c r="K867" s="42"/>
      <c r="L867" s="42"/>
      <c r="M867" s="12"/>
    </row>
    <row r="868" spans="1:13" x14ac:dyDescent="0.25">
      <c r="A868" s="37">
        <v>866</v>
      </c>
      <c r="B868" s="38"/>
      <c r="C868" s="37"/>
      <c r="D868" s="39"/>
      <c r="E868" s="39"/>
      <c r="F868" s="37"/>
      <c r="G868" s="37"/>
      <c r="H868" s="41"/>
      <c r="I868" s="37"/>
      <c r="J868" s="42"/>
      <c r="K868" s="42"/>
      <c r="L868" s="42"/>
      <c r="M868" s="12"/>
    </row>
    <row r="869" spans="1:13" x14ac:dyDescent="0.25">
      <c r="A869" s="37">
        <v>867</v>
      </c>
      <c r="B869" s="38"/>
      <c r="C869" s="37"/>
      <c r="D869" s="39"/>
      <c r="E869" s="39"/>
      <c r="F869" s="37"/>
      <c r="G869" s="37"/>
      <c r="H869" s="41"/>
      <c r="I869" s="37"/>
      <c r="J869" s="42"/>
      <c r="K869" s="42"/>
      <c r="L869" s="42"/>
      <c r="M869" s="12"/>
    </row>
    <row r="870" spans="1:13" x14ac:dyDescent="0.25">
      <c r="A870" s="37">
        <v>868</v>
      </c>
      <c r="B870" s="38"/>
      <c r="C870" s="37"/>
      <c r="D870" s="39"/>
      <c r="E870" s="39"/>
      <c r="F870" s="37"/>
      <c r="G870" s="37"/>
      <c r="H870" s="41"/>
      <c r="I870" s="37"/>
      <c r="J870" s="42"/>
      <c r="K870" s="42"/>
      <c r="L870" s="42"/>
      <c r="M870" s="12"/>
    </row>
    <row r="871" spans="1:13" x14ac:dyDescent="0.25">
      <c r="A871" s="37">
        <v>869</v>
      </c>
      <c r="B871" s="38"/>
      <c r="C871" s="37"/>
      <c r="D871" s="39"/>
      <c r="E871" s="39"/>
      <c r="F871" s="37"/>
      <c r="G871" s="37"/>
      <c r="H871" s="41"/>
      <c r="I871" s="37"/>
      <c r="J871" s="42"/>
      <c r="K871" s="42"/>
      <c r="L871" s="42"/>
      <c r="M871" s="12"/>
    </row>
    <row r="872" spans="1:13" x14ac:dyDescent="0.25">
      <c r="A872" s="37">
        <v>870</v>
      </c>
      <c r="B872" s="38"/>
      <c r="C872" s="37"/>
      <c r="D872" s="39"/>
      <c r="E872" s="39"/>
      <c r="F872" s="37"/>
      <c r="G872" s="37"/>
      <c r="H872" s="41"/>
      <c r="I872" s="37"/>
      <c r="J872" s="42"/>
      <c r="K872" s="42"/>
      <c r="L872" s="42"/>
      <c r="M872" s="12"/>
    </row>
    <row r="873" spans="1:13" x14ac:dyDescent="0.25">
      <c r="A873" s="37">
        <v>871</v>
      </c>
      <c r="B873" s="38"/>
      <c r="C873" s="37"/>
      <c r="D873" s="39"/>
      <c r="E873" s="39"/>
      <c r="F873" s="37"/>
      <c r="G873" s="37"/>
      <c r="H873" s="41"/>
      <c r="I873" s="37"/>
      <c r="J873" s="42"/>
      <c r="K873" s="42"/>
      <c r="L873" s="42"/>
      <c r="M873" s="12"/>
    </row>
    <row r="874" spans="1:13" x14ac:dyDescent="0.25">
      <c r="A874" s="37">
        <v>872</v>
      </c>
      <c r="B874" s="38"/>
      <c r="C874" s="37"/>
      <c r="D874" s="39"/>
      <c r="E874" s="39"/>
      <c r="F874" s="37"/>
      <c r="G874" s="37"/>
      <c r="H874" s="41"/>
      <c r="I874" s="37"/>
      <c r="J874" s="42"/>
      <c r="K874" s="42"/>
      <c r="L874" s="42"/>
      <c r="M874" s="12"/>
    </row>
    <row r="875" spans="1:13" x14ac:dyDescent="0.25">
      <c r="A875" s="37">
        <v>873</v>
      </c>
      <c r="B875" s="38"/>
      <c r="C875" s="37"/>
      <c r="D875" s="39"/>
      <c r="E875" s="39"/>
      <c r="F875" s="37"/>
      <c r="G875" s="37"/>
      <c r="H875" s="41"/>
      <c r="I875" s="37"/>
      <c r="J875" s="41"/>
      <c r="K875" s="42"/>
      <c r="L875" s="42"/>
      <c r="M875" s="12"/>
    </row>
    <row r="876" spans="1:13" x14ac:dyDescent="0.25">
      <c r="A876" s="37">
        <v>874</v>
      </c>
      <c r="B876" s="38"/>
      <c r="C876" s="37"/>
      <c r="D876" s="39"/>
      <c r="E876" s="39"/>
      <c r="F876" s="37"/>
      <c r="G876" s="37"/>
      <c r="H876" s="41"/>
      <c r="I876" s="37"/>
      <c r="J876" s="42"/>
      <c r="K876" s="42"/>
      <c r="L876" s="42"/>
      <c r="M876" s="12"/>
    </row>
    <row r="877" spans="1:13" x14ac:dyDescent="0.25">
      <c r="A877" s="37">
        <v>875</v>
      </c>
      <c r="B877" s="38"/>
      <c r="C877" s="37"/>
      <c r="D877" s="39"/>
      <c r="E877" s="39"/>
      <c r="F877" s="37"/>
      <c r="G877" s="37"/>
      <c r="H877" s="41"/>
      <c r="I877" s="37"/>
      <c r="J877" s="42"/>
      <c r="K877" s="42"/>
      <c r="L877" s="42"/>
      <c r="M877" s="12"/>
    </row>
    <row r="878" spans="1:13" x14ac:dyDescent="0.25">
      <c r="A878" s="37">
        <v>876</v>
      </c>
      <c r="B878" s="38"/>
      <c r="C878" s="37"/>
      <c r="D878" s="39"/>
      <c r="E878" s="39"/>
      <c r="F878" s="37"/>
      <c r="G878" s="37"/>
      <c r="H878" s="41"/>
      <c r="I878" s="37"/>
      <c r="J878" s="42"/>
      <c r="K878" s="42"/>
      <c r="L878" s="42"/>
      <c r="M878" s="12"/>
    </row>
    <row r="879" spans="1:13" x14ac:dyDescent="0.25">
      <c r="A879" s="37">
        <v>877</v>
      </c>
      <c r="B879" s="38"/>
      <c r="C879" s="37"/>
      <c r="D879" s="39"/>
      <c r="E879" s="39"/>
      <c r="F879" s="37"/>
      <c r="G879" s="37"/>
      <c r="H879" s="41"/>
      <c r="I879" s="37"/>
      <c r="J879" s="42"/>
      <c r="K879" s="42"/>
      <c r="L879" s="42"/>
      <c r="M879" s="12"/>
    </row>
    <row r="880" spans="1:13" x14ac:dyDescent="0.25">
      <c r="A880" s="37">
        <v>878</v>
      </c>
      <c r="B880" s="38"/>
      <c r="C880" s="37"/>
      <c r="D880" s="39"/>
      <c r="E880" s="39"/>
      <c r="F880" s="37"/>
      <c r="G880" s="37"/>
      <c r="H880" s="41"/>
      <c r="I880" s="37"/>
      <c r="J880" s="42"/>
      <c r="K880" s="42"/>
      <c r="L880" s="42"/>
      <c r="M880" s="12"/>
    </row>
    <row r="881" spans="1:13" x14ac:dyDescent="0.25">
      <c r="A881" s="37">
        <v>879</v>
      </c>
      <c r="B881" s="38"/>
      <c r="C881" s="37"/>
      <c r="D881" s="39"/>
      <c r="E881" s="39"/>
      <c r="F881" s="37"/>
      <c r="G881" s="37"/>
      <c r="H881" s="41"/>
      <c r="I881" s="37"/>
      <c r="J881" s="42"/>
      <c r="K881" s="42"/>
      <c r="L881" s="42"/>
      <c r="M881" s="12"/>
    </row>
    <row r="882" spans="1:13" x14ac:dyDescent="0.25">
      <c r="A882" s="37">
        <v>880</v>
      </c>
      <c r="B882" s="38"/>
      <c r="C882" s="37"/>
      <c r="D882" s="39"/>
      <c r="E882" s="39"/>
      <c r="F882" s="37"/>
      <c r="G882" s="37"/>
      <c r="H882" s="41"/>
      <c r="I882" s="37"/>
      <c r="J882" s="42"/>
      <c r="K882" s="42"/>
      <c r="L882" s="42"/>
      <c r="M882" s="12"/>
    </row>
    <row r="883" spans="1:13" x14ac:dyDescent="0.25">
      <c r="A883" s="37">
        <v>881</v>
      </c>
      <c r="B883" s="38"/>
      <c r="C883" s="37"/>
      <c r="D883" s="39"/>
      <c r="E883" s="39"/>
      <c r="F883" s="37"/>
      <c r="G883" s="37"/>
      <c r="H883" s="41"/>
      <c r="I883" s="37"/>
      <c r="J883" s="42"/>
      <c r="K883" s="42"/>
      <c r="L883" s="42"/>
      <c r="M883" s="12"/>
    </row>
    <row r="884" spans="1:13" x14ac:dyDescent="0.25">
      <c r="A884" s="37">
        <v>882</v>
      </c>
      <c r="B884" s="38"/>
      <c r="C884" s="37"/>
      <c r="D884" s="39"/>
      <c r="E884" s="39"/>
      <c r="F884" s="37"/>
      <c r="G884" s="37"/>
      <c r="H884" s="41"/>
      <c r="I884" s="37"/>
      <c r="J884" s="42"/>
      <c r="K884" s="42"/>
      <c r="L884" s="42"/>
      <c r="M884" s="12"/>
    </row>
    <row r="885" spans="1:13" x14ac:dyDescent="0.25">
      <c r="A885" s="37">
        <v>883</v>
      </c>
      <c r="B885" s="38"/>
      <c r="C885" s="37"/>
      <c r="D885" s="39"/>
      <c r="E885" s="39"/>
      <c r="F885" s="37"/>
      <c r="G885" s="37"/>
      <c r="H885" s="41"/>
      <c r="I885" s="37"/>
      <c r="J885" s="42"/>
      <c r="K885" s="42"/>
      <c r="L885" s="42"/>
      <c r="M885" s="12"/>
    </row>
    <row r="886" spans="1:13" x14ac:dyDescent="0.25">
      <c r="A886" s="37">
        <v>884</v>
      </c>
      <c r="B886" s="38"/>
      <c r="C886" s="37"/>
      <c r="D886" s="39"/>
      <c r="E886" s="39"/>
      <c r="F886" s="37"/>
      <c r="G886" s="37"/>
      <c r="H886" s="41"/>
      <c r="I886" s="37"/>
      <c r="J886" s="42"/>
      <c r="K886" s="42"/>
      <c r="L886" s="42"/>
      <c r="M886" s="12"/>
    </row>
    <row r="887" spans="1:13" x14ac:dyDescent="0.25">
      <c r="A887" s="37">
        <v>885</v>
      </c>
      <c r="B887" s="38"/>
      <c r="C887" s="37"/>
      <c r="D887" s="39"/>
      <c r="E887" s="39"/>
      <c r="F887" s="37"/>
      <c r="G887" s="37"/>
      <c r="H887" s="41"/>
      <c r="I887" s="37"/>
      <c r="J887" s="42"/>
      <c r="K887" s="42"/>
      <c r="L887" s="42"/>
      <c r="M887" s="12"/>
    </row>
    <row r="888" spans="1:13" x14ac:dyDescent="0.25">
      <c r="A888" s="37">
        <v>886</v>
      </c>
      <c r="B888" s="38"/>
      <c r="C888" s="37"/>
      <c r="D888" s="39"/>
      <c r="E888" s="39"/>
      <c r="F888" s="37"/>
      <c r="G888" s="37"/>
      <c r="H888" s="41"/>
      <c r="I888" s="37"/>
      <c r="J888" s="42"/>
      <c r="K888" s="42"/>
      <c r="L888" s="42"/>
      <c r="M888" s="12"/>
    </row>
    <row r="889" spans="1:13" x14ac:dyDescent="0.25">
      <c r="A889" s="37">
        <v>887</v>
      </c>
      <c r="B889" s="38"/>
      <c r="C889" s="37"/>
      <c r="D889" s="39"/>
      <c r="E889" s="39"/>
      <c r="F889" s="37"/>
      <c r="G889" s="37"/>
      <c r="H889" s="41"/>
      <c r="I889" s="37"/>
      <c r="J889" s="42"/>
      <c r="K889" s="42"/>
      <c r="L889" s="42"/>
      <c r="M889" s="12"/>
    </row>
    <row r="890" spans="1:13" x14ac:dyDescent="0.25">
      <c r="A890" s="37">
        <v>888</v>
      </c>
      <c r="B890" s="38"/>
      <c r="C890" s="37"/>
      <c r="D890" s="39"/>
      <c r="E890" s="39"/>
      <c r="F890" s="37"/>
      <c r="G890" s="37"/>
      <c r="H890" s="41"/>
      <c r="I890" s="37"/>
      <c r="J890" s="42"/>
      <c r="K890" s="42"/>
      <c r="L890" s="42"/>
      <c r="M890" s="12"/>
    </row>
    <row r="891" spans="1:13" x14ac:dyDescent="0.25">
      <c r="A891" s="37">
        <v>889</v>
      </c>
      <c r="B891" s="38"/>
      <c r="C891" s="37"/>
      <c r="D891" s="39"/>
      <c r="E891" s="39"/>
      <c r="F891" s="37"/>
      <c r="G891" s="37"/>
      <c r="H891" s="41"/>
      <c r="I891" s="37"/>
      <c r="J891" s="42"/>
      <c r="K891" s="42"/>
      <c r="L891" s="42"/>
      <c r="M891" s="12"/>
    </row>
    <row r="892" spans="1:13" x14ac:dyDescent="0.25">
      <c r="A892" s="37">
        <v>890</v>
      </c>
      <c r="B892" s="38"/>
      <c r="C892" s="37"/>
      <c r="D892" s="39"/>
      <c r="E892" s="39"/>
      <c r="F892" s="37"/>
      <c r="G892" s="37"/>
      <c r="H892" s="41"/>
      <c r="I892" s="37"/>
      <c r="J892" s="42"/>
      <c r="K892" s="42"/>
      <c r="L892" s="42"/>
      <c r="M892" s="12"/>
    </row>
    <row r="893" spans="1:13" x14ac:dyDescent="0.25">
      <c r="A893" s="37">
        <v>891</v>
      </c>
      <c r="B893" s="38"/>
      <c r="C893" s="37"/>
      <c r="D893" s="39"/>
      <c r="E893" s="39"/>
      <c r="F893" s="37"/>
      <c r="G893" s="37"/>
      <c r="H893" s="41"/>
      <c r="I893" s="37"/>
      <c r="J893" s="42"/>
      <c r="K893" s="42"/>
      <c r="L893" s="42"/>
      <c r="M893" s="12"/>
    </row>
    <row r="894" spans="1:13" x14ac:dyDescent="0.25">
      <c r="A894" s="37">
        <v>892</v>
      </c>
      <c r="B894" s="38"/>
      <c r="C894" s="37"/>
      <c r="D894" s="39"/>
      <c r="E894" s="39"/>
      <c r="F894" s="37"/>
      <c r="G894" s="37"/>
      <c r="H894" s="41"/>
      <c r="I894" s="37"/>
      <c r="J894" s="42"/>
      <c r="K894" s="42"/>
      <c r="L894" s="42"/>
      <c r="M894" s="12"/>
    </row>
    <row r="895" spans="1:13" x14ac:dyDescent="0.25">
      <c r="A895" s="37">
        <v>893</v>
      </c>
      <c r="B895" s="38"/>
      <c r="C895" s="37"/>
      <c r="D895" s="39"/>
      <c r="E895" s="39"/>
      <c r="F895" s="37"/>
      <c r="G895" s="37"/>
      <c r="H895" s="41"/>
      <c r="I895" s="37"/>
      <c r="J895" s="42"/>
      <c r="K895" s="42"/>
      <c r="L895" s="42"/>
      <c r="M895" s="12"/>
    </row>
    <row r="896" spans="1:13" x14ac:dyDescent="0.25">
      <c r="A896" s="37">
        <v>894</v>
      </c>
      <c r="B896" s="38"/>
      <c r="C896" s="37"/>
      <c r="D896" s="39"/>
      <c r="E896" s="39"/>
      <c r="F896" s="37"/>
      <c r="G896" s="37"/>
      <c r="H896" s="41"/>
      <c r="I896" s="37"/>
      <c r="J896" s="42"/>
      <c r="K896" s="42"/>
      <c r="L896" s="42"/>
      <c r="M896" s="12"/>
    </row>
    <row r="897" spans="1:13" x14ac:dyDescent="0.25">
      <c r="A897" s="37">
        <v>895</v>
      </c>
      <c r="B897" s="38"/>
      <c r="C897" s="37"/>
      <c r="D897" s="39"/>
      <c r="E897" s="39"/>
      <c r="F897" s="37"/>
      <c r="G897" s="37"/>
      <c r="H897" s="41"/>
      <c r="I897" s="37"/>
      <c r="J897" s="42"/>
      <c r="K897" s="42"/>
      <c r="L897" s="42"/>
      <c r="M897" s="12"/>
    </row>
    <row r="898" spans="1:13" x14ac:dyDescent="0.25">
      <c r="A898" s="37">
        <v>896</v>
      </c>
      <c r="B898" s="38"/>
      <c r="C898" s="37"/>
      <c r="D898" s="39"/>
      <c r="E898" s="39"/>
      <c r="F898" s="37"/>
      <c r="G898" s="37"/>
      <c r="H898" s="41"/>
      <c r="I898" s="37"/>
      <c r="J898" s="42"/>
      <c r="K898" s="42"/>
      <c r="L898" s="42"/>
      <c r="M898" s="12"/>
    </row>
    <row r="899" spans="1:13" x14ac:dyDescent="0.25">
      <c r="A899" s="37">
        <v>897</v>
      </c>
      <c r="B899" s="38"/>
      <c r="C899" s="37"/>
      <c r="D899" s="39"/>
      <c r="E899" s="39"/>
      <c r="F899" s="37"/>
      <c r="G899" s="37"/>
      <c r="H899" s="41"/>
      <c r="I899" s="37"/>
      <c r="J899" s="42"/>
      <c r="K899" s="42"/>
      <c r="L899" s="42"/>
      <c r="M899" s="12"/>
    </row>
    <row r="900" spans="1:13" x14ac:dyDescent="0.25">
      <c r="A900" s="37">
        <v>898</v>
      </c>
      <c r="B900" s="38"/>
      <c r="C900" s="37"/>
      <c r="D900" s="39"/>
      <c r="E900" s="39"/>
      <c r="F900" s="37"/>
      <c r="G900" s="37"/>
      <c r="H900" s="41"/>
      <c r="I900" s="37"/>
      <c r="J900" s="42"/>
      <c r="K900" s="42"/>
      <c r="L900" s="42"/>
      <c r="M900" s="12"/>
    </row>
    <row r="901" spans="1:13" x14ac:dyDescent="0.25">
      <c r="A901" s="37">
        <v>899</v>
      </c>
      <c r="B901" s="38"/>
      <c r="C901" s="37"/>
      <c r="D901" s="39"/>
      <c r="E901" s="39"/>
      <c r="F901" s="37"/>
      <c r="G901" s="37"/>
      <c r="H901" s="41"/>
      <c r="I901" s="37"/>
      <c r="J901" s="42"/>
      <c r="K901" s="42"/>
      <c r="L901" s="42"/>
      <c r="M901" s="12"/>
    </row>
    <row r="902" spans="1:13" x14ac:dyDescent="0.25">
      <c r="A902" s="37">
        <v>900</v>
      </c>
      <c r="B902" s="38"/>
      <c r="C902" s="37"/>
      <c r="D902" s="39"/>
      <c r="E902" s="39"/>
      <c r="F902" s="37"/>
      <c r="G902" s="37"/>
      <c r="H902" s="41"/>
      <c r="I902" s="37"/>
      <c r="J902" s="42"/>
      <c r="K902" s="42"/>
      <c r="L902" s="42"/>
      <c r="M902" s="12"/>
    </row>
    <row r="903" spans="1:13" x14ac:dyDescent="0.25">
      <c r="A903" s="37">
        <v>901</v>
      </c>
      <c r="B903" s="38"/>
      <c r="C903" s="37"/>
      <c r="D903" s="39"/>
      <c r="E903" s="39"/>
      <c r="F903" s="37"/>
      <c r="G903" s="37"/>
      <c r="H903" s="41"/>
      <c r="I903" s="37"/>
      <c r="J903" s="42"/>
      <c r="K903" s="42"/>
      <c r="L903" s="42"/>
      <c r="M903" s="12"/>
    </row>
    <row r="904" spans="1:13" ht="12" x14ac:dyDescent="0.25">
      <c r="A904" s="37">
        <v>902</v>
      </c>
      <c r="B904" s="354"/>
      <c r="C904" s="352"/>
      <c r="D904" s="353"/>
      <c r="E904" s="353"/>
      <c r="F904" s="352"/>
      <c r="G904" s="30"/>
      <c r="H904" s="41"/>
      <c r="I904" s="37"/>
      <c r="J904" s="42"/>
      <c r="K904" s="42"/>
      <c r="L904" s="42"/>
      <c r="M904" s="12"/>
    </row>
    <row r="905" spans="1:13" x14ac:dyDescent="0.2">
      <c r="A905" s="37">
        <v>903</v>
      </c>
      <c r="B905" s="38"/>
      <c r="C905" s="37"/>
      <c r="D905" s="39"/>
      <c r="E905" s="39"/>
      <c r="F905" s="37"/>
      <c r="G905" s="37"/>
      <c r="H905" s="352"/>
      <c r="I905" s="352"/>
      <c r="J905" s="352"/>
      <c r="K905" s="35"/>
      <c r="L905" s="352"/>
      <c r="M905" s="12"/>
    </row>
    <row r="906" spans="1:13" x14ac:dyDescent="0.25">
      <c r="A906" s="37">
        <v>904</v>
      </c>
      <c r="B906" s="38"/>
      <c r="C906" s="37"/>
      <c r="D906" s="39"/>
      <c r="E906" s="39"/>
      <c r="F906" s="37"/>
      <c r="G906" s="37"/>
      <c r="H906" s="41"/>
      <c r="I906" s="37"/>
      <c r="J906" s="42"/>
      <c r="K906" s="42"/>
      <c r="L906" s="42"/>
      <c r="M906" s="12"/>
    </row>
    <row r="907" spans="1:13" x14ac:dyDescent="0.25">
      <c r="A907" s="37">
        <v>905</v>
      </c>
      <c r="B907" s="38"/>
      <c r="C907" s="37"/>
      <c r="D907" s="39"/>
      <c r="E907" s="39"/>
      <c r="F907" s="37"/>
      <c r="G907" s="37"/>
      <c r="H907" s="41"/>
      <c r="I907" s="37"/>
      <c r="J907" s="42"/>
      <c r="K907" s="42"/>
      <c r="L907" s="42"/>
      <c r="M907" s="12"/>
    </row>
    <row r="908" spans="1:13" x14ac:dyDescent="0.25">
      <c r="A908" s="37">
        <v>906</v>
      </c>
      <c r="B908" s="38"/>
      <c r="C908" s="37"/>
      <c r="D908" s="39"/>
      <c r="E908" s="39"/>
      <c r="F908" s="37"/>
      <c r="G908" s="37"/>
      <c r="H908" s="41"/>
      <c r="I908" s="37"/>
      <c r="J908" s="42"/>
      <c r="K908" s="42"/>
      <c r="L908" s="42"/>
      <c r="M908" s="12"/>
    </row>
    <row r="909" spans="1:13" x14ac:dyDescent="0.25">
      <c r="A909" s="37">
        <v>907</v>
      </c>
      <c r="B909" s="38"/>
      <c r="C909" s="37"/>
      <c r="D909" s="39"/>
      <c r="E909" s="39"/>
      <c r="F909" s="37"/>
      <c r="G909" s="37"/>
      <c r="H909" s="41"/>
      <c r="I909" s="37"/>
      <c r="J909" s="42"/>
      <c r="K909" s="42"/>
      <c r="L909" s="42"/>
      <c r="M909" s="12"/>
    </row>
    <row r="910" spans="1:13" x14ac:dyDescent="0.25">
      <c r="A910" s="37">
        <v>908</v>
      </c>
      <c r="B910" s="38"/>
      <c r="C910" s="37"/>
      <c r="D910" s="39"/>
      <c r="E910" s="39"/>
      <c r="F910" s="37"/>
      <c r="G910" s="37"/>
      <c r="H910" s="41"/>
      <c r="I910" s="37"/>
      <c r="J910" s="42"/>
      <c r="K910" s="42"/>
      <c r="L910" s="42"/>
      <c r="M910" s="12"/>
    </row>
    <row r="911" spans="1:13" x14ac:dyDescent="0.25">
      <c r="A911" s="37">
        <v>909</v>
      </c>
      <c r="B911" s="38"/>
      <c r="C911" s="37"/>
      <c r="D911" s="39"/>
      <c r="E911" s="39"/>
      <c r="F911" s="37"/>
      <c r="G911" s="37"/>
      <c r="H911" s="41"/>
      <c r="I911" s="37"/>
      <c r="J911" s="42"/>
      <c r="K911" s="42"/>
      <c r="L911" s="42"/>
      <c r="M911" s="12"/>
    </row>
    <row r="912" spans="1:13" x14ac:dyDescent="0.25">
      <c r="A912" s="37">
        <v>910</v>
      </c>
      <c r="B912" s="38"/>
      <c r="C912" s="37"/>
      <c r="D912" s="39"/>
      <c r="E912" s="39"/>
      <c r="F912" s="37"/>
      <c r="G912" s="37"/>
      <c r="H912" s="41"/>
      <c r="I912" s="37"/>
      <c r="J912" s="42"/>
      <c r="K912" s="42"/>
      <c r="L912" s="42"/>
      <c r="M912" s="12"/>
    </row>
    <row r="913" spans="1:13" x14ac:dyDescent="0.25">
      <c r="A913" s="37">
        <v>911</v>
      </c>
      <c r="B913" s="38"/>
      <c r="C913" s="37"/>
      <c r="D913" s="39"/>
      <c r="E913" s="39"/>
      <c r="F913" s="37"/>
      <c r="G913" s="37"/>
      <c r="H913" s="41"/>
      <c r="I913" s="37"/>
      <c r="J913" s="42"/>
      <c r="K913" s="42"/>
      <c r="L913" s="42"/>
      <c r="M913" s="12"/>
    </row>
    <row r="914" spans="1:13" x14ac:dyDescent="0.25">
      <c r="A914" s="37">
        <v>912</v>
      </c>
      <c r="B914" s="38"/>
      <c r="C914" s="37"/>
      <c r="D914" s="39"/>
      <c r="E914" s="39"/>
      <c r="F914" s="37"/>
      <c r="G914" s="37"/>
      <c r="H914" s="41"/>
      <c r="I914" s="37"/>
      <c r="J914" s="42"/>
      <c r="K914" s="42"/>
      <c r="L914" s="42"/>
      <c r="M914" s="12"/>
    </row>
    <row r="915" spans="1:13" x14ac:dyDescent="0.25">
      <c r="A915" s="37">
        <v>913</v>
      </c>
      <c r="B915" s="38"/>
      <c r="C915" s="37"/>
      <c r="D915" s="39"/>
      <c r="E915" s="39"/>
      <c r="F915" s="37"/>
      <c r="G915" s="37"/>
      <c r="H915" s="41"/>
      <c r="I915" s="37"/>
      <c r="J915" s="42"/>
      <c r="K915" s="42"/>
      <c r="L915" s="42"/>
      <c r="M915" s="12"/>
    </row>
    <row r="916" spans="1:13" x14ac:dyDescent="0.25">
      <c r="A916" s="37">
        <v>914</v>
      </c>
      <c r="B916" s="38"/>
      <c r="C916" s="37"/>
      <c r="D916" s="39"/>
      <c r="E916" s="39"/>
      <c r="F916" s="37"/>
      <c r="G916" s="37"/>
      <c r="H916" s="41"/>
      <c r="I916" s="37"/>
      <c r="J916" s="42"/>
      <c r="K916" s="42"/>
      <c r="L916" s="42"/>
      <c r="M916" s="12"/>
    </row>
    <row r="917" spans="1:13" x14ac:dyDescent="0.25">
      <c r="A917" s="37">
        <v>915</v>
      </c>
      <c r="B917" s="38"/>
      <c r="C917" s="37"/>
      <c r="D917" s="39"/>
      <c r="E917" s="39"/>
      <c r="F917" s="37"/>
      <c r="G917" s="37"/>
      <c r="H917" s="41"/>
      <c r="I917" s="37"/>
      <c r="J917" s="42"/>
      <c r="K917" s="42"/>
      <c r="L917" s="42"/>
      <c r="M917" s="12"/>
    </row>
    <row r="918" spans="1:13" x14ac:dyDescent="0.25">
      <c r="A918" s="37">
        <v>916</v>
      </c>
      <c r="B918" s="38"/>
      <c r="C918" s="37"/>
      <c r="D918" s="39"/>
      <c r="E918" s="39"/>
      <c r="F918" s="37"/>
      <c r="G918" s="37"/>
      <c r="H918" s="41"/>
      <c r="I918" s="37"/>
      <c r="J918" s="42"/>
      <c r="K918" s="42"/>
      <c r="L918" s="42"/>
      <c r="M918" s="12"/>
    </row>
    <row r="919" spans="1:13" x14ac:dyDescent="0.25">
      <c r="A919" s="37">
        <v>917</v>
      </c>
      <c r="B919" s="38"/>
      <c r="C919" s="37"/>
      <c r="D919" s="39"/>
      <c r="E919" s="39"/>
      <c r="F919" s="37"/>
      <c r="G919" s="37"/>
      <c r="H919" s="41"/>
      <c r="I919" s="37"/>
      <c r="J919" s="42"/>
      <c r="K919" s="42"/>
      <c r="L919" s="42"/>
      <c r="M919" s="12"/>
    </row>
    <row r="920" spans="1:13" x14ac:dyDescent="0.25">
      <c r="A920" s="37">
        <v>918</v>
      </c>
      <c r="B920" s="38"/>
      <c r="C920" s="37"/>
      <c r="D920" s="39"/>
      <c r="E920" s="39"/>
      <c r="F920" s="37"/>
      <c r="G920" s="37"/>
      <c r="H920" s="41"/>
      <c r="I920" s="37"/>
      <c r="J920" s="42"/>
      <c r="K920" s="42"/>
      <c r="L920" s="42"/>
      <c r="M920" s="12"/>
    </row>
    <row r="921" spans="1:13" x14ac:dyDescent="0.25">
      <c r="A921" s="37">
        <v>919</v>
      </c>
      <c r="B921" s="38"/>
      <c r="C921" s="37"/>
      <c r="D921" s="39"/>
      <c r="E921" s="39"/>
      <c r="F921" s="37"/>
      <c r="G921" s="37"/>
      <c r="H921" s="41"/>
      <c r="I921" s="37"/>
      <c r="J921" s="42"/>
      <c r="K921" s="42"/>
      <c r="L921" s="42"/>
      <c r="M921" s="12"/>
    </row>
    <row r="922" spans="1:13" x14ac:dyDescent="0.25">
      <c r="A922" s="37">
        <v>920</v>
      </c>
      <c r="B922" s="38"/>
      <c r="C922" s="37"/>
      <c r="D922" s="39"/>
      <c r="E922" s="39"/>
      <c r="F922" s="37"/>
      <c r="G922" s="37"/>
      <c r="H922" s="41"/>
      <c r="I922" s="37"/>
      <c r="J922" s="42"/>
      <c r="K922" s="42"/>
      <c r="L922" s="42"/>
      <c r="M922" s="12"/>
    </row>
    <row r="923" spans="1:13" x14ac:dyDescent="0.25">
      <c r="A923" s="37">
        <v>921</v>
      </c>
      <c r="B923" s="38"/>
      <c r="C923" s="37"/>
      <c r="D923" s="39"/>
      <c r="E923" s="39"/>
      <c r="F923" s="37"/>
      <c r="G923" s="37"/>
      <c r="H923" s="41"/>
      <c r="I923" s="37"/>
      <c r="J923" s="42"/>
      <c r="K923" s="43"/>
      <c r="L923" s="42"/>
      <c r="M923" s="12"/>
    </row>
    <row r="924" spans="1:13" x14ac:dyDescent="0.25">
      <c r="A924" s="37">
        <v>922</v>
      </c>
      <c r="B924" s="38"/>
      <c r="C924" s="37"/>
      <c r="D924" s="39"/>
      <c r="E924" s="39"/>
      <c r="F924" s="37"/>
      <c r="G924" s="37"/>
      <c r="H924" s="41"/>
      <c r="I924" s="37"/>
      <c r="J924" s="42"/>
      <c r="K924" s="42"/>
      <c r="L924" s="42"/>
      <c r="M924" s="12"/>
    </row>
    <row r="925" spans="1:13" x14ac:dyDescent="0.25">
      <c r="A925" s="37">
        <v>923</v>
      </c>
      <c r="B925" s="38"/>
      <c r="C925" s="37"/>
      <c r="D925" s="39"/>
      <c r="E925" s="39"/>
      <c r="F925" s="37"/>
      <c r="G925" s="37"/>
      <c r="H925" s="41"/>
      <c r="I925" s="37"/>
      <c r="J925" s="42"/>
      <c r="K925" s="42"/>
      <c r="L925" s="42"/>
      <c r="M925" s="12"/>
    </row>
    <row r="926" spans="1:13" x14ac:dyDescent="0.25">
      <c r="A926" s="37">
        <v>924</v>
      </c>
      <c r="B926" s="38"/>
      <c r="C926" s="37"/>
      <c r="D926" s="39"/>
      <c r="E926" s="39"/>
      <c r="F926" s="37"/>
      <c r="G926" s="37"/>
      <c r="H926" s="41"/>
      <c r="I926" s="37"/>
      <c r="J926" s="42"/>
      <c r="K926" s="42"/>
      <c r="L926" s="42"/>
      <c r="M926" s="12"/>
    </row>
    <row r="927" spans="1:13" x14ac:dyDescent="0.25">
      <c r="A927" s="37">
        <v>925</v>
      </c>
      <c r="B927" s="38"/>
      <c r="C927" s="37"/>
      <c r="D927" s="39"/>
      <c r="E927" s="39"/>
      <c r="F927" s="37"/>
      <c r="G927" s="37"/>
      <c r="H927" s="41"/>
      <c r="I927" s="37"/>
      <c r="J927" s="42"/>
      <c r="K927" s="42"/>
      <c r="L927" s="42"/>
      <c r="M927" s="12"/>
    </row>
    <row r="928" spans="1:13" x14ac:dyDescent="0.25">
      <c r="A928" s="37">
        <v>926</v>
      </c>
      <c r="B928" s="38"/>
      <c r="C928" s="37"/>
      <c r="D928" s="39"/>
      <c r="E928" s="39"/>
      <c r="F928" s="37"/>
      <c r="G928" s="37"/>
      <c r="H928" s="41"/>
      <c r="I928" s="37"/>
      <c r="J928" s="42"/>
      <c r="K928" s="42"/>
      <c r="L928" s="42"/>
      <c r="M928" s="12"/>
    </row>
    <row r="929" spans="1:13" x14ac:dyDescent="0.25">
      <c r="A929" s="37">
        <v>927</v>
      </c>
      <c r="B929" s="38"/>
      <c r="C929" s="37"/>
      <c r="D929" s="39"/>
      <c r="E929" s="39"/>
      <c r="F929" s="37"/>
      <c r="G929" s="37"/>
      <c r="H929" s="41"/>
      <c r="I929" s="37"/>
      <c r="J929" s="42"/>
      <c r="K929" s="42"/>
      <c r="L929" s="42"/>
      <c r="M929" s="12"/>
    </row>
    <row r="930" spans="1:13" x14ac:dyDescent="0.25">
      <c r="A930" s="37">
        <v>928</v>
      </c>
      <c r="B930" s="38"/>
      <c r="C930" s="37"/>
      <c r="D930" s="39"/>
      <c r="E930" s="39"/>
      <c r="F930" s="37"/>
      <c r="G930" s="37"/>
      <c r="H930" s="41"/>
      <c r="I930" s="37"/>
      <c r="J930" s="42"/>
      <c r="K930" s="42"/>
      <c r="L930" s="42"/>
      <c r="M930" s="12"/>
    </row>
    <row r="931" spans="1:13" x14ac:dyDescent="0.25">
      <c r="A931" s="37">
        <v>929</v>
      </c>
      <c r="B931" s="38"/>
      <c r="C931" s="37"/>
      <c r="D931" s="39"/>
      <c r="E931" s="39"/>
      <c r="F931" s="37"/>
      <c r="G931" s="37"/>
      <c r="H931" s="41"/>
      <c r="I931" s="37"/>
      <c r="J931" s="42"/>
      <c r="K931" s="43"/>
      <c r="L931" s="42"/>
      <c r="M931" s="12"/>
    </row>
    <row r="932" spans="1:13" x14ac:dyDescent="0.25">
      <c r="A932" s="37">
        <v>930</v>
      </c>
      <c r="B932" s="38"/>
      <c r="C932" s="37"/>
      <c r="D932" s="39"/>
      <c r="E932" s="39"/>
      <c r="F932" s="37"/>
      <c r="G932" s="37"/>
      <c r="H932" s="41"/>
      <c r="I932" s="37"/>
      <c r="J932" s="42"/>
      <c r="K932" s="42"/>
      <c r="L932" s="42"/>
      <c r="M932" s="12"/>
    </row>
    <row r="933" spans="1:13" x14ac:dyDescent="0.25">
      <c r="A933" s="37">
        <v>931</v>
      </c>
      <c r="B933" s="38"/>
      <c r="C933" s="37"/>
      <c r="D933" s="39"/>
      <c r="E933" s="39"/>
      <c r="F933" s="37"/>
      <c r="G933" s="37"/>
      <c r="H933" s="41"/>
      <c r="I933" s="37"/>
      <c r="J933" s="42"/>
      <c r="K933" s="42"/>
      <c r="L933" s="42"/>
      <c r="M933" s="12"/>
    </row>
    <row r="934" spans="1:13" x14ac:dyDescent="0.25">
      <c r="A934" s="37">
        <v>933</v>
      </c>
      <c r="B934" s="38"/>
      <c r="C934" s="37"/>
      <c r="D934" s="39"/>
      <c r="E934" s="39"/>
      <c r="F934" s="37"/>
      <c r="G934" s="37"/>
      <c r="H934" s="41"/>
      <c r="I934" s="37"/>
      <c r="J934" s="42"/>
      <c r="K934" s="42"/>
      <c r="L934" s="42"/>
      <c r="M934" s="12"/>
    </row>
    <row r="935" spans="1:13" x14ac:dyDescent="0.25">
      <c r="A935" s="37">
        <v>934</v>
      </c>
      <c r="B935" s="38"/>
      <c r="C935" s="37"/>
      <c r="D935" s="39"/>
      <c r="E935" s="39"/>
      <c r="F935" s="37"/>
      <c r="G935" s="37"/>
      <c r="H935" s="41"/>
      <c r="I935" s="37"/>
      <c r="J935" s="42"/>
      <c r="K935" s="42"/>
      <c r="L935" s="42"/>
      <c r="M935" s="12"/>
    </row>
    <row r="936" spans="1:13" x14ac:dyDescent="0.25">
      <c r="A936" s="37">
        <v>935</v>
      </c>
      <c r="B936" s="38"/>
      <c r="C936" s="37"/>
      <c r="D936" s="39"/>
      <c r="E936" s="39"/>
      <c r="F936" s="37"/>
      <c r="G936" s="37"/>
      <c r="H936" s="41"/>
      <c r="I936" s="37"/>
      <c r="J936" s="42"/>
      <c r="K936" s="42"/>
      <c r="L936" s="42"/>
      <c r="M936" s="12"/>
    </row>
    <row r="937" spans="1:13" x14ac:dyDescent="0.25">
      <c r="A937" s="37">
        <v>936</v>
      </c>
      <c r="B937" s="38"/>
      <c r="C937" s="37"/>
      <c r="D937" s="39"/>
      <c r="E937" s="39"/>
      <c r="F937" s="37"/>
      <c r="G937" s="37"/>
      <c r="H937" s="41"/>
      <c r="I937" s="37"/>
      <c r="J937" s="42"/>
      <c r="K937" s="42"/>
      <c r="L937" s="42"/>
      <c r="M937" s="12"/>
    </row>
    <row r="938" spans="1:13" x14ac:dyDescent="0.25">
      <c r="A938" s="37">
        <v>937</v>
      </c>
      <c r="B938" s="38"/>
      <c r="C938" s="37"/>
      <c r="D938" s="39"/>
      <c r="E938" s="39"/>
      <c r="F938" s="37"/>
      <c r="G938" s="37"/>
      <c r="H938" s="41"/>
      <c r="I938" s="37"/>
      <c r="J938" s="42"/>
      <c r="K938" s="42"/>
      <c r="L938" s="42"/>
      <c r="M938" s="12"/>
    </row>
    <row r="939" spans="1:13" x14ac:dyDescent="0.25">
      <c r="A939" s="37">
        <v>938</v>
      </c>
      <c r="B939" s="38"/>
      <c r="C939" s="37"/>
      <c r="D939" s="39"/>
      <c r="E939" s="39"/>
      <c r="F939" s="37"/>
      <c r="G939" s="37"/>
      <c r="H939" s="41"/>
      <c r="I939" s="37"/>
      <c r="J939" s="42"/>
      <c r="K939" s="42"/>
      <c r="L939" s="42"/>
      <c r="M939" s="12"/>
    </row>
    <row r="940" spans="1:13" x14ac:dyDescent="0.25">
      <c r="A940" s="37">
        <v>939</v>
      </c>
      <c r="B940" s="38"/>
      <c r="C940" s="37"/>
      <c r="D940" s="39"/>
      <c r="E940" s="39"/>
      <c r="F940" s="37"/>
      <c r="G940" s="37"/>
      <c r="H940" s="41"/>
      <c r="I940" s="37"/>
      <c r="J940" s="42"/>
      <c r="K940" s="42"/>
      <c r="L940" s="42"/>
      <c r="M940" s="12"/>
    </row>
    <row r="941" spans="1:13" x14ac:dyDescent="0.25">
      <c r="A941" s="37">
        <v>940</v>
      </c>
      <c r="B941" s="38"/>
      <c r="C941" s="37"/>
      <c r="D941" s="39"/>
      <c r="E941" s="39"/>
      <c r="F941" s="37"/>
      <c r="G941" s="37"/>
      <c r="H941" s="41"/>
      <c r="I941" s="37"/>
      <c r="J941" s="42"/>
      <c r="K941" s="42"/>
      <c r="L941" s="42"/>
      <c r="M941" s="12"/>
    </row>
    <row r="942" spans="1:13" x14ac:dyDescent="0.25">
      <c r="A942" s="37">
        <v>941</v>
      </c>
      <c r="B942" s="38"/>
      <c r="C942" s="37"/>
      <c r="D942" s="39"/>
      <c r="E942" s="39"/>
      <c r="F942" s="37"/>
      <c r="G942" s="37"/>
      <c r="H942" s="41"/>
      <c r="I942" s="37"/>
      <c r="J942" s="42"/>
      <c r="K942" s="42"/>
      <c r="L942" s="42"/>
      <c r="M942" s="12"/>
    </row>
    <row r="943" spans="1:13" x14ac:dyDescent="0.25">
      <c r="A943" s="37">
        <v>942</v>
      </c>
      <c r="B943" s="38"/>
      <c r="C943" s="37"/>
      <c r="D943" s="39"/>
      <c r="E943" s="39"/>
      <c r="F943" s="342"/>
      <c r="G943" s="37"/>
      <c r="H943" s="41"/>
      <c r="I943" s="37"/>
      <c r="J943" s="42"/>
      <c r="K943" s="42"/>
      <c r="L943" s="42"/>
      <c r="M943" s="12"/>
    </row>
    <row r="944" spans="1:13" x14ac:dyDescent="0.25">
      <c r="A944" s="37">
        <v>943</v>
      </c>
      <c r="B944" s="38"/>
      <c r="C944" s="37"/>
      <c r="D944" s="39"/>
      <c r="E944" s="39"/>
      <c r="F944" s="37"/>
      <c r="G944" s="37"/>
      <c r="H944" s="41"/>
      <c r="I944" s="37"/>
      <c r="J944" s="42"/>
      <c r="K944" s="43"/>
      <c r="L944" s="42"/>
      <c r="M944" s="12"/>
    </row>
    <row r="945" spans="1:13" x14ac:dyDescent="0.25">
      <c r="A945" s="37">
        <v>944</v>
      </c>
      <c r="B945" s="38"/>
      <c r="C945" s="37"/>
      <c r="D945" s="39"/>
      <c r="E945" s="39"/>
      <c r="F945" s="37"/>
      <c r="G945" s="37"/>
      <c r="H945" s="41"/>
      <c r="I945" s="37"/>
      <c r="J945" s="42"/>
      <c r="K945" s="42"/>
      <c r="L945" s="42"/>
      <c r="M945" s="12"/>
    </row>
    <row r="946" spans="1:13" x14ac:dyDescent="0.25">
      <c r="A946" s="37">
        <v>945</v>
      </c>
      <c r="B946" s="38"/>
      <c r="C946" s="37"/>
      <c r="D946" s="39"/>
      <c r="E946" s="39"/>
      <c r="F946" s="37"/>
      <c r="G946" s="37"/>
      <c r="H946" s="41"/>
      <c r="I946" s="37"/>
      <c r="J946" s="42"/>
      <c r="K946" s="42"/>
      <c r="L946" s="42"/>
      <c r="M946" s="12"/>
    </row>
    <row r="947" spans="1:13" x14ac:dyDescent="0.25">
      <c r="A947" s="37">
        <v>946</v>
      </c>
      <c r="B947" s="38"/>
      <c r="C947" s="37"/>
      <c r="D947" s="39"/>
      <c r="E947" s="39"/>
      <c r="F947" s="37"/>
      <c r="G947" s="37"/>
      <c r="H947" s="41"/>
      <c r="I947" s="37"/>
      <c r="J947" s="42"/>
      <c r="K947" s="42"/>
      <c r="L947" s="42"/>
      <c r="M947" s="12"/>
    </row>
    <row r="948" spans="1:13" x14ac:dyDescent="0.25">
      <c r="A948" s="37">
        <v>947</v>
      </c>
      <c r="B948" s="38"/>
      <c r="C948" s="37"/>
      <c r="D948" s="39"/>
      <c r="E948" s="39"/>
      <c r="F948" s="37"/>
      <c r="G948" s="37"/>
      <c r="H948" s="41"/>
      <c r="I948" s="37"/>
      <c r="J948" s="42"/>
      <c r="K948" s="42"/>
      <c r="L948" s="42"/>
      <c r="M948" s="12"/>
    </row>
    <row r="949" spans="1:13" x14ac:dyDescent="0.25">
      <c r="A949" s="37">
        <v>948</v>
      </c>
      <c r="B949" s="38"/>
      <c r="C949" s="37"/>
      <c r="D949" s="39"/>
      <c r="E949" s="39"/>
      <c r="F949" s="37"/>
      <c r="G949" s="37"/>
      <c r="H949" s="41"/>
      <c r="I949" s="37"/>
      <c r="J949" s="42"/>
      <c r="K949" s="42"/>
      <c r="L949" s="42"/>
      <c r="M949" s="12"/>
    </row>
    <row r="950" spans="1:13" x14ac:dyDescent="0.25">
      <c r="A950" s="37">
        <v>949</v>
      </c>
      <c r="B950" s="38"/>
      <c r="C950" s="37"/>
      <c r="D950" s="39"/>
      <c r="E950" s="39"/>
      <c r="F950" s="37"/>
      <c r="G950" s="37"/>
      <c r="H950" s="41"/>
      <c r="I950" s="37"/>
      <c r="J950" s="42"/>
      <c r="K950" s="42"/>
      <c r="L950" s="42"/>
      <c r="M950" s="12"/>
    </row>
    <row r="951" spans="1:13" x14ac:dyDescent="0.25">
      <c r="A951" s="37">
        <v>950</v>
      </c>
      <c r="B951" s="38"/>
      <c r="C951" s="37"/>
      <c r="D951" s="39"/>
      <c r="E951" s="39"/>
      <c r="F951" s="37"/>
      <c r="G951" s="37"/>
      <c r="H951" s="41"/>
      <c r="I951" s="37"/>
      <c r="J951" s="42"/>
      <c r="K951" s="42"/>
      <c r="L951" s="42"/>
      <c r="M951" s="12"/>
    </row>
    <row r="952" spans="1:13" x14ac:dyDescent="0.25">
      <c r="A952" s="37">
        <v>951</v>
      </c>
      <c r="B952" s="38"/>
      <c r="C952" s="37"/>
      <c r="D952" s="39"/>
      <c r="E952" s="39"/>
      <c r="F952" s="37"/>
      <c r="G952" s="37"/>
      <c r="H952" s="41"/>
      <c r="I952" s="37"/>
      <c r="J952" s="42"/>
      <c r="K952" s="42"/>
      <c r="L952" s="42"/>
      <c r="M952" s="12"/>
    </row>
    <row r="953" spans="1:13" x14ac:dyDescent="0.25">
      <c r="A953" s="37">
        <v>952</v>
      </c>
      <c r="B953" s="38"/>
      <c r="C953" s="37"/>
      <c r="D953" s="39"/>
      <c r="E953" s="39"/>
      <c r="F953" s="37"/>
      <c r="G953" s="37"/>
      <c r="H953" s="41"/>
      <c r="I953" s="37"/>
      <c r="J953" s="42"/>
      <c r="K953" s="42"/>
      <c r="L953" s="42"/>
      <c r="M953" s="12"/>
    </row>
    <row r="954" spans="1:13" x14ac:dyDescent="0.25">
      <c r="A954" s="37">
        <v>953</v>
      </c>
      <c r="B954" s="38"/>
      <c r="C954" s="37"/>
      <c r="D954" s="39"/>
      <c r="E954" s="39"/>
      <c r="F954" s="37"/>
      <c r="G954" s="37"/>
      <c r="H954" s="41"/>
      <c r="I954" s="37"/>
      <c r="J954" s="42"/>
      <c r="K954" s="42"/>
      <c r="L954" s="42"/>
      <c r="M954" s="12"/>
    </row>
    <row r="955" spans="1:13" x14ac:dyDescent="0.25">
      <c r="A955" s="37">
        <v>954</v>
      </c>
      <c r="B955" s="38"/>
      <c r="C955" s="37"/>
      <c r="D955" s="39"/>
      <c r="E955" s="39"/>
      <c r="F955" s="37"/>
      <c r="G955" s="37"/>
      <c r="H955" s="41"/>
      <c r="I955" s="37"/>
      <c r="J955" s="42"/>
      <c r="K955" s="42"/>
      <c r="L955" s="42"/>
      <c r="M955" s="12"/>
    </row>
    <row r="956" spans="1:13" x14ac:dyDescent="0.25">
      <c r="A956" s="37">
        <v>955</v>
      </c>
      <c r="B956" s="38"/>
      <c r="C956" s="37"/>
      <c r="D956" s="39"/>
      <c r="E956" s="39"/>
      <c r="F956" s="37"/>
      <c r="G956" s="37"/>
      <c r="H956" s="41"/>
      <c r="I956" s="37"/>
      <c r="J956" s="42"/>
      <c r="K956" s="42"/>
      <c r="L956" s="42"/>
      <c r="M956" s="12"/>
    </row>
    <row r="957" spans="1:13" x14ac:dyDescent="0.25">
      <c r="A957" s="37">
        <v>956</v>
      </c>
      <c r="B957" s="38"/>
      <c r="C957" s="37"/>
      <c r="D957" s="39"/>
      <c r="E957" s="39"/>
      <c r="F957" s="37"/>
      <c r="G957" s="37"/>
      <c r="H957" s="41"/>
      <c r="I957" s="37"/>
      <c r="J957" s="42"/>
      <c r="K957" s="42"/>
      <c r="L957" s="42"/>
      <c r="M957" s="12"/>
    </row>
    <row r="958" spans="1:13" x14ac:dyDescent="0.25">
      <c r="A958" s="37">
        <v>957</v>
      </c>
      <c r="B958" s="38"/>
      <c r="C958" s="37"/>
      <c r="D958" s="39"/>
      <c r="E958" s="39"/>
      <c r="F958" s="37"/>
      <c r="G958" s="37"/>
      <c r="H958" s="41"/>
      <c r="I958" s="37"/>
      <c r="J958" s="42"/>
      <c r="K958" s="42"/>
      <c r="L958" s="42"/>
      <c r="M958" s="12"/>
    </row>
    <row r="959" spans="1:13" x14ac:dyDescent="0.25">
      <c r="A959" s="37">
        <v>958</v>
      </c>
      <c r="B959" s="38"/>
      <c r="C959" s="37"/>
      <c r="D959" s="39"/>
      <c r="E959" s="39"/>
      <c r="F959" s="37"/>
      <c r="G959" s="37"/>
      <c r="H959" s="41"/>
      <c r="I959" s="37"/>
      <c r="J959" s="42"/>
      <c r="K959" s="42"/>
      <c r="L959" s="42"/>
      <c r="M959" s="12"/>
    </row>
    <row r="960" spans="1:13" x14ac:dyDescent="0.25">
      <c r="A960" s="37">
        <v>959</v>
      </c>
      <c r="B960" s="38"/>
      <c r="C960" s="37"/>
      <c r="D960" s="39"/>
      <c r="E960" s="39"/>
      <c r="F960" s="37"/>
      <c r="G960" s="37"/>
      <c r="H960" s="41"/>
      <c r="I960" s="37"/>
      <c r="J960" s="42"/>
      <c r="K960" s="42"/>
      <c r="L960" s="42"/>
      <c r="M960" s="12"/>
    </row>
    <row r="961" spans="1:13" x14ac:dyDescent="0.25">
      <c r="A961" s="37">
        <v>960</v>
      </c>
      <c r="B961" s="38"/>
      <c r="C961" s="37"/>
      <c r="D961" s="39"/>
      <c r="E961" s="39"/>
      <c r="F961" s="37"/>
      <c r="G961" s="37"/>
      <c r="H961" s="41"/>
      <c r="I961" s="37"/>
      <c r="J961" s="42"/>
      <c r="K961" s="42"/>
      <c r="L961" s="42"/>
      <c r="M961" s="12"/>
    </row>
    <row r="962" spans="1:13" x14ac:dyDescent="0.25">
      <c r="A962" s="37">
        <v>961</v>
      </c>
      <c r="B962" s="38"/>
      <c r="C962" s="37"/>
      <c r="D962" s="39"/>
      <c r="E962" s="39"/>
      <c r="F962" s="37"/>
      <c r="G962" s="37"/>
      <c r="H962" s="41"/>
      <c r="I962" s="37"/>
      <c r="J962" s="42"/>
      <c r="K962" s="42"/>
      <c r="L962" s="42"/>
      <c r="M962" s="12"/>
    </row>
    <row r="963" spans="1:13" x14ac:dyDescent="0.25">
      <c r="A963" s="37">
        <v>962</v>
      </c>
      <c r="B963" s="38"/>
      <c r="C963" s="37"/>
      <c r="D963" s="39"/>
      <c r="E963" s="39"/>
      <c r="F963" s="37"/>
      <c r="G963" s="37"/>
      <c r="H963" s="41"/>
      <c r="I963" s="37"/>
      <c r="J963" s="42"/>
      <c r="K963" s="42"/>
      <c r="L963" s="42"/>
      <c r="M963" s="12"/>
    </row>
    <row r="964" spans="1:13" x14ac:dyDescent="0.25">
      <c r="A964" s="37">
        <v>963</v>
      </c>
      <c r="B964" s="38"/>
      <c r="C964" s="37"/>
      <c r="D964" s="39"/>
      <c r="E964" s="39"/>
      <c r="F964" s="37"/>
      <c r="G964" s="37"/>
      <c r="H964" s="41"/>
      <c r="I964" s="37"/>
      <c r="J964" s="42"/>
      <c r="K964" s="42"/>
      <c r="L964" s="42"/>
      <c r="M964" s="12"/>
    </row>
    <row r="965" spans="1:13" x14ac:dyDescent="0.25">
      <c r="A965" s="37">
        <v>964</v>
      </c>
      <c r="B965" s="38"/>
      <c r="C965" s="37"/>
      <c r="D965" s="39"/>
      <c r="E965" s="39"/>
      <c r="F965" s="37"/>
      <c r="G965" s="37"/>
      <c r="H965" s="41"/>
      <c r="I965" s="37"/>
      <c r="J965" s="42"/>
      <c r="K965" s="42"/>
      <c r="L965" s="42"/>
      <c r="M965" s="12"/>
    </row>
    <row r="966" spans="1:13" x14ac:dyDescent="0.25">
      <c r="A966" s="37">
        <v>965</v>
      </c>
      <c r="B966" s="38"/>
      <c r="C966" s="37"/>
      <c r="D966" s="39"/>
      <c r="E966" s="39"/>
      <c r="F966" s="37"/>
      <c r="G966" s="37"/>
      <c r="H966" s="41"/>
      <c r="I966" s="37"/>
      <c r="J966" s="42"/>
      <c r="K966" s="42"/>
      <c r="L966" s="42"/>
      <c r="M966" s="12"/>
    </row>
    <row r="967" spans="1:13" x14ac:dyDescent="0.25">
      <c r="A967" s="37">
        <v>966</v>
      </c>
      <c r="B967" s="38"/>
      <c r="C967" s="37"/>
      <c r="D967" s="39"/>
      <c r="E967" s="39"/>
      <c r="F967" s="37"/>
      <c r="G967" s="37"/>
      <c r="H967" s="41"/>
      <c r="I967" s="37"/>
      <c r="J967" s="42"/>
      <c r="K967" s="42"/>
      <c r="L967" s="42"/>
      <c r="M967" s="12"/>
    </row>
    <row r="968" spans="1:13" x14ac:dyDescent="0.25">
      <c r="A968" s="37">
        <v>967</v>
      </c>
      <c r="B968" s="38"/>
      <c r="C968" s="37"/>
      <c r="D968" s="39"/>
      <c r="E968" s="39"/>
      <c r="F968" s="37"/>
      <c r="G968" s="37"/>
      <c r="H968" s="41"/>
      <c r="I968" s="37"/>
      <c r="J968" s="42"/>
      <c r="K968" s="42"/>
      <c r="L968" s="42"/>
      <c r="M968" s="12"/>
    </row>
    <row r="969" spans="1:13" x14ac:dyDescent="0.25">
      <c r="A969" s="37">
        <v>968</v>
      </c>
      <c r="B969" s="38"/>
      <c r="C969" s="37"/>
      <c r="D969" s="39"/>
      <c r="E969" s="39"/>
      <c r="F969" s="37"/>
      <c r="G969" s="37"/>
      <c r="H969" s="41"/>
      <c r="I969" s="37"/>
      <c r="J969" s="42"/>
      <c r="K969" s="42"/>
      <c r="L969" s="42"/>
      <c r="M969" s="12"/>
    </row>
    <row r="970" spans="1:13" x14ac:dyDescent="0.25">
      <c r="A970" s="37">
        <v>969</v>
      </c>
      <c r="B970" s="38"/>
      <c r="C970" s="37"/>
      <c r="D970" s="39"/>
      <c r="E970" s="39"/>
      <c r="F970" s="37"/>
      <c r="G970" s="37"/>
      <c r="H970" s="41"/>
      <c r="I970" s="37"/>
      <c r="J970" s="42"/>
      <c r="K970" s="42"/>
      <c r="L970" s="42"/>
      <c r="M970" s="12"/>
    </row>
    <row r="971" spans="1:13" x14ac:dyDescent="0.25">
      <c r="A971" s="37">
        <v>970</v>
      </c>
      <c r="B971" s="38"/>
      <c r="C971" s="37"/>
      <c r="D971" s="39"/>
      <c r="E971" s="39"/>
      <c r="F971" s="37"/>
      <c r="G971" s="37"/>
      <c r="H971" s="41"/>
      <c r="I971" s="37"/>
      <c r="J971" s="42"/>
      <c r="K971" s="42"/>
      <c r="L971" s="42"/>
      <c r="M971" s="12"/>
    </row>
    <row r="972" spans="1:13" x14ac:dyDescent="0.25">
      <c r="A972" s="37">
        <v>971</v>
      </c>
      <c r="B972" s="38"/>
      <c r="C972" s="37"/>
      <c r="D972" s="39"/>
      <c r="E972" s="39"/>
      <c r="F972" s="37"/>
      <c r="G972" s="37"/>
      <c r="H972" s="41"/>
      <c r="I972" s="37"/>
      <c r="J972" s="42"/>
      <c r="K972" s="42"/>
      <c r="L972" s="42"/>
      <c r="M972" s="12"/>
    </row>
    <row r="973" spans="1:13" x14ac:dyDescent="0.25">
      <c r="A973" s="37">
        <v>972</v>
      </c>
      <c r="B973" s="38"/>
      <c r="C973" s="37"/>
      <c r="D973" s="39"/>
      <c r="E973" s="39"/>
      <c r="F973" s="37"/>
      <c r="G973" s="37"/>
      <c r="H973" s="41"/>
      <c r="I973" s="37"/>
      <c r="J973" s="42"/>
      <c r="K973" s="42"/>
      <c r="L973" s="42"/>
      <c r="M973" s="12"/>
    </row>
    <row r="974" spans="1:13" x14ac:dyDescent="0.25">
      <c r="A974" s="37">
        <v>973</v>
      </c>
      <c r="B974" s="38"/>
      <c r="C974" s="37"/>
      <c r="D974" s="39"/>
      <c r="E974" s="39"/>
      <c r="F974" s="37"/>
      <c r="G974" s="37"/>
      <c r="H974" s="41"/>
      <c r="I974" s="37"/>
      <c r="J974" s="42"/>
      <c r="K974" s="42"/>
      <c r="L974" s="42"/>
      <c r="M974" s="12"/>
    </row>
    <row r="975" spans="1:13" x14ac:dyDescent="0.25">
      <c r="A975" s="37">
        <v>974</v>
      </c>
      <c r="B975" s="38"/>
      <c r="C975" s="37"/>
      <c r="D975" s="39"/>
      <c r="E975" s="39"/>
      <c r="F975" s="37"/>
      <c r="G975" s="37"/>
      <c r="H975" s="41"/>
      <c r="I975" s="37"/>
      <c r="J975" s="42"/>
      <c r="K975" s="42"/>
      <c r="L975" s="42"/>
      <c r="M975" s="12"/>
    </row>
    <row r="976" spans="1:13" x14ac:dyDescent="0.25">
      <c r="A976" s="37">
        <v>975</v>
      </c>
      <c r="B976" s="38"/>
      <c r="C976" s="37"/>
      <c r="D976" s="39"/>
      <c r="E976" s="39"/>
      <c r="F976" s="37"/>
      <c r="G976" s="37"/>
      <c r="H976" s="41"/>
      <c r="I976" s="37"/>
      <c r="J976" s="42"/>
      <c r="K976" s="42"/>
      <c r="L976" s="42"/>
      <c r="M976" s="12"/>
    </row>
    <row r="977" spans="1:13" x14ac:dyDescent="0.25">
      <c r="A977" s="37">
        <v>976</v>
      </c>
      <c r="B977" s="38"/>
      <c r="C977" s="37"/>
      <c r="D977" s="39"/>
      <c r="E977" s="39"/>
      <c r="F977" s="37"/>
      <c r="G977" s="37"/>
      <c r="H977" s="41"/>
      <c r="I977" s="37"/>
      <c r="J977" s="42"/>
      <c r="K977" s="42"/>
      <c r="L977" s="42"/>
      <c r="M977" s="12"/>
    </row>
    <row r="978" spans="1:13" x14ac:dyDescent="0.25">
      <c r="A978" s="37">
        <v>977</v>
      </c>
      <c r="B978" s="38"/>
      <c r="C978" s="37"/>
      <c r="D978" s="39"/>
      <c r="E978" s="39"/>
      <c r="F978" s="37"/>
      <c r="G978" s="37"/>
      <c r="H978" s="41"/>
      <c r="I978" s="37"/>
      <c r="J978" s="42"/>
      <c r="K978" s="42"/>
      <c r="L978" s="42"/>
      <c r="M978" s="12"/>
    </row>
    <row r="979" spans="1:13" x14ac:dyDescent="0.25">
      <c r="A979" s="37">
        <v>978</v>
      </c>
      <c r="B979" s="38"/>
      <c r="C979" s="37"/>
      <c r="D979" s="39"/>
      <c r="E979" s="39"/>
      <c r="F979" s="37"/>
      <c r="G979" s="37"/>
      <c r="H979" s="41"/>
      <c r="I979" s="37"/>
      <c r="J979" s="42"/>
      <c r="K979" s="42"/>
      <c r="L979" s="42"/>
      <c r="M979" s="12"/>
    </row>
    <row r="980" spans="1:13" x14ac:dyDescent="0.25">
      <c r="A980" s="37">
        <v>979</v>
      </c>
      <c r="B980" s="38"/>
      <c r="C980" s="37"/>
      <c r="D980" s="39"/>
      <c r="E980" s="39"/>
      <c r="F980" s="37"/>
      <c r="G980" s="37"/>
      <c r="H980" s="41"/>
      <c r="I980" s="37"/>
      <c r="J980" s="42"/>
      <c r="K980" s="42"/>
      <c r="L980" s="42"/>
      <c r="M980" s="12"/>
    </row>
    <row r="981" spans="1:13" x14ac:dyDescent="0.25">
      <c r="A981" s="37">
        <v>980</v>
      </c>
      <c r="B981" s="38"/>
      <c r="C981" s="37"/>
      <c r="D981" s="39"/>
      <c r="E981" s="39"/>
      <c r="F981" s="37"/>
      <c r="G981" s="37"/>
      <c r="H981" s="41"/>
      <c r="I981" s="37"/>
      <c r="J981" s="42"/>
      <c r="K981" s="42"/>
      <c r="L981" s="42"/>
      <c r="M981" s="12"/>
    </row>
    <row r="982" spans="1:13" x14ac:dyDescent="0.25">
      <c r="A982" s="37">
        <v>981</v>
      </c>
      <c r="B982" s="38"/>
      <c r="C982" s="37"/>
      <c r="D982" s="39"/>
      <c r="E982" s="39"/>
      <c r="F982" s="37"/>
      <c r="G982" s="37"/>
      <c r="H982" s="41"/>
      <c r="I982" s="37"/>
      <c r="J982" s="42"/>
      <c r="K982" s="42"/>
      <c r="L982" s="42"/>
      <c r="M982" s="12"/>
    </row>
    <row r="983" spans="1:13" x14ac:dyDescent="0.25">
      <c r="A983" s="37">
        <v>982</v>
      </c>
      <c r="B983" s="38"/>
      <c r="C983" s="37"/>
      <c r="D983" s="39"/>
      <c r="E983" s="39"/>
      <c r="F983" s="37"/>
      <c r="G983" s="37"/>
      <c r="H983" s="41"/>
      <c r="I983" s="37"/>
      <c r="J983" s="42"/>
      <c r="K983" s="42"/>
      <c r="L983" s="42"/>
      <c r="M983" s="12"/>
    </row>
    <row r="984" spans="1:13" x14ac:dyDescent="0.25">
      <c r="A984" s="37">
        <v>983</v>
      </c>
      <c r="B984" s="38"/>
      <c r="C984" s="37"/>
      <c r="D984" s="39"/>
      <c r="E984" s="39"/>
      <c r="F984" s="37"/>
      <c r="G984" s="37"/>
      <c r="H984" s="41"/>
      <c r="I984" s="37"/>
      <c r="J984" s="42"/>
      <c r="K984" s="42"/>
      <c r="L984" s="42"/>
      <c r="M984" s="12"/>
    </row>
    <row r="985" spans="1:13" x14ac:dyDescent="0.25">
      <c r="A985" s="37">
        <v>984</v>
      </c>
      <c r="B985" s="38"/>
      <c r="C985" s="37"/>
      <c r="D985" s="39"/>
      <c r="E985" s="39"/>
      <c r="F985" s="37"/>
      <c r="G985" s="37"/>
      <c r="H985" s="41"/>
      <c r="I985" s="37"/>
      <c r="J985" s="42"/>
      <c r="K985" s="42"/>
      <c r="L985" s="42"/>
      <c r="M985" s="12"/>
    </row>
    <row r="986" spans="1:13" x14ac:dyDescent="0.25">
      <c r="A986" s="37">
        <v>985</v>
      </c>
      <c r="B986" s="38"/>
      <c r="C986" s="37"/>
      <c r="D986" s="39"/>
      <c r="E986" s="39"/>
      <c r="F986" s="37"/>
      <c r="G986" s="37"/>
      <c r="H986" s="41"/>
      <c r="I986" s="37"/>
      <c r="J986" s="42"/>
      <c r="K986" s="42"/>
      <c r="L986" s="42"/>
      <c r="M986" s="12"/>
    </row>
    <row r="987" spans="1:13" x14ac:dyDescent="0.25">
      <c r="A987" s="37">
        <v>986</v>
      </c>
      <c r="B987" s="38"/>
      <c r="C987" s="37"/>
      <c r="D987" s="39"/>
      <c r="E987" s="39"/>
      <c r="F987" s="37"/>
      <c r="G987" s="37"/>
      <c r="H987" s="41"/>
      <c r="I987" s="37"/>
      <c r="J987" s="42"/>
      <c r="K987" s="42"/>
      <c r="L987" s="42"/>
      <c r="M987" s="12"/>
    </row>
    <row r="988" spans="1:13" x14ac:dyDescent="0.25">
      <c r="A988" s="37">
        <v>987</v>
      </c>
      <c r="B988" s="38"/>
      <c r="C988" s="37"/>
      <c r="D988" s="39"/>
      <c r="E988" s="39"/>
      <c r="F988" s="37"/>
      <c r="G988" s="37"/>
      <c r="H988" s="41"/>
      <c r="I988" s="37"/>
      <c r="J988" s="42"/>
      <c r="K988" s="42"/>
      <c r="L988" s="42"/>
      <c r="M988" s="12"/>
    </row>
    <row r="989" spans="1:13" x14ac:dyDescent="0.25">
      <c r="A989" s="37">
        <v>988</v>
      </c>
      <c r="B989" s="38"/>
      <c r="C989" s="37"/>
      <c r="D989" s="39"/>
      <c r="E989" s="39"/>
      <c r="F989" s="37"/>
      <c r="G989" s="37"/>
      <c r="H989" s="41"/>
      <c r="I989" s="37"/>
      <c r="J989" s="42"/>
      <c r="K989" s="42"/>
      <c r="L989" s="42"/>
      <c r="M989" s="12"/>
    </row>
    <row r="990" spans="1:13" x14ac:dyDescent="0.25">
      <c r="A990" s="37">
        <v>989</v>
      </c>
      <c r="B990" s="38"/>
      <c r="C990" s="37"/>
      <c r="D990" s="39"/>
      <c r="E990" s="39"/>
      <c r="F990" s="37"/>
      <c r="G990" s="37"/>
      <c r="H990" s="41"/>
      <c r="I990" s="37"/>
      <c r="J990" s="42"/>
      <c r="K990" s="42"/>
      <c r="L990" s="42"/>
      <c r="M990" s="12"/>
    </row>
    <row r="991" spans="1:13" x14ac:dyDescent="0.25">
      <c r="A991" s="37">
        <v>990</v>
      </c>
      <c r="B991" s="38"/>
      <c r="C991" s="37"/>
      <c r="D991" s="39"/>
      <c r="E991" s="39"/>
      <c r="F991" s="37"/>
      <c r="G991" s="37"/>
      <c r="H991" s="41"/>
      <c r="I991" s="37"/>
      <c r="J991" s="42"/>
      <c r="K991" s="42"/>
      <c r="L991" s="42"/>
      <c r="M991" s="12"/>
    </row>
    <row r="992" spans="1:13" x14ac:dyDescent="0.25">
      <c r="A992" s="37">
        <v>991</v>
      </c>
      <c r="B992" s="38"/>
      <c r="C992" s="37"/>
      <c r="D992" s="39"/>
      <c r="E992" s="39"/>
      <c r="F992" s="37"/>
      <c r="G992" s="37"/>
      <c r="H992" s="41"/>
      <c r="I992" s="37"/>
      <c r="J992" s="42"/>
      <c r="K992" s="42"/>
      <c r="L992" s="42"/>
      <c r="M992" s="12"/>
    </row>
    <row r="993" spans="1:13" x14ac:dyDescent="0.25">
      <c r="A993" s="37">
        <v>992</v>
      </c>
      <c r="B993" s="38"/>
      <c r="C993" s="37"/>
      <c r="D993" s="39"/>
      <c r="E993" s="39"/>
      <c r="F993" s="37"/>
      <c r="G993" s="37"/>
      <c r="H993" s="41"/>
      <c r="I993" s="37"/>
      <c r="J993" s="42"/>
      <c r="K993" s="42"/>
      <c r="L993" s="42"/>
      <c r="M993" s="12"/>
    </row>
    <row r="994" spans="1:13" x14ac:dyDescent="0.25">
      <c r="A994" s="37">
        <v>993</v>
      </c>
      <c r="B994" s="38"/>
      <c r="C994" s="37"/>
      <c r="D994" s="39"/>
      <c r="E994" s="39"/>
      <c r="F994" s="37"/>
      <c r="G994" s="37"/>
      <c r="H994" s="41"/>
      <c r="I994" s="37"/>
      <c r="J994" s="42"/>
      <c r="K994" s="42"/>
      <c r="L994" s="42"/>
      <c r="M994" s="12"/>
    </row>
    <row r="995" spans="1:13" x14ac:dyDescent="0.25">
      <c r="A995" s="37">
        <v>994</v>
      </c>
      <c r="B995" s="38"/>
      <c r="C995" s="37"/>
      <c r="D995" s="39"/>
      <c r="E995" s="39"/>
      <c r="F995" s="37"/>
      <c r="G995" s="37"/>
      <c r="H995" s="41"/>
      <c r="I995" s="37"/>
      <c r="J995" s="42"/>
      <c r="K995" s="42"/>
      <c r="L995" s="42"/>
      <c r="M995" s="12"/>
    </row>
    <row r="996" spans="1:13" x14ac:dyDescent="0.25">
      <c r="A996" s="37">
        <v>995</v>
      </c>
      <c r="B996" s="38"/>
      <c r="C996" s="37"/>
      <c r="D996" s="39"/>
      <c r="E996" s="39"/>
      <c r="F996" s="37"/>
      <c r="G996" s="37"/>
      <c r="H996" s="41"/>
      <c r="I996" s="37"/>
      <c r="J996" s="42"/>
      <c r="K996" s="42"/>
      <c r="L996" s="42"/>
      <c r="M996" s="12"/>
    </row>
    <row r="997" spans="1:13" x14ac:dyDescent="0.25">
      <c r="A997" s="37">
        <v>996</v>
      </c>
      <c r="B997" s="38"/>
      <c r="C997" s="37"/>
      <c r="D997" s="39"/>
      <c r="E997" s="39"/>
      <c r="F997" s="37"/>
      <c r="G997" s="37"/>
      <c r="H997" s="41"/>
      <c r="I997" s="37"/>
      <c r="J997" s="42"/>
      <c r="K997" s="42"/>
      <c r="L997" s="42"/>
      <c r="M997" s="12"/>
    </row>
    <row r="998" spans="1:13" x14ac:dyDescent="0.25">
      <c r="A998" s="37">
        <v>997</v>
      </c>
      <c r="B998" s="38"/>
      <c r="C998" s="37"/>
      <c r="D998" s="39"/>
      <c r="E998" s="39"/>
      <c r="F998" s="37"/>
      <c r="G998" s="37"/>
      <c r="H998" s="41"/>
      <c r="I998" s="37"/>
      <c r="J998" s="42"/>
      <c r="K998" s="42"/>
      <c r="L998" s="42"/>
      <c r="M998" s="12"/>
    </row>
    <row r="999" spans="1:13" x14ac:dyDescent="0.25">
      <c r="A999" s="37">
        <v>998</v>
      </c>
      <c r="B999" s="38"/>
      <c r="C999" s="37"/>
      <c r="D999" s="39"/>
      <c r="E999" s="39"/>
      <c r="F999" s="37"/>
      <c r="G999" s="37"/>
      <c r="H999" s="41"/>
      <c r="I999" s="37"/>
      <c r="J999" s="42"/>
      <c r="K999" s="42"/>
      <c r="L999" s="42"/>
      <c r="M999" s="12"/>
    </row>
    <row r="1000" spans="1:13" x14ac:dyDescent="0.25">
      <c r="A1000" s="37">
        <v>999</v>
      </c>
      <c r="B1000" s="38"/>
      <c r="C1000" s="37"/>
      <c r="D1000" s="39"/>
      <c r="E1000" s="39"/>
      <c r="F1000" s="37"/>
      <c r="G1000" s="37"/>
      <c r="H1000" s="41"/>
      <c r="I1000" s="37"/>
      <c r="J1000" s="42"/>
      <c r="K1000" s="42"/>
      <c r="L1000" s="42"/>
      <c r="M1000" s="12"/>
    </row>
    <row r="1001" spans="1:13" x14ac:dyDescent="0.25">
      <c r="A1001" s="37">
        <v>1000</v>
      </c>
      <c r="B1001" s="38"/>
      <c r="C1001" s="37"/>
      <c r="D1001" s="39"/>
      <c r="E1001" s="39"/>
      <c r="F1001" s="37"/>
      <c r="G1001" s="37"/>
      <c r="H1001" s="41"/>
      <c r="I1001" s="37"/>
      <c r="J1001" s="42"/>
      <c r="K1001" s="42"/>
      <c r="L1001" s="42"/>
      <c r="M1001" s="12"/>
    </row>
    <row r="1002" spans="1:13" x14ac:dyDescent="0.25">
      <c r="A1002" s="37">
        <v>1001</v>
      </c>
      <c r="B1002" s="38"/>
      <c r="C1002" s="37"/>
      <c r="D1002" s="39"/>
      <c r="E1002" s="39"/>
      <c r="F1002" s="37"/>
      <c r="G1002" s="37"/>
      <c r="H1002" s="41"/>
      <c r="I1002" s="37"/>
      <c r="J1002" s="42"/>
      <c r="K1002" s="42"/>
      <c r="L1002" s="42"/>
      <c r="M1002" s="12"/>
    </row>
    <row r="1003" spans="1:13" x14ac:dyDescent="0.25">
      <c r="A1003" s="37">
        <v>1002</v>
      </c>
      <c r="B1003" s="38"/>
      <c r="C1003" s="37"/>
      <c r="D1003" s="39"/>
      <c r="E1003" s="39"/>
      <c r="F1003" s="37"/>
      <c r="G1003" s="37"/>
      <c r="H1003" s="41"/>
      <c r="I1003" s="37"/>
      <c r="J1003" s="42"/>
      <c r="K1003" s="42"/>
      <c r="L1003" s="42"/>
      <c r="M1003" s="12"/>
    </row>
    <row r="1004" spans="1:13" x14ac:dyDescent="0.25">
      <c r="A1004" s="37">
        <v>1003</v>
      </c>
      <c r="B1004" s="38"/>
      <c r="C1004" s="37"/>
      <c r="D1004" s="39"/>
      <c r="E1004" s="39"/>
      <c r="F1004" s="37"/>
      <c r="G1004" s="37"/>
      <c r="H1004" s="41"/>
      <c r="I1004" s="37"/>
      <c r="J1004" s="42"/>
      <c r="K1004" s="42"/>
      <c r="L1004" s="42"/>
      <c r="M1004" s="12"/>
    </row>
    <row r="1005" spans="1:13" x14ac:dyDescent="0.25">
      <c r="A1005" s="37">
        <v>1004</v>
      </c>
      <c r="B1005" s="38"/>
      <c r="C1005" s="37"/>
      <c r="D1005" s="39"/>
      <c r="E1005" s="39"/>
      <c r="F1005" s="37"/>
      <c r="G1005" s="37"/>
      <c r="H1005" s="41"/>
      <c r="I1005" s="37"/>
      <c r="J1005" s="42"/>
      <c r="K1005" s="42"/>
      <c r="L1005" s="42"/>
      <c r="M1005" s="12"/>
    </row>
    <row r="1006" spans="1:13" x14ac:dyDescent="0.25">
      <c r="A1006" s="37">
        <v>1005</v>
      </c>
      <c r="B1006" s="38"/>
      <c r="C1006" s="37"/>
      <c r="D1006" s="39"/>
      <c r="E1006" s="39"/>
      <c r="F1006" s="37"/>
      <c r="G1006" s="37"/>
      <c r="H1006" s="41"/>
      <c r="I1006" s="37"/>
      <c r="J1006" s="42"/>
      <c r="K1006" s="42"/>
      <c r="L1006" s="42"/>
      <c r="M1006" s="12"/>
    </row>
    <row r="1007" spans="1:13" x14ac:dyDescent="0.25">
      <c r="A1007" s="37">
        <v>1006</v>
      </c>
      <c r="B1007" s="38"/>
      <c r="C1007" s="37"/>
      <c r="D1007" s="39"/>
      <c r="E1007" s="39"/>
      <c r="F1007" s="37"/>
      <c r="G1007" s="37"/>
      <c r="H1007" s="41"/>
      <c r="I1007" s="37"/>
      <c r="J1007" s="42"/>
      <c r="K1007" s="42"/>
      <c r="L1007" s="42"/>
      <c r="M1007" s="12"/>
    </row>
    <row r="1008" spans="1:13" x14ac:dyDescent="0.25">
      <c r="A1008" s="37">
        <v>1007</v>
      </c>
      <c r="B1008" s="38"/>
      <c r="C1008" s="37"/>
      <c r="D1008" s="39"/>
      <c r="E1008" s="39"/>
      <c r="F1008" s="37"/>
      <c r="G1008" s="37"/>
      <c r="H1008" s="41"/>
      <c r="I1008" s="37"/>
      <c r="J1008" s="42"/>
      <c r="K1008" s="42"/>
      <c r="L1008" s="42"/>
      <c r="M1008" s="12"/>
    </row>
    <row r="1009" spans="1:13" x14ac:dyDescent="0.25">
      <c r="A1009" s="37">
        <v>1008</v>
      </c>
      <c r="B1009" s="38"/>
      <c r="C1009" s="37"/>
      <c r="D1009" s="39"/>
      <c r="E1009" s="39"/>
      <c r="F1009" s="37"/>
      <c r="G1009" s="37"/>
      <c r="H1009" s="41"/>
      <c r="I1009" s="37"/>
      <c r="J1009" s="42"/>
      <c r="K1009" s="36"/>
      <c r="L1009" s="36"/>
      <c r="M1009" s="12"/>
    </row>
    <row r="1010" spans="1:13" x14ac:dyDescent="0.25">
      <c r="A1010" s="37">
        <v>1009</v>
      </c>
      <c r="B1010" s="38"/>
      <c r="C1010" s="37"/>
      <c r="D1010" s="39"/>
      <c r="E1010" s="39"/>
      <c r="F1010" s="37"/>
      <c r="G1010" s="37"/>
      <c r="H1010" s="41"/>
      <c r="I1010" s="37"/>
      <c r="J1010" s="42"/>
      <c r="K1010" s="42"/>
      <c r="L1010" s="42"/>
      <c r="M1010" s="12"/>
    </row>
    <row r="1011" spans="1:13" x14ac:dyDescent="0.25">
      <c r="A1011" s="37">
        <v>1010</v>
      </c>
      <c r="B1011" s="38"/>
      <c r="C1011" s="37"/>
      <c r="D1011" s="39"/>
      <c r="E1011" s="39"/>
      <c r="F1011" s="37"/>
      <c r="G1011" s="37"/>
      <c r="H1011" s="41"/>
      <c r="I1011" s="37"/>
      <c r="J1011" s="42"/>
      <c r="K1011" s="42"/>
      <c r="L1011" s="42"/>
      <c r="M1011" s="12"/>
    </row>
    <row r="1012" spans="1:13" x14ac:dyDescent="0.25">
      <c r="A1012" s="37">
        <v>1011</v>
      </c>
      <c r="B1012" s="38"/>
      <c r="C1012" s="37"/>
      <c r="D1012" s="39"/>
      <c r="E1012" s="39"/>
      <c r="F1012" s="37"/>
      <c r="G1012" s="37"/>
      <c r="H1012" s="41"/>
      <c r="I1012" s="37"/>
      <c r="J1012" s="42"/>
      <c r="K1012" s="42"/>
      <c r="L1012" s="42"/>
      <c r="M1012" s="12"/>
    </row>
    <row r="1013" spans="1:13" x14ac:dyDescent="0.25">
      <c r="A1013" s="37">
        <v>1012</v>
      </c>
      <c r="B1013" s="38"/>
      <c r="C1013" s="37"/>
      <c r="D1013" s="39"/>
      <c r="E1013" s="39"/>
      <c r="F1013" s="37"/>
      <c r="G1013" s="37"/>
      <c r="H1013" s="41"/>
      <c r="I1013" s="37"/>
      <c r="J1013" s="42"/>
      <c r="K1013" s="42"/>
      <c r="L1013" s="42"/>
      <c r="M1013" s="12"/>
    </row>
    <row r="1014" spans="1:13" x14ac:dyDescent="0.25">
      <c r="A1014" s="37">
        <v>1013</v>
      </c>
      <c r="B1014" s="38"/>
      <c r="C1014" s="37"/>
      <c r="D1014" s="39"/>
      <c r="E1014" s="39"/>
      <c r="F1014" s="37"/>
      <c r="G1014" s="37"/>
      <c r="H1014" s="41"/>
      <c r="I1014" s="37"/>
      <c r="J1014" s="42"/>
      <c r="K1014" s="42"/>
      <c r="L1014" s="42"/>
      <c r="M1014" s="12"/>
    </row>
    <row r="1015" spans="1:13" x14ac:dyDescent="0.25">
      <c r="A1015" s="37">
        <v>1014</v>
      </c>
      <c r="B1015" s="38"/>
      <c r="C1015" s="37"/>
      <c r="D1015" s="39"/>
      <c r="E1015" s="39"/>
      <c r="F1015" s="37"/>
      <c r="G1015" s="37"/>
      <c r="H1015" s="41"/>
      <c r="I1015" s="37"/>
      <c r="J1015" s="42"/>
      <c r="K1015" s="42"/>
      <c r="L1015" s="42"/>
      <c r="M1015" s="12"/>
    </row>
    <row r="1016" spans="1:13" x14ac:dyDescent="0.25">
      <c r="A1016" s="37">
        <v>1015</v>
      </c>
      <c r="B1016" s="38"/>
      <c r="C1016" s="37"/>
      <c r="D1016" s="39"/>
      <c r="E1016" s="39"/>
      <c r="F1016" s="37"/>
      <c r="G1016" s="37"/>
      <c r="H1016" s="41"/>
      <c r="I1016" s="37"/>
      <c r="J1016" s="42"/>
      <c r="K1016" s="42"/>
      <c r="L1016" s="42"/>
      <c r="M1016" s="12"/>
    </row>
    <row r="1017" spans="1:13" x14ac:dyDescent="0.25">
      <c r="A1017" s="37">
        <v>1016</v>
      </c>
      <c r="B1017" s="38"/>
      <c r="C1017" s="37"/>
      <c r="D1017" s="39"/>
      <c r="E1017" s="39"/>
      <c r="F1017" s="37"/>
      <c r="G1017" s="37"/>
      <c r="H1017" s="41"/>
      <c r="I1017" s="37"/>
      <c r="J1017" s="42"/>
      <c r="K1017" s="42"/>
      <c r="L1017" s="42"/>
      <c r="M1017" s="12"/>
    </row>
    <row r="1018" spans="1:13" x14ac:dyDescent="0.25">
      <c r="A1018" s="37">
        <v>1017</v>
      </c>
      <c r="B1018" s="38"/>
      <c r="C1018" s="37"/>
      <c r="D1018" s="39"/>
      <c r="E1018" s="39"/>
      <c r="F1018" s="37"/>
      <c r="G1018" s="37"/>
      <c r="H1018" s="41"/>
      <c r="I1018" s="37"/>
      <c r="J1018" s="42"/>
      <c r="K1018" s="42"/>
      <c r="L1018" s="42"/>
      <c r="M1018" s="12"/>
    </row>
    <row r="1019" spans="1:13" x14ac:dyDescent="0.25">
      <c r="A1019" s="37">
        <v>1018</v>
      </c>
      <c r="B1019" s="38"/>
      <c r="C1019" s="37"/>
      <c r="D1019" s="39"/>
      <c r="E1019" s="39"/>
      <c r="F1019" s="37"/>
      <c r="G1019" s="37"/>
      <c r="H1019" s="41"/>
      <c r="I1019" s="37"/>
      <c r="J1019" s="42"/>
      <c r="K1019" s="42"/>
      <c r="L1019" s="42"/>
      <c r="M1019" s="12"/>
    </row>
    <row r="1020" spans="1:13" x14ac:dyDescent="0.25">
      <c r="A1020" s="37">
        <v>1019</v>
      </c>
      <c r="B1020" s="38"/>
      <c r="C1020" s="37"/>
      <c r="D1020" s="39"/>
      <c r="E1020" s="39"/>
      <c r="F1020" s="37"/>
      <c r="G1020" s="37"/>
      <c r="H1020" s="41"/>
      <c r="I1020" s="37"/>
      <c r="J1020" s="42"/>
      <c r="K1020" s="42"/>
      <c r="L1020" s="42"/>
      <c r="M1020" s="12"/>
    </row>
    <row r="1021" spans="1:13" x14ac:dyDescent="0.25">
      <c r="A1021" s="37">
        <v>1020</v>
      </c>
      <c r="B1021" s="38"/>
      <c r="C1021" s="37"/>
      <c r="D1021" s="39"/>
      <c r="E1021" s="39"/>
      <c r="F1021" s="37"/>
      <c r="G1021" s="37"/>
      <c r="H1021" s="41"/>
      <c r="I1021" s="37"/>
      <c r="J1021" s="42"/>
      <c r="K1021" s="42"/>
      <c r="L1021" s="42"/>
      <c r="M1021" s="12"/>
    </row>
    <row r="1022" spans="1:13" x14ac:dyDescent="0.25">
      <c r="A1022" s="37">
        <v>1021</v>
      </c>
      <c r="B1022" s="38"/>
      <c r="C1022" s="37"/>
      <c r="D1022" s="39"/>
      <c r="E1022" s="39"/>
      <c r="F1022" s="37"/>
      <c r="G1022" s="37"/>
      <c r="H1022" s="41"/>
      <c r="I1022" s="37"/>
      <c r="J1022" s="42"/>
      <c r="K1022" s="42"/>
      <c r="L1022" s="42"/>
      <c r="M1022" s="12"/>
    </row>
    <row r="1023" spans="1:13" x14ac:dyDescent="0.25">
      <c r="A1023" s="37">
        <v>1022</v>
      </c>
      <c r="B1023" s="38"/>
      <c r="C1023" s="37"/>
      <c r="D1023" s="39"/>
      <c r="E1023" s="39"/>
      <c r="F1023" s="37"/>
      <c r="G1023" s="37"/>
      <c r="H1023" s="41"/>
      <c r="I1023" s="37"/>
      <c r="J1023" s="42"/>
      <c r="K1023" s="42"/>
      <c r="L1023" s="42"/>
      <c r="M1023" s="12"/>
    </row>
    <row r="1024" spans="1:13" x14ac:dyDescent="0.25">
      <c r="A1024" s="37">
        <v>1023</v>
      </c>
      <c r="B1024" s="38"/>
      <c r="C1024" s="37"/>
      <c r="D1024" s="39"/>
      <c r="E1024" s="39"/>
      <c r="F1024" s="37"/>
      <c r="G1024" s="37"/>
      <c r="H1024" s="41"/>
      <c r="I1024" s="37"/>
      <c r="J1024" s="42"/>
      <c r="K1024" s="42"/>
      <c r="L1024" s="42"/>
      <c r="M1024" s="12"/>
    </row>
    <row r="1025" spans="1:13" x14ac:dyDescent="0.25">
      <c r="A1025" s="37">
        <v>1024</v>
      </c>
      <c r="B1025" s="38"/>
      <c r="C1025" s="37"/>
      <c r="D1025" s="39"/>
      <c r="E1025" s="39"/>
      <c r="F1025" s="37"/>
      <c r="G1025" s="37"/>
      <c r="H1025" s="41"/>
      <c r="I1025" s="37"/>
      <c r="J1025" s="42"/>
      <c r="K1025" s="42"/>
      <c r="L1025" s="42"/>
      <c r="M1025" s="12"/>
    </row>
    <row r="1026" spans="1:13" x14ac:dyDescent="0.25">
      <c r="A1026" s="37">
        <v>1025</v>
      </c>
      <c r="B1026" s="38"/>
      <c r="C1026" s="37"/>
      <c r="D1026" s="39"/>
      <c r="E1026" s="39"/>
      <c r="F1026" s="37"/>
      <c r="G1026" s="37"/>
      <c r="H1026" s="41"/>
      <c r="I1026" s="37"/>
      <c r="J1026" s="42"/>
      <c r="K1026" s="42"/>
      <c r="L1026" s="42"/>
      <c r="M1026" s="12"/>
    </row>
    <row r="1027" spans="1:13" x14ac:dyDescent="0.25">
      <c r="A1027" s="37">
        <v>1026</v>
      </c>
      <c r="B1027" s="38"/>
      <c r="C1027" s="37"/>
      <c r="D1027" s="39"/>
      <c r="E1027" s="39"/>
      <c r="F1027" s="37"/>
      <c r="G1027" s="37"/>
      <c r="H1027" s="41"/>
      <c r="I1027" s="37"/>
      <c r="J1027" s="42"/>
      <c r="K1027" s="42"/>
      <c r="L1027" s="42"/>
      <c r="M1027" s="12"/>
    </row>
    <row r="1028" spans="1:13" x14ac:dyDescent="0.25">
      <c r="A1028" s="37">
        <v>1027</v>
      </c>
      <c r="B1028" s="38"/>
      <c r="C1028" s="37"/>
      <c r="D1028" s="39"/>
      <c r="E1028" s="39"/>
      <c r="F1028" s="37"/>
      <c r="G1028" s="37"/>
      <c r="H1028" s="41"/>
      <c r="I1028" s="37"/>
      <c r="J1028" s="42"/>
      <c r="K1028" s="42"/>
      <c r="L1028" s="42"/>
      <c r="M1028" s="12"/>
    </row>
    <row r="1029" spans="1:13" x14ac:dyDescent="0.25">
      <c r="A1029" s="37">
        <v>1028</v>
      </c>
      <c r="B1029" s="38"/>
      <c r="C1029" s="37"/>
      <c r="D1029" s="39"/>
      <c r="E1029" s="39"/>
      <c r="F1029" s="37"/>
      <c r="G1029" s="37"/>
      <c r="H1029" s="41"/>
      <c r="I1029" s="37"/>
      <c r="J1029" s="42"/>
      <c r="K1029" s="42"/>
      <c r="L1029" s="42"/>
      <c r="M1029" s="12"/>
    </row>
    <row r="1030" spans="1:13" x14ac:dyDescent="0.25">
      <c r="A1030" s="37">
        <v>1029</v>
      </c>
      <c r="B1030" s="38"/>
      <c r="C1030" s="37"/>
      <c r="D1030" s="39"/>
      <c r="E1030" s="39"/>
      <c r="F1030" s="37"/>
      <c r="G1030" s="37"/>
      <c r="H1030" s="41"/>
      <c r="I1030" s="37"/>
      <c r="J1030" s="42"/>
      <c r="K1030" s="42"/>
      <c r="L1030" s="42"/>
      <c r="M1030" s="12"/>
    </row>
    <row r="1031" spans="1:13" x14ac:dyDescent="0.25">
      <c r="A1031" s="37">
        <v>1030</v>
      </c>
      <c r="B1031" s="38"/>
      <c r="C1031" s="37"/>
      <c r="D1031" s="39"/>
      <c r="E1031" s="39"/>
      <c r="F1031" s="37"/>
      <c r="G1031" s="37"/>
      <c r="H1031" s="41"/>
      <c r="I1031" s="37"/>
      <c r="J1031" s="42"/>
      <c r="K1031" s="42"/>
      <c r="L1031" s="42"/>
      <c r="M1031" s="12"/>
    </row>
    <row r="1032" spans="1:13" x14ac:dyDescent="0.25">
      <c r="A1032" s="37">
        <v>1031</v>
      </c>
      <c r="B1032" s="38"/>
      <c r="C1032" s="37"/>
      <c r="D1032" s="39"/>
      <c r="E1032" s="39"/>
      <c r="F1032" s="37"/>
      <c r="G1032" s="37"/>
      <c r="H1032" s="41"/>
      <c r="I1032" s="37"/>
      <c r="J1032" s="42"/>
      <c r="K1032" s="42"/>
      <c r="L1032" s="42"/>
      <c r="M1032" s="12"/>
    </row>
    <row r="1033" spans="1:13" x14ac:dyDescent="0.25">
      <c r="A1033" s="37">
        <v>1032</v>
      </c>
      <c r="B1033" s="38"/>
      <c r="C1033" s="37"/>
      <c r="D1033" s="39"/>
      <c r="E1033" s="39"/>
      <c r="F1033" s="37"/>
      <c r="G1033" s="37"/>
      <c r="H1033" s="41"/>
      <c r="I1033" s="37"/>
      <c r="J1033" s="42"/>
      <c r="K1033" s="42"/>
      <c r="L1033" s="42"/>
      <c r="M1033" s="12"/>
    </row>
    <row r="1034" spans="1:13" x14ac:dyDescent="0.25">
      <c r="A1034" s="37">
        <v>1033</v>
      </c>
      <c r="B1034" s="38"/>
      <c r="C1034" s="37"/>
      <c r="D1034" s="39"/>
      <c r="E1034" s="39"/>
      <c r="F1034" s="37"/>
      <c r="G1034" s="37"/>
      <c r="H1034" s="41"/>
      <c r="I1034" s="37"/>
      <c r="J1034" s="42"/>
      <c r="K1034" s="42"/>
      <c r="L1034" s="42"/>
      <c r="M1034" s="12"/>
    </row>
    <row r="1035" spans="1:13" x14ac:dyDescent="0.25">
      <c r="A1035" s="37">
        <v>1034</v>
      </c>
      <c r="B1035" s="38"/>
      <c r="C1035" s="37"/>
      <c r="D1035" s="39"/>
      <c r="E1035" s="39"/>
      <c r="F1035" s="37"/>
      <c r="G1035" s="37"/>
      <c r="H1035" s="41"/>
      <c r="I1035" s="37"/>
      <c r="J1035" s="42"/>
      <c r="K1035" s="42"/>
      <c r="L1035" s="42"/>
      <c r="M1035" s="12"/>
    </row>
    <row r="1036" spans="1:13" x14ac:dyDescent="0.25">
      <c r="A1036" s="37">
        <v>1035</v>
      </c>
      <c r="B1036" s="38"/>
      <c r="C1036" s="37"/>
      <c r="D1036" s="39"/>
      <c r="E1036" s="39"/>
      <c r="F1036" s="37"/>
      <c r="G1036" s="37"/>
      <c r="H1036" s="41"/>
      <c r="I1036" s="37"/>
      <c r="J1036" s="42"/>
      <c r="K1036" s="42"/>
      <c r="L1036" s="42"/>
      <c r="M1036" s="12"/>
    </row>
    <row r="1037" spans="1:13" x14ac:dyDescent="0.25">
      <c r="A1037" s="37">
        <v>1036</v>
      </c>
      <c r="B1037" s="38"/>
      <c r="C1037" s="37"/>
      <c r="D1037" s="39"/>
      <c r="E1037" s="39"/>
      <c r="F1037" s="37"/>
      <c r="G1037" s="37"/>
      <c r="H1037" s="41"/>
      <c r="I1037" s="37"/>
      <c r="J1037" s="42"/>
      <c r="K1037" s="42"/>
      <c r="L1037" s="42"/>
      <c r="M1037" s="12"/>
    </row>
    <row r="1038" spans="1:13" x14ac:dyDescent="0.25">
      <c r="A1038" s="37">
        <v>1037</v>
      </c>
      <c r="B1038" s="38"/>
      <c r="C1038" s="37"/>
      <c r="D1038" s="39"/>
      <c r="E1038" s="39"/>
      <c r="F1038" s="37"/>
      <c r="G1038" s="37"/>
      <c r="H1038" s="41"/>
      <c r="I1038" s="37"/>
      <c r="J1038" s="42"/>
      <c r="K1038" s="42"/>
      <c r="L1038" s="42"/>
      <c r="M1038" s="12"/>
    </row>
    <row r="1039" spans="1:13" x14ac:dyDescent="0.25">
      <c r="A1039" s="37">
        <v>1038</v>
      </c>
      <c r="B1039" s="38"/>
      <c r="C1039" s="37"/>
      <c r="D1039" s="39"/>
      <c r="E1039" s="39"/>
      <c r="F1039" s="37"/>
      <c r="G1039" s="37"/>
      <c r="H1039" s="41"/>
      <c r="I1039" s="37"/>
      <c r="J1039" s="42"/>
      <c r="K1039" s="42"/>
      <c r="L1039" s="42"/>
      <c r="M1039" s="12"/>
    </row>
    <row r="1040" spans="1:13" x14ac:dyDescent="0.25">
      <c r="A1040" s="37">
        <v>1039</v>
      </c>
      <c r="B1040" s="38"/>
      <c r="C1040" s="37"/>
      <c r="D1040" s="39"/>
      <c r="E1040" s="39"/>
      <c r="F1040" s="37"/>
      <c r="G1040" s="37"/>
      <c r="H1040" s="41"/>
      <c r="I1040" s="37"/>
      <c r="J1040" s="42"/>
      <c r="K1040" s="42"/>
      <c r="L1040" s="42"/>
      <c r="M1040" s="12"/>
    </row>
    <row r="1041" spans="1:13" x14ac:dyDescent="0.25">
      <c r="A1041" s="37">
        <v>1040</v>
      </c>
      <c r="B1041" s="38"/>
      <c r="C1041" s="37"/>
      <c r="D1041" s="39"/>
      <c r="E1041" s="39"/>
      <c r="F1041" s="37"/>
      <c r="G1041" s="37"/>
      <c r="H1041" s="41"/>
      <c r="I1041" s="37"/>
      <c r="J1041" s="42"/>
      <c r="K1041" s="42"/>
      <c r="L1041" s="42"/>
      <c r="M1041" s="12"/>
    </row>
    <row r="1042" spans="1:13" x14ac:dyDescent="0.25">
      <c r="A1042" s="37">
        <v>1041</v>
      </c>
      <c r="B1042" s="38"/>
      <c r="C1042" s="37"/>
      <c r="D1042" s="39"/>
      <c r="E1042" s="39"/>
      <c r="F1042" s="37"/>
      <c r="G1042" s="37"/>
      <c r="H1042" s="41"/>
      <c r="I1042" s="37"/>
      <c r="J1042" s="42"/>
      <c r="K1042" s="42"/>
      <c r="L1042" s="42"/>
      <c r="M1042" s="12"/>
    </row>
    <row r="1043" spans="1:13" x14ac:dyDescent="0.25">
      <c r="A1043" s="37">
        <v>1042</v>
      </c>
      <c r="B1043" s="38"/>
      <c r="C1043" s="37"/>
      <c r="D1043" s="39"/>
      <c r="E1043" s="39"/>
      <c r="F1043" s="37"/>
      <c r="G1043" s="37"/>
      <c r="H1043" s="41"/>
      <c r="I1043" s="37"/>
      <c r="J1043" s="42"/>
      <c r="K1043" s="42"/>
      <c r="L1043" s="42"/>
      <c r="M1043" s="12"/>
    </row>
    <row r="1044" spans="1:13" x14ac:dyDescent="0.25">
      <c r="A1044" s="37">
        <v>1043</v>
      </c>
      <c r="B1044" s="38"/>
      <c r="C1044" s="37"/>
      <c r="D1044" s="39"/>
      <c r="E1044" s="39"/>
      <c r="F1044" s="37"/>
      <c r="G1044" s="37"/>
      <c r="H1044" s="41"/>
      <c r="I1044" s="37"/>
      <c r="J1044" s="42"/>
      <c r="K1044" s="42"/>
      <c r="L1044" s="42"/>
      <c r="M1044" s="12"/>
    </row>
    <row r="1045" spans="1:13" x14ac:dyDescent="0.25">
      <c r="A1045" s="37">
        <v>1044</v>
      </c>
      <c r="B1045" s="38"/>
      <c r="C1045" s="37"/>
      <c r="D1045" s="39"/>
      <c r="E1045" s="39"/>
      <c r="F1045" s="37"/>
      <c r="G1045" s="37"/>
      <c r="H1045" s="41"/>
      <c r="I1045" s="37"/>
      <c r="J1045" s="42"/>
      <c r="K1045" s="42"/>
      <c r="L1045" s="42"/>
      <c r="M1045" s="12"/>
    </row>
    <row r="1046" spans="1:13" x14ac:dyDescent="0.25">
      <c r="A1046" s="37">
        <v>1045</v>
      </c>
      <c r="B1046" s="38"/>
      <c r="C1046" s="37"/>
      <c r="D1046" s="39"/>
      <c r="E1046" s="39"/>
      <c r="F1046" s="37"/>
      <c r="G1046" s="37"/>
      <c r="H1046" s="41"/>
      <c r="I1046" s="37"/>
      <c r="J1046" s="42"/>
      <c r="K1046" s="42"/>
      <c r="L1046" s="42"/>
      <c r="M1046" s="12"/>
    </row>
    <row r="1047" spans="1:13" x14ac:dyDescent="0.25">
      <c r="A1047" s="37">
        <v>1047</v>
      </c>
      <c r="B1047" s="38"/>
      <c r="C1047" s="37"/>
      <c r="D1047" s="39"/>
      <c r="E1047" s="39"/>
      <c r="F1047" s="37"/>
      <c r="G1047" s="37"/>
      <c r="H1047" s="41"/>
      <c r="I1047" s="37"/>
      <c r="J1047" s="42"/>
      <c r="K1047" s="42"/>
      <c r="L1047" s="42"/>
      <c r="M1047" s="12"/>
    </row>
    <row r="1048" spans="1:13" x14ac:dyDescent="0.25">
      <c r="A1048" s="37">
        <v>1048</v>
      </c>
      <c r="B1048" s="38"/>
      <c r="C1048" s="37"/>
      <c r="D1048" s="39"/>
      <c r="E1048" s="39"/>
      <c r="F1048" s="37"/>
      <c r="G1048" s="37"/>
      <c r="H1048" s="41"/>
      <c r="I1048" s="37"/>
      <c r="J1048" s="42"/>
      <c r="K1048" s="42"/>
      <c r="L1048" s="42"/>
      <c r="M1048" s="12"/>
    </row>
    <row r="1049" spans="1:13" x14ac:dyDescent="0.25">
      <c r="A1049" s="37">
        <v>1049</v>
      </c>
      <c r="B1049" s="38"/>
      <c r="C1049" s="37"/>
      <c r="D1049" s="39"/>
      <c r="E1049" s="39"/>
      <c r="F1049" s="37"/>
      <c r="G1049" s="37"/>
      <c r="H1049" s="41"/>
      <c r="I1049" s="37"/>
      <c r="J1049" s="42"/>
      <c r="K1049" s="42"/>
      <c r="L1049" s="42"/>
      <c r="M1049" s="12"/>
    </row>
    <row r="1050" spans="1:13" x14ac:dyDescent="0.25">
      <c r="A1050" s="37">
        <v>1050</v>
      </c>
      <c r="B1050" s="38"/>
      <c r="C1050" s="37"/>
      <c r="D1050" s="39"/>
      <c r="E1050" s="39"/>
      <c r="F1050" s="37"/>
      <c r="G1050" s="37"/>
      <c r="H1050" s="41"/>
      <c r="I1050" s="37"/>
      <c r="J1050" s="42"/>
      <c r="K1050" s="42"/>
      <c r="L1050" s="42"/>
      <c r="M1050" s="12"/>
    </row>
    <row r="1051" spans="1:13" x14ac:dyDescent="0.25">
      <c r="A1051" s="37">
        <v>1051</v>
      </c>
      <c r="B1051" s="38"/>
      <c r="C1051" s="37"/>
      <c r="D1051" s="39"/>
      <c r="E1051" s="39"/>
      <c r="F1051" s="37"/>
      <c r="G1051" s="37"/>
      <c r="H1051" s="41"/>
      <c r="I1051" s="37"/>
      <c r="J1051" s="42"/>
      <c r="K1051" s="42"/>
      <c r="L1051" s="42"/>
      <c r="M1051" s="12"/>
    </row>
    <row r="1052" spans="1:13" x14ac:dyDescent="0.25">
      <c r="A1052" s="37">
        <v>1052</v>
      </c>
      <c r="B1052" s="38"/>
      <c r="C1052" s="37"/>
      <c r="D1052" s="39"/>
      <c r="E1052" s="39"/>
      <c r="F1052" s="37"/>
      <c r="G1052" s="37"/>
      <c r="H1052" s="41"/>
      <c r="I1052" s="37"/>
      <c r="J1052" s="42"/>
      <c r="K1052" s="42"/>
      <c r="L1052" s="42"/>
      <c r="M1052" s="12"/>
    </row>
    <row r="1053" spans="1:13" x14ac:dyDescent="0.25">
      <c r="A1053" s="37">
        <v>1053</v>
      </c>
      <c r="B1053" s="38"/>
      <c r="C1053" s="37"/>
      <c r="D1053" s="39"/>
      <c r="E1053" s="39"/>
      <c r="F1053" s="37"/>
      <c r="G1053" s="37"/>
      <c r="H1053" s="41"/>
      <c r="I1053" s="37"/>
      <c r="J1053" s="42"/>
      <c r="K1053" s="42"/>
      <c r="L1053" s="42"/>
      <c r="M1053" s="12"/>
    </row>
    <row r="1054" spans="1:13" x14ac:dyDescent="0.25">
      <c r="A1054" s="37">
        <v>1054</v>
      </c>
      <c r="B1054" s="38"/>
      <c r="C1054" s="37"/>
      <c r="D1054" s="39"/>
      <c r="E1054" s="39"/>
      <c r="F1054" s="37"/>
      <c r="G1054" s="37"/>
      <c r="H1054" s="41"/>
      <c r="I1054" s="37"/>
      <c r="J1054" s="42"/>
      <c r="K1054" s="42"/>
      <c r="L1054" s="42"/>
      <c r="M1054" s="12"/>
    </row>
    <row r="1055" spans="1:13" x14ac:dyDescent="0.25">
      <c r="A1055" s="37">
        <v>1055</v>
      </c>
      <c r="B1055" s="38"/>
      <c r="C1055" s="37"/>
      <c r="D1055" s="39"/>
      <c r="E1055" s="39"/>
      <c r="F1055" s="37"/>
      <c r="G1055" s="37"/>
      <c r="H1055" s="41"/>
      <c r="I1055" s="37"/>
      <c r="J1055" s="42"/>
      <c r="K1055" s="42"/>
      <c r="L1055" s="42"/>
      <c r="M1055" s="12"/>
    </row>
    <row r="1056" spans="1:13" x14ac:dyDescent="0.25">
      <c r="A1056" s="37">
        <v>1056</v>
      </c>
      <c r="B1056" s="38"/>
      <c r="C1056" s="37"/>
      <c r="D1056" s="39"/>
      <c r="E1056" s="39"/>
      <c r="F1056" s="37"/>
      <c r="G1056" s="37"/>
      <c r="H1056" s="41"/>
      <c r="I1056" s="37"/>
      <c r="J1056" s="42"/>
      <c r="K1056" s="42"/>
      <c r="L1056" s="42"/>
      <c r="M1056" s="12"/>
    </row>
    <row r="1057" spans="1:13" x14ac:dyDescent="0.25">
      <c r="A1057" s="37">
        <v>1057</v>
      </c>
      <c r="B1057" s="38"/>
      <c r="C1057" s="37"/>
      <c r="D1057" s="39"/>
      <c r="E1057" s="39"/>
      <c r="F1057" s="37"/>
      <c r="G1057" s="37"/>
      <c r="H1057" s="41"/>
      <c r="I1057" s="37"/>
      <c r="J1057" s="42"/>
      <c r="K1057" s="42"/>
      <c r="L1057" s="42"/>
      <c r="M1057" s="12"/>
    </row>
    <row r="1058" spans="1:13" x14ac:dyDescent="0.25">
      <c r="A1058" s="37">
        <v>1058</v>
      </c>
      <c r="B1058" s="38"/>
      <c r="C1058" s="37"/>
      <c r="D1058" s="39"/>
      <c r="E1058" s="39"/>
      <c r="F1058" s="37"/>
      <c r="G1058" s="37"/>
      <c r="H1058" s="41"/>
      <c r="I1058" s="37"/>
      <c r="J1058" s="42"/>
      <c r="K1058" s="42"/>
      <c r="L1058" s="42"/>
      <c r="M1058" s="12"/>
    </row>
    <row r="1059" spans="1:13" x14ac:dyDescent="0.25">
      <c r="A1059" s="37">
        <v>1059</v>
      </c>
      <c r="B1059" s="38"/>
      <c r="C1059" s="37"/>
      <c r="D1059" s="39"/>
      <c r="E1059" s="39"/>
      <c r="F1059" s="37"/>
      <c r="G1059" s="37"/>
      <c r="H1059" s="41"/>
      <c r="I1059" s="37"/>
      <c r="J1059" s="42"/>
      <c r="K1059" s="42"/>
      <c r="L1059" s="42"/>
      <c r="M1059" s="12"/>
    </row>
    <row r="1060" spans="1:13" x14ac:dyDescent="0.25">
      <c r="A1060" s="37">
        <v>1060</v>
      </c>
      <c r="B1060" s="38"/>
      <c r="C1060" s="37"/>
      <c r="D1060" s="39"/>
      <c r="E1060" s="39"/>
      <c r="F1060" s="37"/>
      <c r="G1060" s="37"/>
      <c r="H1060" s="41"/>
      <c r="I1060" s="37"/>
      <c r="J1060" s="42"/>
      <c r="K1060" s="42"/>
      <c r="L1060" s="42"/>
      <c r="M1060" s="12"/>
    </row>
    <row r="1061" spans="1:13" x14ac:dyDescent="0.25">
      <c r="A1061" s="37">
        <v>1061</v>
      </c>
      <c r="B1061" s="38"/>
      <c r="C1061" s="37"/>
      <c r="D1061" s="39"/>
      <c r="E1061" s="39"/>
      <c r="F1061" s="37"/>
      <c r="G1061" s="37"/>
      <c r="H1061" s="41"/>
      <c r="I1061" s="37"/>
      <c r="J1061" s="42"/>
      <c r="K1061" s="42"/>
      <c r="L1061" s="42"/>
      <c r="M1061" s="12"/>
    </row>
    <row r="1062" spans="1:13" x14ac:dyDescent="0.25">
      <c r="A1062" s="37">
        <v>1062</v>
      </c>
      <c r="B1062" s="38"/>
      <c r="C1062" s="37"/>
      <c r="D1062" s="39"/>
      <c r="E1062" s="39"/>
      <c r="F1062" s="37"/>
      <c r="G1062" s="37"/>
      <c r="H1062" s="41"/>
      <c r="I1062" s="37"/>
      <c r="J1062" s="42"/>
      <c r="K1062" s="42"/>
      <c r="L1062" s="42"/>
      <c r="M1062" s="12"/>
    </row>
    <row r="1063" spans="1:13" x14ac:dyDescent="0.25">
      <c r="A1063" s="37">
        <v>1063</v>
      </c>
      <c r="B1063" s="38"/>
      <c r="C1063" s="37"/>
      <c r="D1063" s="39"/>
      <c r="E1063" s="39"/>
      <c r="F1063" s="37"/>
      <c r="G1063" s="37"/>
      <c r="H1063" s="41"/>
      <c r="I1063" s="37"/>
      <c r="J1063" s="42"/>
      <c r="K1063" s="42"/>
      <c r="L1063" s="42"/>
      <c r="M1063" s="12"/>
    </row>
    <row r="1064" spans="1:13" x14ac:dyDescent="0.25">
      <c r="A1064" s="37">
        <v>1064</v>
      </c>
      <c r="B1064" s="38"/>
      <c r="C1064" s="37"/>
      <c r="D1064" s="39"/>
      <c r="E1064" s="39"/>
      <c r="F1064" s="37"/>
      <c r="G1064" s="37"/>
      <c r="H1064" s="41"/>
      <c r="I1064" s="37"/>
      <c r="J1064" s="42"/>
      <c r="K1064" s="42"/>
      <c r="L1064" s="42"/>
      <c r="M1064" s="12"/>
    </row>
    <row r="1065" spans="1:13" x14ac:dyDescent="0.25">
      <c r="A1065" s="37">
        <v>1065</v>
      </c>
      <c r="B1065" s="38"/>
      <c r="C1065" s="37"/>
      <c r="D1065" s="39"/>
      <c r="E1065" s="39"/>
      <c r="F1065" s="37"/>
      <c r="G1065" s="37"/>
      <c r="H1065" s="41"/>
      <c r="I1065" s="37"/>
      <c r="J1065" s="42"/>
      <c r="K1065" s="42"/>
      <c r="L1065" s="42"/>
      <c r="M1065" s="12"/>
    </row>
    <row r="1066" spans="1:13" x14ac:dyDescent="0.25">
      <c r="A1066" s="37">
        <v>1066</v>
      </c>
      <c r="B1066" s="38"/>
      <c r="C1066" s="37"/>
      <c r="D1066" s="39"/>
      <c r="E1066" s="39"/>
      <c r="F1066" s="37"/>
      <c r="G1066" s="37"/>
      <c r="H1066" s="41"/>
      <c r="I1066" s="37"/>
      <c r="J1066" s="42"/>
      <c r="K1066" s="42"/>
      <c r="L1066" s="42"/>
      <c r="M1066" s="12"/>
    </row>
    <row r="1067" spans="1:13" x14ac:dyDescent="0.25">
      <c r="A1067" s="37">
        <v>1067</v>
      </c>
      <c r="B1067" s="38"/>
      <c r="C1067" s="37"/>
      <c r="D1067" s="39"/>
      <c r="E1067" s="39"/>
      <c r="F1067" s="37"/>
      <c r="G1067" s="37"/>
      <c r="H1067" s="41"/>
      <c r="I1067" s="37"/>
      <c r="J1067" s="42"/>
      <c r="K1067" s="42"/>
      <c r="L1067" s="42"/>
      <c r="M1067" s="12"/>
    </row>
    <row r="1068" spans="1:13" x14ac:dyDescent="0.25">
      <c r="A1068" s="37">
        <v>1068</v>
      </c>
      <c r="B1068" s="38"/>
      <c r="C1068" s="37"/>
      <c r="D1068" s="39"/>
      <c r="E1068" s="39"/>
      <c r="F1068" s="37"/>
      <c r="G1068" s="37"/>
      <c r="H1068" s="41"/>
      <c r="I1068" s="37"/>
      <c r="J1068" s="42"/>
      <c r="K1068" s="42"/>
      <c r="L1068" s="42"/>
      <c r="M1068" s="12"/>
    </row>
    <row r="1069" spans="1:13" x14ac:dyDescent="0.25">
      <c r="A1069" s="37">
        <v>1069</v>
      </c>
      <c r="B1069" s="38"/>
      <c r="C1069" s="37"/>
      <c r="D1069" s="39"/>
      <c r="E1069" s="39"/>
      <c r="F1069" s="37"/>
      <c r="G1069" s="37"/>
      <c r="H1069" s="41"/>
      <c r="I1069" s="37"/>
      <c r="J1069" s="42"/>
      <c r="K1069" s="42"/>
      <c r="L1069" s="42"/>
      <c r="M1069" s="12">
        <f>ROW()-3</f>
        <v>1066</v>
      </c>
    </row>
    <row r="1070" spans="1:13" x14ac:dyDescent="0.25">
      <c r="A1070" s="37">
        <v>1070</v>
      </c>
      <c r="B1070" s="38"/>
      <c r="C1070" s="37"/>
      <c r="D1070" s="39"/>
      <c r="E1070" s="39"/>
      <c r="F1070" s="37"/>
      <c r="G1070" s="37"/>
      <c r="H1070" s="41"/>
      <c r="I1070" s="37"/>
      <c r="J1070" s="42"/>
      <c r="K1070" s="42"/>
      <c r="L1070" s="42"/>
      <c r="M1070" s="12">
        <f>ROW()-3</f>
        <v>1067</v>
      </c>
    </row>
    <row r="1071" spans="1:13" x14ac:dyDescent="0.25">
      <c r="A1071" s="37">
        <v>1071</v>
      </c>
      <c r="B1071" s="38"/>
      <c r="C1071" s="37"/>
      <c r="D1071" s="39"/>
      <c r="E1071" s="39"/>
      <c r="F1071" s="37"/>
      <c r="G1071" s="37"/>
      <c r="H1071" s="41"/>
      <c r="I1071" s="37"/>
      <c r="J1071" s="42"/>
      <c r="K1071" s="42"/>
      <c r="L1071" s="42"/>
      <c r="M1071" s="12">
        <f>ROW()-3</f>
        <v>1068</v>
      </c>
    </row>
    <row r="1072" spans="1:13" x14ac:dyDescent="0.25">
      <c r="A1072" s="37">
        <v>1072</v>
      </c>
      <c r="B1072" s="38"/>
      <c r="C1072" s="37"/>
      <c r="D1072" s="39"/>
      <c r="E1072" s="39"/>
      <c r="F1072" s="37"/>
      <c r="G1072" s="37"/>
      <c r="H1072" s="41"/>
      <c r="I1072" s="37"/>
      <c r="J1072" s="42"/>
      <c r="K1072" s="42"/>
      <c r="L1072" s="42"/>
      <c r="M1072" s="12">
        <f>ROW()-3</f>
        <v>1069</v>
      </c>
    </row>
    <row r="1073" spans="1:13" x14ac:dyDescent="0.25">
      <c r="A1073" s="37">
        <v>1073</v>
      </c>
      <c r="B1073" s="38"/>
      <c r="C1073" s="37"/>
      <c r="D1073" s="39"/>
      <c r="E1073" s="39"/>
      <c r="F1073" s="37"/>
      <c r="G1073" s="37"/>
      <c r="H1073" s="41"/>
      <c r="I1073" s="37"/>
      <c r="J1073" s="42"/>
      <c r="K1073" s="42"/>
      <c r="L1073" s="42"/>
      <c r="M1073" s="12">
        <f>ROW()-3</f>
        <v>1070</v>
      </c>
    </row>
    <row r="1074" spans="1:13" x14ac:dyDescent="0.25">
      <c r="A1074" s="37">
        <v>1074</v>
      </c>
      <c r="B1074" s="38"/>
      <c r="C1074" s="37"/>
      <c r="D1074" s="39"/>
      <c r="E1074" s="39"/>
      <c r="F1074" s="37"/>
      <c r="G1074" s="37"/>
      <c r="H1074" s="41"/>
      <c r="I1074" s="37"/>
      <c r="J1074" s="42"/>
      <c r="K1074" s="42"/>
      <c r="L1074" s="42"/>
      <c r="M1074" s="46"/>
    </row>
    <row r="1075" spans="1:13" x14ac:dyDescent="0.25">
      <c r="A1075" s="37">
        <v>1075</v>
      </c>
      <c r="B1075" s="38"/>
      <c r="C1075" s="37"/>
      <c r="D1075" s="39"/>
      <c r="E1075" s="39"/>
      <c r="F1075" s="37"/>
      <c r="G1075" s="37"/>
      <c r="H1075" s="41"/>
      <c r="I1075" s="37"/>
      <c r="J1075" s="42"/>
      <c r="K1075" s="42"/>
      <c r="L1075" s="42"/>
    </row>
    <row r="1076" spans="1:13" x14ac:dyDescent="0.25">
      <c r="A1076" s="37">
        <v>1076</v>
      </c>
      <c r="B1076" s="38"/>
      <c r="C1076" s="37"/>
      <c r="D1076" s="39"/>
      <c r="E1076" s="39"/>
      <c r="F1076" s="37"/>
      <c r="G1076" s="37"/>
      <c r="H1076" s="41"/>
      <c r="I1076" s="37"/>
      <c r="J1076" s="42"/>
      <c r="K1076" s="42"/>
      <c r="L1076" s="42"/>
    </row>
    <row r="1077" spans="1:13" x14ac:dyDescent="0.25">
      <c r="A1077" s="37">
        <v>1077</v>
      </c>
      <c r="B1077" s="38"/>
      <c r="C1077" s="37"/>
      <c r="D1077" s="39"/>
      <c r="E1077" s="39"/>
      <c r="F1077" s="37"/>
      <c r="G1077" s="37"/>
      <c r="H1077" s="41"/>
      <c r="I1077" s="37"/>
      <c r="J1077" s="42"/>
      <c r="K1077" s="42"/>
      <c r="L1077" s="42"/>
    </row>
    <row r="1078" spans="1:13" x14ac:dyDescent="0.25">
      <c r="A1078" s="37">
        <v>1078</v>
      </c>
      <c r="B1078" s="38"/>
      <c r="C1078" s="37"/>
      <c r="D1078" s="39"/>
      <c r="E1078" s="39"/>
      <c r="F1078" s="37"/>
      <c r="G1078" s="37"/>
      <c r="H1078" s="41"/>
      <c r="I1078" s="37"/>
      <c r="J1078" s="42"/>
      <c r="K1078" s="42"/>
      <c r="L1078" s="42"/>
    </row>
    <row r="1079" spans="1:13" x14ac:dyDescent="0.25">
      <c r="A1079" s="37">
        <v>1079</v>
      </c>
      <c r="B1079" s="38"/>
      <c r="C1079" s="37"/>
      <c r="D1079" s="39"/>
      <c r="E1079" s="39"/>
      <c r="F1079" s="37"/>
      <c r="G1079" s="37"/>
      <c r="H1079" s="41"/>
      <c r="I1079" s="37"/>
      <c r="J1079" s="42"/>
      <c r="K1079" s="42"/>
      <c r="L1079" s="42"/>
    </row>
    <row r="1080" spans="1:13" x14ac:dyDescent="0.25">
      <c r="A1080" s="37">
        <v>1080</v>
      </c>
      <c r="B1080" s="38"/>
      <c r="C1080" s="37"/>
      <c r="D1080" s="39"/>
      <c r="E1080" s="39"/>
      <c r="F1080" s="37"/>
      <c r="G1080" s="37"/>
      <c r="H1080" s="41"/>
      <c r="I1080" s="37"/>
      <c r="J1080" s="42"/>
      <c r="K1080" s="42"/>
      <c r="L1080" s="42"/>
    </row>
    <row r="1081" spans="1:13" x14ac:dyDescent="0.25">
      <c r="A1081" s="37">
        <v>1081</v>
      </c>
      <c r="B1081" s="38"/>
      <c r="C1081" s="37"/>
      <c r="D1081" s="39"/>
      <c r="E1081" s="39"/>
      <c r="F1081" s="37"/>
      <c r="G1081" s="37"/>
      <c r="H1081" s="41"/>
      <c r="I1081" s="37"/>
      <c r="J1081" s="42"/>
      <c r="K1081" s="42"/>
      <c r="L1081" s="42"/>
    </row>
    <row r="1082" spans="1:13" x14ac:dyDescent="0.25">
      <c r="A1082" s="37">
        <v>1082</v>
      </c>
      <c r="B1082" s="38"/>
      <c r="C1082" s="37"/>
      <c r="D1082" s="39"/>
      <c r="E1082" s="39"/>
      <c r="F1082" s="37"/>
      <c r="G1082" s="37"/>
      <c r="H1082" s="41"/>
      <c r="I1082" s="37"/>
      <c r="J1082" s="42"/>
      <c r="K1082" s="42"/>
      <c r="L1082" s="42"/>
    </row>
    <row r="1083" spans="1:13" x14ac:dyDescent="0.25">
      <c r="A1083" s="37">
        <v>1083</v>
      </c>
      <c r="B1083" s="38"/>
      <c r="C1083" s="37"/>
      <c r="D1083" s="39"/>
      <c r="E1083" s="39"/>
      <c r="F1083" s="37"/>
      <c r="G1083" s="37"/>
      <c r="H1083" s="41"/>
      <c r="I1083" s="37"/>
      <c r="J1083" s="42"/>
      <c r="K1083" s="42"/>
      <c r="L1083" s="42"/>
    </row>
    <row r="1084" spans="1:13" x14ac:dyDescent="0.25">
      <c r="A1084" s="37">
        <v>1084</v>
      </c>
      <c r="B1084" s="38"/>
      <c r="C1084" s="37"/>
      <c r="D1084" s="39"/>
      <c r="E1084" s="39"/>
      <c r="F1084" s="37"/>
      <c r="G1084" s="37"/>
      <c r="H1084" s="41"/>
      <c r="I1084" s="37"/>
      <c r="J1084" s="42"/>
      <c r="K1084" s="42"/>
      <c r="L1084" s="42"/>
    </row>
    <row r="1085" spans="1:13" x14ac:dyDescent="0.25">
      <c r="A1085" s="37">
        <v>1085</v>
      </c>
      <c r="B1085" s="38"/>
      <c r="C1085" s="37"/>
      <c r="D1085" s="39"/>
      <c r="E1085" s="39"/>
      <c r="F1085" s="37"/>
      <c r="G1085" s="37"/>
      <c r="H1085" s="41"/>
      <c r="I1085" s="37"/>
      <c r="J1085" s="42"/>
      <c r="K1085" s="42"/>
      <c r="L1085" s="42"/>
    </row>
    <row r="1086" spans="1:13" x14ac:dyDescent="0.25">
      <c r="A1086" s="37">
        <v>1086</v>
      </c>
      <c r="B1086" s="38"/>
      <c r="C1086" s="37"/>
      <c r="D1086" s="39"/>
      <c r="E1086" s="39"/>
      <c r="F1086" s="37"/>
      <c r="G1086" s="37"/>
      <c r="H1086" s="41"/>
      <c r="I1086" s="37"/>
      <c r="J1086" s="42"/>
      <c r="K1086" s="42"/>
      <c r="L1086" s="42"/>
    </row>
    <row r="1087" spans="1:13" x14ac:dyDescent="0.25">
      <c r="A1087" s="37">
        <v>1087</v>
      </c>
      <c r="B1087" s="38"/>
      <c r="C1087" s="37"/>
      <c r="D1087" s="39"/>
      <c r="E1087" s="39"/>
      <c r="F1087" s="37"/>
      <c r="G1087" s="37"/>
      <c r="H1087" s="41"/>
      <c r="I1087" s="37"/>
      <c r="J1087" s="42"/>
      <c r="K1087" s="42"/>
      <c r="L1087" s="42"/>
    </row>
    <row r="1088" spans="1:13" x14ac:dyDescent="0.25">
      <c r="A1088" s="37">
        <v>1088</v>
      </c>
      <c r="B1088" s="38"/>
      <c r="C1088" s="37"/>
      <c r="D1088" s="39"/>
      <c r="E1088" s="39"/>
      <c r="F1088" s="37"/>
      <c r="G1088" s="37"/>
      <c r="H1088" s="41"/>
      <c r="I1088" s="37"/>
      <c r="J1088" s="42"/>
      <c r="K1088" s="42"/>
      <c r="L1088" s="42"/>
    </row>
    <row r="1089" spans="1:12" x14ac:dyDescent="0.25">
      <c r="A1089" s="37">
        <v>1089</v>
      </c>
      <c r="B1089" s="38"/>
      <c r="C1089" s="37"/>
      <c r="D1089" s="39"/>
      <c r="E1089" s="39"/>
      <c r="F1089" s="37"/>
      <c r="G1089" s="37"/>
      <c r="H1089" s="41"/>
      <c r="I1089" s="37"/>
      <c r="J1089" s="42"/>
      <c r="K1089" s="42"/>
      <c r="L1089" s="42"/>
    </row>
    <row r="1090" spans="1:12" x14ac:dyDescent="0.25">
      <c r="A1090" s="37">
        <v>1090</v>
      </c>
      <c r="B1090" s="38"/>
      <c r="C1090" s="37"/>
      <c r="D1090" s="39"/>
      <c r="E1090" s="39"/>
      <c r="F1090" s="37"/>
      <c r="G1090" s="37"/>
      <c r="H1090" s="41"/>
      <c r="I1090" s="37"/>
      <c r="J1090" s="42"/>
      <c r="K1090" s="42"/>
      <c r="L1090" s="42"/>
    </row>
    <row r="1091" spans="1:12" x14ac:dyDescent="0.25">
      <c r="A1091" s="37">
        <v>1091</v>
      </c>
      <c r="B1091" s="38"/>
      <c r="C1091" s="37"/>
      <c r="D1091" s="39"/>
      <c r="E1091" s="39"/>
      <c r="F1091" s="37"/>
      <c r="G1091" s="37"/>
      <c r="H1091" s="41"/>
      <c r="I1091" s="37"/>
      <c r="J1091" s="42"/>
      <c r="K1091" s="42"/>
      <c r="L1091" s="42"/>
    </row>
    <row r="1092" spans="1:12" x14ac:dyDescent="0.25">
      <c r="A1092" s="37">
        <v>1092</v>
      </c>
      <c r="B1092" s="38"/>
      <c r="C1092" s="37"/>
      <c r="D1092" s="39"/>
      <c r="E1092" s="39"/>
      <c r="F1092" s="37"/>
      <c r="G1092" s="37"/>
      <c r="H1092" s="41"/>
      <c r="I1092" s="37"/>
      <c r="J1092" s="42"/>
      <c r="K1092" s="42"/>
      <c r="L1092" s="42"/>
    </row>
    <row r="1093" spans="1:12" x14ac:dyDescent="0.25">
      <c r="A1093" s="37">
        <v>1093</v>
      </c>
      <c r="B1093" s="38"/>
      <c r="C1093" s="37"/>
      <c r="D1093" s="39"/>
      <c r="E1093" s="39"/>
      <c r="F1093" s="37"/>
      <c r="G1093" s="37"/>
      <c r="H1093" s="41"/>
      <c r="I1093" s="37"/>
      <c r="J1093" s="42"/>
      <c r="K1093" s="42"/>
      <c r="L1093" s="42"/>
    </row>
    <row r="1094" spans="1:12" x14ac:dyDescent="0.25">
      <c r="A1094" s="37">
        <v>1094</v>
      </c>
      <c r="B1094" s="38"/>
      <c r="C1094" s="37"/>
      <c r="D1094" s="39"/>
      <c r="E1094" s="39"/>
      <c r="F1094" s="37"/>
      <c r="G1094" s="37"/>
      <c r="H1094" s="41"/>
      <c r="I1094" s="37"/>
      <c r="J1094" s="42"/>
      <c r="K1094" s="42"/>
      <c r="L1094" s="42"/>
    </row>
    <row r="1095" spans="1:12" x14ac:dyDescent="0.25">
      <c r="A1095" s="37">
        <v>1095</v>
      </c>
      <c r="B1095" s="38"/>
      <c r="C1095" s="37"/>
      <c r="D1095" s="39"/>
      <c r="E1095" s="39"/>
      <c r="F1095" s="37"/>
      <c r="G1095" s="37"/>
      <c r="H1095" s="41"/>
      <c r="I1095" s="37"/>
      <c r="J1095" s="42"/>
      <c r="K1095" s="42"/>
      <c r="L1095" s="42"/>
    </row>
    <row r="1096" spans="1:12" x14ac:dyDescent="0.25">
      <c r="A1096" s="37">
        <v>1096</v>
      </c>
      <c r="B1096" s="38"/>
      <c r="C1096" s="37"/>
      <c r="D1096" s="39"/>
      <c r="E1096" s="39"/>
      <c r="F1096" s="37"/>
      <c r="G1096" s="37"/>
      <c r="H1096" s="41"/>
      <c r="I1096" s="37"/>
      <c r="J1096" s="42"/>
      <c r="K1096" s="42"/>
      <c r="L1096" s="42"/>
    </row>
    <row r="1097" spans="1:12" x14ac:dyDescent="0.25">
      <c r="A1097" s="37">
        <v>1097</v>
      </c>
      <c r="B1097" s="38"/>
      <c r="C1097" s="37"/>
      <c r="D1097" s="39"/>
      <c r="E1097" s="39"/>
      <c r="F1097" s="37"/>
      <c r="G1097" s="37"/>
      <c r="H1097" s="41"/>
      <c r="I1097" s="37"/>
      <c r="J1097" s="42"/>
      <c r="K1097" s="42"/>
      <c r="L1097" s="42"/>
    </row>
    <row r="1098" spans="1:12" x14ac:dyDescent="0.25">
      <c r="A1098" s="37">
        <v>1098</v>
      </c>
      <c r="B1098" s="38"/>
      <c r="C1098" s="37"/>
      <c r="D1098" s="39"/>
      <c r="E1098" s="39"/>
      <c r="F1098" s="37"/>
      <c r="G1098" s="37"/>
      <c r="H1098" s="41"/>
      <c r="I1098" s="37"/>
      <c r="J1098" s="42"/>
      <c r="K1098" s="42"/>
      <c r="L1098" s="42"/>
    </row>
    <row r="1099" spans="1:12" x14ac:dyDescent="0.25">
      <c r="A1099" s="37">
        <v>1099</v>
      </c>
      <c r="B1099" s="38"/>
      <c r="C1099" s="37"/>
      <c r="D1099" s="39"/>
      <c r="E1099" s="39"/>
      <c r="F1099" s="37"/>
      <c r="G1099" s="37"/>
      <c r="H1099" s="41"/>
      <c r="I1099" s="37"/>
      <c r="J1099" s="42"/>
      <c r="K1099" s="42"/>
      <c r="L1099" s="42"/>
    </row>
    <row r="1100" spans="1:12" x14ac:dyDescent="0.25">
      <c r="A1100" s="37">
        <v>1100</v>
      </c>
      <c r="B1100" s="38"/>
      <c r="C1100" s="37"/>
      <c r="D1100" s="39"/>
      <c r="E1100" s="39"/>
      <c r="F1100" s="37"/>
      <c r="G1100" s="37"/>
      <c r="H1100" s="41"/>
      <c r="I1100" s="37"/>
      <c r="J1100" s="42"/>
      <c r="K1100" s="42"/>
      <c r="L1100" s="42"/>
    </row>
    <row r="1101" spans="1:12" x14ac:dyDescent="0.25">
      <c r="A1101" s="37">
        <v>1101</v>
      </c>
      <c r="B1101" s="38"/>
      <c r="C1101" s="37"/>
      <c r="D1101" s="39"/>
      <c r="E1101" s="39"/>
      <c r="F1101" s="37"/>
      <c r="G1101" s="37"/>
      <c r="H1101" s="41"/>
      <c r="I1101" s="37"/>
      <c r="J1101" s="42"/>
      <c r="K1101" s="42"/>
      <c r="L1101" s="42"/>
    </row>
    <row r="1102" spans="1:12" x14ac:dyDescent="0.25">
      <c r="A1102" s="37">
        <v>1102</v>
      </c>
      <c r="B1102" s="38"/>
      <c r="C1102" s="37"/>
      <c r="D1102" s="39"/>
      <c r="E1102" s="39"/>
      <c r="F1102" s="37"/>
      <c r="G1102" s="37"/>
      <c r="H1102" s="41"/>
      <c r="I1102" s="37"/>
      <c r="J1102" s="42"/>
      <c r="K1102" s="42"/>
      <c r="L1102" s="42"/>
    </row>
    <row r="1103" spans="1:12" x14ac:dyDescent="0.25">
      <c r="A1103" s="37">
        <v>1103</v>
      </c>
      <c r="B1103" s="38"/>
      <c r="C1103" s="37"/>
      <c r="D1103" s="39"/>
      <c r="E1103" s="39"/>
      <c r="F1103" s="37"/>
      <c r="G1103" s="37"/>
      <c r="H1103" s="41"/>
      <c r="I1103" s="37"/>
      <c r="J1103" s="42"/>
      <c r="K1103" s="42"/>
      <c r="L1103" s="42"/>
    </row>
    <row r="1104" spans="1:12" x14ac:dyDescent="0.25">
      <c r="A1104" s="37">
        <v>1104</v>
      </c>
      <c r="B1104" s="38"/>
      <c r="C1104" s="37"/>
      <c r="D1104" s="39"/>
      <c r="E1104" s="39"/>
      <c r="F1104" s="37"/>
      <c r="G1104" s="37"/>
      <c r="H1104" s="41"/>
      <c r="I1104" s="37"/>
      <c r="J1104" s="42"/>
      <c r="K1104" s="42"/>
      <c r="L1104" s="42"/>
    </row>
    <row r="1105" spans="1:12" x14ac:dyDescent="0.25">
      <c r="A1105" s="37">
        <v>1105</v>
      </c>
      <c r="B1105" s="38"/>
      <c r="C1105" s="37"/>
      <c r="D1105" s="39"/>
      <c r="E1105" s="39"/>
      <c r="F1105" s="37"/>
      <c r="G1105" s="37"/>
      <c r="H1105" s="41"/>
      <c r="I1105" s="37"/>
      <c r="J1105" s="42"/>
      <c r="K1105" s="42"/>
      <c r="L1105" s="42"/>
    </row>
    <row r="1106" spans="1:12" x14ac:dyDescent="0.25">
      <c r="A1106" s="37">
        <v>1106</v>
      </c>
      <c r="B1106" s="38"/>
      <c r="C1106" s="37"/>
      <c r="D1106" s="39"/>
      <c r="E1106" s="39"/>
      <c r="F1106" s="37"/>
      <c r="G1106" s="37"/>
      <c r="H1106" s="41"/>
      <c r="I1106" s="37"/>
      <c r="J1106" s="42"/>
      <c r="K1106" s="42"/>
      <c r="L1106" s="42"/>
    </row>
    <row r="1107" spans="1:12" x14ac:dyDescent="0.25">
      <c r="A1107" s="37">
        <v>1107</v>
      </c>
      <c r="B1107" s="38"/>
      <c r="C1107" s="37"/>
      <c r="D1107" s="39"/>
      <c r="E1107" s="39"/>
      <c r="F1107" s="37"/>
      <c r="G1107" s="37"/>
      <c r="H1107" s="41"/>
      <c r="I1107" s="37"/>
      <c r="J1107" s="42"/>
      <c r="K1107" s="42"/>
      <c r="L1107" s="42"/>
    </row>
    <row r="1108" spans="1:12" x14ac:dyDescent="0.25">
      <c r="A1108" s="37">
        <v>1108</v>
      </c>
      <c r="B1108" s="38"/>
      <c r="C1108" s="37"/>
      <c r="D1108" s="39"/>
      <c r="E1108" s="39"/>
      <c r="F1108" s="37"/>
      <c r="G1108" s="37"/>
      <c r="H1108" s="41"/>
      <c r="I1108" s="37"/>
      <c r="J1108" s="42"/>
      <c r="K1108" s="42"/>
      <c r="L1108" s="42"/>
    </row>
    <row r="1109" spans="1:12" x14ac:dyDescent="0.25">
      <c r="A1109" s="37">
        <v>1109</v>
      </c>
      <c r="B1109" s="38"/>
      <c r="C1109" s="37"/>
      <c r="D1109" s="39"/>
      <c r="E1109" s="39"/>
      <c r="F1109" s="37"/>
      <c r="G1109" s="37"/>
      <c r="H1109" s="41"/>
      <c r="I1109" s="37"/>
      <c r="J1109" s="42"/>
      <c r="K1109" s="42"/>
      <c r="L1109" s="42"/>
    </row>
    <row r="1110" spans="1:12" x14ac:dyDescent="0.25">
      <c r="A1110" s="37">
        <v>1110</v>
      </c>
      <c r="B1110" s="38"/>
      <c r="C1110" s="37"/>
      <c r="D1110" s="39"/>
      <c r="E1110" s="39"/>
      <c r="F1110" s="37"/>
      <c r="G1110" s="37"/>
      <c r="H1110" s="41"/>
      <c r="I1110" s="37"/>
      <c r="J1110" s="42"/>
      <c r="K1110" s="42"/>
      <c r="L1110" s="42"/>
    </row>
    <row r="1111" spans="1:12" x14ac:dyDescent="0.25">
      <c r="A1111" s="37"/>
      <c r="B1111" s="38"/>
      <c r="C1111" s="37"/>
      <c r="D1111" s="39"/>
      <c r="E1111" s="40"/>
      <c r="F1111" s="37"/>
      <c r="G1111" s="37"/>
      <c r="H1111" s="41"/>
      <c r="I1111" s="37"/>
      <c r="J1111" s="42"/>
      <c r="K1111" s="42"/>
      <c r="L1111" s="42"/>
    </row>
    <row r="1112" spans="1:12" x14ac:dyDescent="0.25">
      <c r="A1112" s="37"/>
      <c r="B1112" s="38"/>
      <c r="C1112" s="37"/>
      <c r="D1112" s="39"/>
      <c r="E1112" s="40"/>
      <c r="F1112" s="37"/>
      <c r="G1112" s="37"/>
      <c r="H1112" s="41"/>
      <c r="I1112" s="37"/>
      <c r="J1112" s="42"/>
      <c r="K1112" s="42"/>
      <c r="L1112" s="42"/>
    </row>
    <row r="1113" spans="1:12" x14ac:dyDescent="0.25">
      <c r="A1113" s="37"/>
      <c r="B1113" s="38"/>
      <c r="C1113" s="37"/>
      <c r="D1113" s="39"/>
      <c r="E1113" s="40"/>
      <c r="F1113" s="37"/>
      <c r="G1113" s="37"/>
      <c r="H1113" s="41"/>
      <c r="I1113" s="37"/>
      <c r="J1113" s="42"/>
      <c r="K1113" s="42"/>
      <c r="L1113" s="42"/>
    </row>
    <row r="1114" spans="1:12" x14ac:dyDescent="0.25">
      <c r="A1114" s="37"/>
      <c r="B1114" s="38"/>
      <c r="C1114" s="37"/>
      <c r="D1114" s="39"/>
      <c r="E1114" s="40"/>
      <c r="F1114" s="37"/>
      <c r="G1114" s="37"/>
      <c r="H1114" s="41"/>
      <c r="I1114" s="37"/>
      <c r="J1114" s="42"/>
      <c r="K1114" s="42"/>
      <c r="L1114" s="42"/>
    </row>
    <row r="1115" spans="1:12" x14ac:dyDescent="0.25">
      <c r="A1115" s="37"/>
      <c r="B1115" s="38"/>
      <c r="C1115" s="37"/>
      <c r="D1115" s="39"/>
      <c r="E1115" s="40"/>
      <c r="F1115" s="37"/>
      <c r="G1115" s="37"/>
      <c r="H1115" s="41"/>
      <c r="I1115" s="37"/>
      <c r="J1115" s="42"/>
      <c r="K1115" s="42"/>
      <c r="L1115" s="42"/>
    </row>
    <row r="1116" spans="1:12" x14ac:dyDescent="0.25">
      <c r="A1116" s="37"/>
      <c r="B1116" s="38"/>
      <c r="C1116" s="37"/>
      <c r="D1116" s="39"/>
      <c r="E1116" s="40"/>
      <c r="F1116" s="37"/>
      <c r="G1116" s="37"/>
      <c r="H1116" s="41"/>
      <c r="I1116" s="37"/>
      <c r="J1116" s="42"/>
      <c r="K1116" s="42"/>
      <c r="L1116" s="42"/>
    </row>
    <row r="1117" spans="1:12" x14ac:dyDescent="0.25">
      <c r="A1117" s="37"/>
      <c r="B1117" s="38"/>
      <c r="C1117" s="37"/>
      <c r="D1117" s="39"/>
      <c r="E1117" s="40"/>
      <c r="F1117" s="37"/>
      <c r="G1117" s="37"/>
      <c r="H1117" s="41"/>
      <c r="I1117" s="37"/>
      <c r="J1117" s="42"/>
      <c r="K1117" s="42"/>
      <c r="L1117" s="42"/>
    </row>
    <row r="1118" spans="1:12" x14ac:dyDescent="0.25">
      <c r="A1118" s="37"/>
      <c r="B1118" s="38"/>
      <c r="C1118" s="37"/>
      <c r="D1118" s="39"/>
      <c r="E1118" s="40"/>
      <c r="F1118" s="37"/>
      <c r="G1118" s="37"/>
      <c r="H1118" s="41"/>
      <c r="I1118" s="37"/>
      <c r="J1118" s="42"/>
      <c r="K1118" s="42"/>
      <c r="L1118" s="42"/>
    </row>
    <row r="1119" spans="1:12" x14ac:dyDescent="0.25">
      <c r="A1119" s="37"/>
      <c r="B1119" s="38"/>
      <c r="C1119" s="37"/>
      <c r="D1119" s="39"/>
      <c r="E1119" s="40"/>
      <c r="F1119" s="37"/>
      <c r="G1119" s="37"/>
      <c r="H1119" s="41"/>
      <c r="I1119" s="37"/>
      <c r="J1119" s="42"/>
      <c r="K1119" s="42"/>
      <c r="L1119" s="42"/>
    </row>
    <row r="1120" spans="1:12" x14ac:dyDescent="0.25">
      <c r="A1120" s="37"/>
      <c r="B1120" s="38"/>
      <c r="C1120" s="37"/>
      <c r="D1120" s="39"/>
      <c r="E1120" s="40"/>
      <c r="F1120" s="37"/>
      <c r="G1120" s="37"/>
      <c r="H1120" s="41"/>
      <c r="I1120" s="37"/>
      <c r="J1120" s="42"/>
      <c r="K1120" s="42"/>
      <c r="L1120" s="42"/>
    </row>
    <row r="1121" spans="1:12" x14ac:dyDescent="0.25">
      <c r="A1121" s="37"/>
      <c r="B1121" s="38"/>
      <c r="C1121" s="37"/>
      <c r="D1121" s="39"/>
      <c r="E1121" s="40"/>
      <c r="F1121" s="37"/>
      <c r="G1121" s="37"/>
      <c r="H1121" s="41"/>
      <c r="I1121" s="37"/>
      <c r="J1121" s="42"/>
      <c r="K1121" s="42"/>
      <c r="L1121" s="42"/>
    </row>
    <row r="1122" spans="1:12" x14ac:dyDescent="0.25">
      <c r="A1122" s="37"/>
      <c r="B1122" s="38"/>
      <c r="C1122" s="37"/>
      <c r="D1122" s="39"/>
      <c r="E1122" s="40"/>
      <c r="F1122" s="37"/>
      <c r="G1122" s="37"/>
      <c r="H1122" s="41"/>
      <c r="I1122" s="37"/>
      <c r="J1122" s="42"/>
      <c r="K1122" s="42"/>
      <c r="L1122" s="42"/>
    </row>
    <row r="1123" spans="1:12" x14ac:dyDescent="0.25">
      <c r="A1123" s="37"/>
      <c r="B1123" s="38"/>
      <c r="C1123" s="37"/>
      <c r="D1123" s="39"/>
      <c r="E1123" s="40"/>
      <c r="F1123" s="37"/>
      <c r="G1123" s="37"/>
      <c r="H1123" s="41"/>
      <c r="I1123" s="37"/>
      <c r="J1123" s="42"/>
      <c r="K1123" s="42"/>
      <c r="L1123" s="42"/>
    </row>
    <row r="1124" spans="1:12" x14ac:dyDescent="0.25">
      <c r="A1124" s="30"/>
      <c r="B1124" s="38"/>
      <c r="C1124" s="37"/>
      <c r="D1124" s="39"/>
      <c r="E1124" s="40"/>
      <c r="F1124" s="37"/>
      <c r="G1124" s="37"/>
      <c r="H1124" s="41"/>
      <c r="I1124" s="37"/>
      <c r="J1124" s="42"/>
      <c r="K1124" s="42"/>
      <c r="L1124" s="42"/>
    </row>
    <row r="1125" spans="1:12" x14ac:dyDescent="0.25">
      <c r="A1125" s="37"/>
      <c r="B1125" s="38"/>
      <c r="C1125" s="37"/>
      <c r="D1125" s="39"/>
      <c r="E1125" s="40"/>
      <c r="F1125" s="37"/>
      <c r="G1125" s="37"/>
      <c r="H1125" s="41"/>
      <c r="I1125" s="37"/>
      <c r="J1125" s="42"/>
      <c r="K1125" s="42"/>
      <c r="L1125" s="42"/>
    </row>
    <row r="1126" spans="1:12" x14ac:dyDescent="0.25">
      <c r="A1126" s="45"/>
      <c r="B1126" s="38"/>
      <c r="C1126" s="37"/>
      <c r="D1126" s="39"/>
      <c r="E1126" s="40"/>
      <c r="F1126" s="37"/>
      <c r="G1126" s="37"/>
      <c r="H1126" s="41"/>
      <c r="I1126" s="37"/>
      <c r="J1126" s="42"/>
      <c r="K1126" s="42"/>
      <c r="L1126" s="42"/>
    </row>
    <row r="1127" spans="1:12" x14ac:dyDescent="0.25">
      <c r="A1127" s="47" t="s">
        <v>2621</v>
      </c>
      <c r="B1127" s="38"/>
      <c r="C1127" s="37"/>
      <c r="D1127" s="39"/>
      <c r="E1127" s="40"/>
      <c r="F1127" s="37"/>
      <c r="G1127" s="37"/>
      <c r="H1127" s="41"/>
      <c r="I1127" s="37"/>
      <c r="J1127" s="42"/>
      <c r="K1127" s="42"/>
      <c r="L1127" s="42"/>
    </row>
    <row r="1128" spans="1:12" x14ac:dyDescent="0.25">
      <c r="A1128" s="52" t="s">
        <v>2883</v>
      </c>
      <c r="B1128" s="38"/>
      <c r="C1128" s="37"/>
      <c r="D1128" s="39"/>
      <c r="E1128" s="40"/>
      <c r="F1128" s="37"/>
      <c r="G1128" s="37"/>
      <c r="H1128" s="41"/>
      <c r="I1128" s="37"/>
      <c r="J1128" s="42"/>
      <c r="K1128" s="42"/>
      <c r="L1128" s="42"/>
    </row>
    <row r="1129" spans="1:12" x14ac:dyDescent="0.25">
      <c r="A1129" s="53" t="s">
        <v>133</v>
      </c>
      <c r="B1129" s="38"/>
      <c r="C1129" s="37"/>
      <c r="D1129" s="39"/>
      <c r="E1129" s="40"/>
      <c r="F1129" s="37"/>
      <c r="G1129" s="37"/>
      <c r="H1129" s="41"/>
      <c r="I1129" s="37"/>
      <c r="J1129" s="42"/>
      <c r="K1129" s="42"/>
      <c r="L1129" s="42"/>
    </row>
    <row r="1130" spans="1:12" x14ac:dyDescent="0.25">
      <c r="A1130" s="53" t="s">
        <v>814</v>
      </c>
      <c r="B1130" s="38"/>
      <c r="C1130" s="37"/>
      <c r="D1130" s="39"/>
      <c r="E1130" s="40"/>
      <c r="F1130" s="37"/>
      <c r="G1130" s="37"/>
      <c r="H1130" s="41"/>
      <c r="I1130" s="37"/>
      <c r="J1130" s="42"/>
      <c r="K1130" s="42"/>
      <c r="L1130" s="42"/>
    </row>
    <row r="1131" spans="1:12" x14ac:dyDescent="0.25">
      <c r="A1131" s="53" t="s">
        <v>868</v>
      </c>
      <c r="B1131" s="38"/>
      <c r="C1131" s="37"/>
      <c r="D1131" s="39"/>
      <c r="E1131" s="40"/>
      <c r="F1131" s="37"/>
      <c r="G1131" s="37"/>
      <c r="H1131" s="41"/>
      <c r="I1131" s="37"/>
      <c r="J1131" s="42"/>
      <c r="K1131" s="42"/>
      <c r="L1131" s="42"/>
    </row>
    <row r="1132" spans="1:12" x14ac:dyDescent="0.25">
      <c r="A1132" s="53" t="s">
        <v>3529</v>
      </c>
      <c r="B1132" s="38"/>
      <c r="C1132" s="37"/>
      <c r="D1132" s="39"/>
      <c r="E1132" s="40"/>
      <c r="F1132" s="37"/>
      <c r="G1132" s="37"/>
      <c r="H1132" s="41"/>
      <c r="I1132" s="37"/>
      <c r="J1132" s="42"/>
      <c r="K1132" s="42"/>
      <c r="L1132" s="42"/>
    </row>
    <row r="1133" spans="1:12" x14ac:dyDescent="0.25">
      <c r="A1133" s="54" t="s">
        <v>217</v>
      </c>
      <c r="B1133" s="38"/>
      <c r="C1133" s="37"/>
      <c r="D1133" s="39"/>
      <c r="E1133" s="40"/>
      <c r="F1133" s="37"/>
      <c r="G1133" s="37"/>
      <c r="H1133" s="41"/>
      <c r="I1133" s="37"/>
      <c r="J1133" s="42"/>
      <c r="K1133" s="42"/>
      <c r="L1133" s="42"/>
    </row>
    <row r="1134" spans="1:12" x14ac:dyDescent="0.25">
      <c r="A1134" s="53"/>
      <c r="B1134" s="38"/>
      <c r="C1134" s="37"/>
      <c r="D1134" s="39"/>
      <c r="E1134" s="40"/>
      <c r="F1134" s="37"/>
      <c r="G1134" s="37"/>
      <c r="H1134" s="41"/>
      <c r="I1134" s="37"/>
      <c r="J1134" s="42"/>
      <c r="K1134" s="42"/>
      <c r="L1134" s="42"/>
    </row>
    <row r="1135" spans="1:12" x14ac:dyDescent="0.25">
      <c r="B1135" s="38"/>
      <c r="C1135" s="37"/>
      <c r="D1135" s="39"/>
      <c r="E1135" s="40"/>
      <c r="F1135" s="37"/>
      <c r="G1135" s="37"/>
      <c r="H1135" s="41"/>
      <c r="I1135" s="37"/>
      <c r="J1135" s="42"/>
      <c r="K1135" s="42"/>
      <c r="L1135" s="42"/>
    </row>
    <row r="1136" spans="1:12" x14ac:dyDescent="0.25">
      <c r="B1136" s="38"/>
      <c r="C1136" s="37"/>
      <c r="D1136" s="39"/>
      <c r="E1136" s="40"/>
      <c r="F1136" s="37"/>
      <c r="G1136" s="37"/>
      <c r="H1136" s="41"/>
      <c r="I1136" s="37"/>
      <c r="J1136" s="42"/>
      <c r="K1136" s="42"/>
      <c r="L1136" s="42"/>
    </row>
    <row r="1137" spans="1:12" x14ac:dyDescent="0.25">
      <c r="B1137" s="38"/>
      <c r="C1137" s="37"/>
      <c r="D1137" s="39"/>
      <c r="E1137" s="40"/>
      <c r="F1137" s="37"/>
      <c r="G1137" s="37"/>
      <c r="H1137" s="41"/>
      <c r="I1137" s="37"/>
      <c r="J1137" s="42"/>
      <c r="K1137" s="42"/>
      <c r="L1137" s="42"/>
    </row>
    <row r="1138" spans="1:12" x14ac:dyDescent="0.25">
      <c r="B1138" s="38"/>
      <c r="C1138" s="37"/>
      <c r="D1138" s="39"/>
      <c r="E1138" s="40"/>
      <c r="F1138" s="37"/>
      <c r="G1138" s="37"/>
      <c r="H1138" s="41"/>
      <c r="I1138" s="37"/>
      <c r="J1138" s="42"/>
      <c r="K1138" s="42"/>
      <c r="L1138" s="42"/>
    </row>
    <row r="1139" spans="1:12" x14ac:dyDescent="0.25">
      <c r="A1139" s="13">
        <f>-L70</f>
        <v>0</v>
      </c>
      <c r="B1139" s="38"/>
      <c r="C1139" s="37"/>
      <c r="D1139" s="39"/>
      <c r="E1139" s="40"/>
      <c r="F1139" s="37"/>
      <c r="G1139" s="37"/>
      <c r="H1139" s="41"/>
      <c r="I1139" s="37"/>
      <c r="J1139" s="42"/>
      <c r="K1139" s="42"/>
      <c r="L1139" s="42"/>
    </row>
    <row r="1140" spans="1:12" x14ac:dyDescent="0.25">
      <c r="B1140" s="38"/>
      <c r="C1140" s="37"/>
      <c r="D1140" s="39"/>
      <c r="E1140" s="40"/>
      <c r="F1140" s="37"/>
      <c r="G1140" s="37"/>
      <c r="H1140" s="41"/>
      <c r="I1140" s="37"/>
      <c r="J1140" s="42"/>
      <c r="K1140" s="42"/>
      <c r="L1140" s="42"/>
    </row>
    <row r="1141" spans="1:12" x14ac:dyDescent="0.25">
      <c r="B1141" s="38"/>
      <c r="C1141" s="37"/>
      <c r="D1141" s="39"/>
      <c r="E1141" s="40"/>
      <c r="F1141" s="37"/>
      <c r="G1141" s="37"/>
      <c r="H1141" s="41"/>
      <c r="I1141" s="37"/>
      <c r="J1141" s="42"/>
      <c r="K1141" s="42"/>
      <c r="L1141" s="42"/>
    </row>
    <row r="1142" spans="1:12" ht="15.6" x14ac:dyDescent="0.3">
      <c r="B1142" s="405"/>
      <c r="C1142" s="37"/>
      <c r="D1142" s="39"/>
      <c r="E1142" s="40"/>
      <c r="F1142" s="37"/>
      <c r="G1142" s="37"/>
      <c r="H1142" s="41"/>
      <c r="I1142" s="37"/>
      <c r="J1142" s="42"/>
      <c r="K1142" s="42"/>
      <c r="L1142" s="42"/>
    </row>
    <row r="1143" spans="1:12" x14ac:dyDescent="0.25">
      <c r="B1143" s="38"/>
      <c r="C1143" s="37"/>
      <c r="D1143" s="39"/>
      <c r="E1143" s="40"/>
      <c r="F1143" s="37"/>
      <c r="G1143" s="37"/>
      <c r="H1143" s="41"/>
      <c r="I1143" s="37"/>
      <c r="J1143" s="42"/>
      <c r="K1143" s="42"/>
      <c r="L1143" s="42"/>
    </row>
    <row r="1144" spans="1:12" x14ac:dyDescent="0.25">
      <c r="B1144" s="38"/>
      <c r="C1144" s="37"/>
      <c r="D1144" s="39"/>
      <c r="E1144" s="40"/>
      <c r="F1144" s="37"/>
      <c r="G1144" s="37"/>
      <c r="H1144" s="41"/>
      <c r="I1144" s="37"/>
      <c r="J1144" s="42"/>
      <c r="K1144" s="42"/>
      <c r="L1144" s="42"/>
    </row>
    <row r="1145" spans="1:12" x14ac:dyDescent="0.25">
      <c r="B1145" s="38"/>
      <c r="C1145" s="37"/>
      <c r="D1145" s="39"/>
      <c r="E1145" s="40"/>
      <c r="F1145" s="37"/>
      <c r="G1145" s="37"/>
      <c r="H1145" s="41"/>
      <c r="I1145" s="37"/>
      <c r="J1145" s="42"/>
      <c r="K1145" s="42"/>
      <c r="L1145" s="42"/>
    </row>
    <row r="1146" spans="1:12" x14ac:dyDescent="0.25">
      <c r="B1146" s="38"/>
      <c r="C1146" s="37"/>
      <c r="D1146" s="39"/>
      <c r="E1146" s="40"/>
      <c r="F1146" s="37"/>
      <c r="G1146" s="37"/>
      <c r="H1146" s="41"/>
      <c r="I1146" s="37"/>
      <c r="J1146" s="42"/>
      <c r="K1146" s="42"/>
      <c r="L1146" s="42"/>
    </row>
    <row r="1147" spans="1:12" x14ac:dyDescent="0.25">
      <c r="B1147" s="38"/>
      <c r="C1147" s="37"/>
      <c r="D1147" s="39"/>
      <c r="E1147" s="40"/>
      <c r="F1147" s="37"/>
      <c r="G1147" s="37"/>
      <c r="H1147" s="41"/>
      <c r="I1147" s="37"/>
      <c r="J1147" s="42"/>
      <c r="K1147" s="42"/>
      <c r="L1147" s="42"/>
    </row>
    <row r="1148" spans="1:12" x14ac:dyDescent="0.25">
      <c r="B1148" s="38"/>
      <c r="C1148" s="37"/>
      <c r="D1148" s="39"/>
      <c r="E1148" s="40"/>
      <c r="F1148" s="37"/>
      <c r="G1148" s="37"/>
      <c r="H1148" s="41"/>
      <c r="I1148" s="37"/>
      <c r="J1148" s="42"/>
      <c r="K1148" s="42"/>
      <c r="L1148" s="42"/>
    </row>
    <row r="1149" spans="1:12" x14ac:dyDescent="0.25">
      <c r="B1149" s="38"/>
      <c r="C1149" s="37"/>
      <c r="D1149" s="39"/>
      <c r="E1149" s="40"/>
      <c r="F1149" s="37"/>
      <c r="G1149" s="37"/>
      <c r="H1149" s="41"/>
      <c r="I1149" s="37"/>
      <c r="J1149" s="42"/>
      <c r="K1149" s="42"/>
      <c r="L1149" s="42"/>
    </row>
    <row r="1150" spans="1:12" x14ac:dyDescent="0.25">
      <c r="B1150" s="38"/>
      <c r="C1150" s="37"/>
      <c r="D1150" s="39"/>
      <c r="E1150" s="40"/>
      <c r="F1150" s="37"/>
      <c r="G1150" s="37"/>
      <c r="H1150" s="41"/>
      <c r="I1150" s="37"/>
      <c r="J1150" s="42"/>
      <c r="K1150" s="42"/>
      <c r="L1150" s="42"/>
    </row>
    <row r="1151" spans="1:12" x14ac:dyDescent="0.25">
      <c r="B1151" s="38"/>
      <c r="C1151" s="37"/>
      <c r="D1151" s="39"/>
      <c r="E1151" s="40"/>
      <c r="F1151" s="37"/>
      <c r="G1151" s="37"/>
      <c r="H1151" s="41"/>
      <c r="I1151" s="37"/>
      <c r="J1151" s="42"/>
      <c r="K1151" s="42"/>
      <c r="L1151" s="42"/>
    </row>
    <row r="1152" spans="1:12" x14ac:dyDescent="0.25">
      <c r="B1152" s="38"/>
      <c r="C1152" s="37"/>
      <c r="D1152" s="39"/>
      <c r="E1152" s="40"/>
      <c r="F1152" s="37"/>
      <c r="G1152" s="37"/>
      <c r="H1152" s="41"/>
      <c r="I1152" s="37"/>
      <c r="J1152" s="42"/>
      <c r="K1152" s="42"/>
      <c r="L1152" s="42"/>
    </row>
    <row r="1153" spans="2:12" x14ac:dyDescent="0.25">
      <c r="B1153" s="38"/>
      <c r="C1153" s="37"/>
      <c r="D1153" s="39"/>
      <c r="E1153" s="40"/>
      <c r="F1153" s="37"/>
      <c r="G1153" s="37"/>
      <c r="H1153" s="41"/>
      <c r="I1153" s="37"/>
      <c r="J1153" s="42"/>
      <c r="K1153" s="42"/>
      <c r="L1153" s="42"/>
    </row>
    <row r="1154" spans="2:12" x14ac:dyDescent="0.25">
      <c r="B1154" s="38"/>
      <c r="C1154" s="37"/>
      <c r="D1154" s="39"/>
      <c r="E1154" s="40"/>
      <c r="F1154" s="37"/>
      <c r="G1154" s="37"/>
      <c r="H1154" s="41"/>
      <c r="I1154" s="37"/>
      <c r="J1154" s="42"/>
      <c r="K1154" s="42"/>
      <c r="L1154" s="42"/>
    </row>
    <row r="1155" spans="2:12" x14ac:dyDescent="0.25">
      <c r="B1155" s="38"/>
      <c r="C1155" s="37"/>
      <c r="D1155" s="39"/>
      <c r="E1155" s="40"/>
      <c r="F1155" s="37"/>
      <c r="G1155" s="37"/>
      <c r="H1155" s="41"/>
      <c r="I1155" s="37"/>
      <c r="J1155" s="42"/>
      <c r="K1155" s="42"/>
      <c r="L1155" s="42"/>
    </row>
    <row r="1156" spans="2:12" x14ac:dyDescent="0.25">
      <c r="B1156" s="38"/>
      <c r="C1156" s="37"/>
      <c r="D1156" s="39"/>
      <c r="E1156" s="40"/>
      <c r="F1156" s="37"/>
      <c r="G1156" s="37"/>
      <c r="H1156" s="41"/>
      <c r="I1156" s="37"/>
      <c r="J1156" s="42"/>
      <c r="K1156" s="42"/>
      <c r="L1156" s="42"/>
    </row>
    <row r="1157" spans="2:12" x14ac:dyDescent="0.25">
      <c r="B1157" s="38"/>
      <c r="C1157" s="37"/>
      <c r="D1157" s="39"/>
      <c r="E1157" s="40"/>
      <c r="F1157" s="37"/>
      <c r="G1157" s="37"/>
      <c r="H1157" s="41"/>
      <c r="I1157" s="37"/>
      <c r="J1157" s="42"/>
      <c r="K1157" s="42"/>
      <c r="L1157" s="42"/>
    </row>
    <row r="1158" spans="2:12" x14ac:dyDescent="0.25">
      <c r="B1158" s="38"/>
      <c r="C1158" s="37"/>
      <c r="D1158" s="39"/>
      <c r="E1158" s="40"/>
      <c r="F1158" s="37"/>
      <c r="G1158" s="37"/>
      <c r="H1158" s="41"/>
      <c r="I1158" s="37"/>
      <c r="J1158" s="42"/>
      <c r="K1158" s="42"/>
      <c r="L1158" s="42"/>
    </row>
    <row r="1159" spans="2:12" x14ac:dyDescent="0.25">
      <c r="B1159" s="38"/>
      <c r="C1159" s="37"/>
      <c r="D1159" s="39"/>
      <c r="E1159" s="40"/>
      <c r="F1159" s="37"/>
      <c r="G1159" s="37"/>
      <c r="H1159" s="41"/>
      <c r="I1159" s="37"/>
      <c r="J1159" s="42"/>
      <c r="K1159" s="42"/>
      <c r="L1159" s="42"/>
    </row>
    <row r="1160" spans="2:12" x14ac:dyDescent="0.25">
      <c r="B1160" s="38"/>
      <c r="C1160" s="37"/>
      <c r="D1160" s="39"/>
      <c r="E1160" s="40"/>
      <c r="F1160" s="37"/>
      <c r="G1160" s="37"/>
      <c r="H1160" s="41"/>
      <c r="I1160" s="37"/>
      <c r="J1160" s="42"/>
      <c r="K1160" s="42"/>
      <c r="L1160" s="42"/>
    </row>
    <row r="1161" spans="2:12" x14ac:dyDescent="0.25">
      <c r="B1161" s="38"/>
      <c r="C1161" s="30"/>
      <c r="D1161" s="39"/>
      <c r="E1161" s="40"/>
      <c r="F1161" s="37"/>
      <c r="G1161" s="37"/>
      <c r="H1161" s="41"/>
      <c r="I1161" s="37"/>
      <c r="J1161" s="42"/>
      <c r="K1161" s="42"/>
      <c r="L1161" s="42"/>
    </row>
    <row r="1162" spans="2:12" x14ac:dyDescent="0.25">
      <c r="B1162" s="31"/>
      <c r="C1162" s="37"/>
      <c r="D1162" s="32"/>
      <c r="E1162" s="40"/>
      <c r="F1162" s="30"/>
      <c r="G1162" s="37"/>
      <c r="H1162" s="41"/>
      <c r="I1162" s="37"/>
      <c r="J1162" s="42"/>
      <c r="K1162" s="42"/>
      <c r="L1162" s="42"/>
    </row>
    <row r="1163" spans="2:12" x14ac:dyDescent="0.25">
      <c r="B1163" s="38"/>
      <c r="C1163" s="320"/>
      <c r="D1163" s="39"/>
      <c r="E1163" s="33"/>
      <c r="F1163" s="37"/>
      <c r="G1163" s="30"/>
      <c r="H1163" s="41"/>
      <c r="I1163" s="30"/>
      <c r="J1163" s="42"/>
      <c r="K1163" s="42"/>
      <c r="L1163" s="42"/>
    </row>
    <row r="1164" spans="2:12" x14ac:dyDescent="0.25">
      <c r="B1164" s="322"/>
      <c r="C1164" s="332"/>
      <c r="D1164" s="324"/>
      <c r="E1164" s="40"/>
      <c r="F1164" s="323"/>
      <c r="G1164" s="37"/>
      <c r="H1164" s="41"/>
      <c r="I1164" s="37"/>
      <c r="J1164" s="42"/>
      <c r="K1164" s="42"/>
      <c r="L1164" s="42"/>
    </row>
    <row r="1165" spans="2:12" x14ac:dyDescent="0.25">
      <c r="B1165" s="326"/>
      <c r="C1165" s="327"/>
      <c r="D1165" s="328"/>
      <c r="E1165" s="329"/>
      <c r="F1165" s="327"/>
      <c r="G1165" s="327"/>
      <c r="H1165" s="34"/>
      <c r="I1165" s="323"/>
      <c r="J1165" s="42"/>
      <c r="K1165" s="42"/>
      <c r="L1165" s="42"/>
    </row>
    <row r="1166" spans="2:12" x14ac:dyDescent="0.25">
      <c r="H1166" s="41"/>
      <c r="I1166" s="327"/>
      <c r="J1166" s="331"/>
      <c r="K1166" s="321"/>
      <c r="L1166" s="321"/>
    </row>
    <row r="1167" spans="2:12" x14ac:dyDescent="0.25">
      <c r="H1167" s="325"/>
    </row>
    <row r="1168" spans="2:12" x14ac:dyDescent="0.25">
      <c r="H1168" s="330"/>
    </row>
  </sheetData>
  <protectedRanges>
    <protectedRange sqref="H246:L246 H252:L252 H220:L220 H257:L257 B256:G256 B251:G251 B217:G217 B229:G229 B243:G243" name="Диапазон1_1"/>
    <protectedRange sqref="K152:L152 K150:L150 K172:L172 H180:L181 C176:G176 B179:G180" name="Диапазон1_2"/>
    <protectedRange sqref="K139:L139 K24:L25 K30:L30 K86:L87 K148:L148" name="Диапазон1_3"/>
    <protectedRange sqref="H150:J150 H152:J152 H148:J148 B147:G147 B151:G151 B149:G149" name="Диапазон1_2_1"/>
    <protectedRange sqref="A416:A417 A347 A35 A55 A87 A89 A6 A8 A10 A12 A14 A4 A19 A21 A23 A410:A414 A27 A31 A33 A25 A37 A39 A41 A43 A45 A47 A49 A51 A53 A403:A408 A57 A59 A61 A63 A65 A71 A77 A73 A81 A83 A85 A91 A97 A99 A107 A109 A111 A115 A121 A93 A125 A127 A129 A131 A133 A135 A137 A139 A141 A143 A145 A147 A149 A151 A153 A155 A157 A159 A161 A163 A165 A167 A169 A171 A173 A175 A177 A179 A181 A183 A186 A188 A190 A192 A194 A196 A198 A200 A202 A204 A206 A208: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A345 A349:A350 A353:A355 A357:A363 A365:A368 A370:A377 A379:A385 A387 A389:A394 A396:A398 A400:A401 A119 A101 A75 A79 A123 A419:A429 A431:A472 A474:A523 H139:J139 B23:H24 I24:J25 H86:J87 A29:H29 I30:J30 A16:A17 A95 A117 A69 A67 B86:G86 A103 A105 A113 B116:G116 B138:G138" name="Диапазон1_3_3"/>
    <protectedRange sqref="A5 A7 A9 A11 A13 A15 A344 A18 A20 A22 A24 A26 A28 A30 A32 A34 A36 A38 A40 A42 A44 A46 A48 A50 A52 A54 A56 A58 A60 A62 A64 A66 A68 A70 A72 A74 A76 A78 A80 A82 A84 A86 A88 A90 A92 A94 A96 A98 A100 A102 A104 A106 A108 A110 A112 A114 A116 A118 A120 A122 A124 A126 A128 A130 A132 A134 A136 A138 A140 A142 A144 A146 A148 A150 A152 A154 A156 A158 A160 A162 A164 A166 A346 A170 A172 A174 A176 A178 A180 A182 A184:A185 A187 A189 A191 A193 A195 A197 A199 A201 A203 A205 A207 A348 A210 A212 A214 A216 A218 A220 A222 A224 A226 A228 A230 A232 A234 A236 A238 A240 A242 A244 A246 A248 A250 A252 A254 A256 A258 A260 A262 A264 A266 A268 A270 A272 A274 A276 A278 A280 A282 A284 A286 A288 A290 A292 A294 A296 A298 A300 A302 A304 A306 A308 A310 A312 A314 A316 A318 A320 A322 A324 A326 A328 A330 A332 A334 A336 A338 A340 A342" name="Диапазон1_3_3_1"/>
    <protectedRange sqref="B17:H17 I18:L18" name="Диапазон1_6"/>
    <protectedRange sqref="B22:H22 I23:L23" name="Диапазон1_1_4"/>
    <protectedRange sqref="B30:H30 I31:L31" name="Диапазон1_9"/>
    <protectedRange sqref="K37:L37" name="Диапазон1_3_9"/>
    <protectedRange sqref="B36:H36 I37:J37" name="Диапазон1_3_3_19"/>
    <protectedRange sqref="B39:H39 I41:L41" name="Диапазон1_1_5"/>
    <protectedRange sqref="K53:L53" name="Диапазон1_3_11"/>
    <protectedRange sqref="B52:H52 I53:J53" name="Диапазон1_3_3_25"/>
    <protectedRange sqref="K65:L65" name="Диапазон1_3_16"/>
    <protectedRange sqref="B64:H64 I65:J65" name="Диапазон1_3_3_35"/>
    <protectedRange sqref="K69:L69" name="Диапазон1_3_17"/>
    <protectedRange sqref="I69:J69" name="Диапазон1_3_3_38"/>
    <protectedRange sqref="B70:H70 I71:L71" name="Диапазон1_16"/>
    <protectedRange sqref="B71:H71 I72:L72" name="Диапазон1_17"/>
    <protectedRange sqref="B78:G78" name="Диапазон1_20"/>
    <protectedRange sqref="B87:G87" name="Диапазон1_3_2_1_2"/>
    <protectedRange sqref="K94:L94" name="Диапазон1_3_1_3"/>
    <protectedRange sqref="H94:J94" name="Диапазон1_3_1_1_2"/>
    <protectedRange sqref="B96:G96" name="Диапазон1_2_1_5"/>
    <protectedRange sqref="L107" name="Диапазон1_2_11"/>
    <protectedRange sqref="H129:L129 B128:G128" name="Диапазон1_1_14"/>
    <protectedRange sqref="K136:L136" name="Диапазон1_3_32"/>
    <protectedRange sqref="H136:J136 B135:G135" name="Диапазон1_3_3_83"/>
    <protectedRange sqref="K137:L137" name="Диапазон1_3_33"/>
    <protectedRange sqref="H137:J137 B136:G136" name="Диапазон1_3_3_84"/>
    <protectedRange sqref="H138:L138 B137:G137" name="Диапазон1_30"/>
    <protectedRange sqref="H166:L166" name="Диапазон1"/>
    <protectedRange sqref="H168:L168 B167:G167" name="Диапазон1_36"/>
    <protectedRange sqref="B176 H176:L176" name="Диапазон1_37"/>
    <protectedRange sqref="H323 H361:J361 H224:J224 H319:J319 B246:G246 B194:G194 B360:G360 H322:J322 B321:G321" name="Диапазон1_3_3_99"/>
    <protectedRange sqref="H215:L215 B214:G214" name="Диапазон1_41"/>
    <protectedRange sqref="K224:L224" name="Диапазон1_3_46"/>
    <protectedRange sqref="H229:L229" name="Диапазон1_44"/>
    <protectedRange sqref="H253:L253 B252:G252" name="Диапазон1_47"/>
    <protectedRange sqref="H254:L254 B253:G253" name="Диапазон1_1_25"/>
    <protectedRange sqref="H256:L256" name="Диапазон1_49"/>
    <protectedRange sqref="B257:G257" name="Диапазон1_1_26"/>
    <protectedRange sqref="H263:L263" name="Диапазон1_50"/>
    <protectedRange sqref="H266:L266 B265:G265" name="Диапазон1_51"/>
    <protectedRange sqref="H271:L271 B270:G270" name="Диапазон1_52"/>
    <protectedRange sqref="H275:L275 B274:G274" name="Диапазон1_54"/>
    <protectedRange sqref="C279:G279" name="Диапазон1_1_31"/>
    <protectedRange sqref="H281:L281" name="Диапазон1_1_32"/>
    <protectedRange sqref="B291:G291" name="Диапазон1_56"/>
    <protectedRange sqref="H301:L301 B300:G300" name="Диапазон1_61"/>
    <protectedRange sqref="K307 H306:L306 B305:G305" name="Диапазон1_1_39"/>
    <protectedRange sqref="K319:L319" name="Диапазон1_3_1_4"/>
    <protectedRange sqref="K322:L322 K323" name="Диапазон1_3_52"/>
    <protectedRange sqref="H329:L329 B328:G328" name="Диапазон1_63"/>
    <protectedRange sqref="H335:L335 B334:G334" name="Диапазон1_65"/>
    <protectedRange sqref="B337:G337 I337" name="Диапазон1_66"/>
    <protectedRange sqref="K343:L343" name="Диапазон1_3_2_6"/>
    <protectedRange sqref="H343:J343 B342:G342" name="Диапазон1_3_2_1_6"/>
    <protectedRange sqref="H352:L352 B351:G351" name="Диапазон1_68"/>
    <protectedRange sqref="H355:L355 B354:G354" name="Диапазон1_69"/>
    <protectedRange sqref="H359:L359 B358:G358" name="Диапазон1_70"/>
    <protectedRange sqref="K361:L361" name="Диапазон1_3_53"/>
    <protectedRange sqref="K364 K523 H363:L363 B362:G362" name="Диапазон1_1_43"/>
    <protectedRange sqref="H374:L374 B373:G373" name="Диапазон1_80"/>
    <protectedRange sqref="H384:K384 B383:G383" name="Диапазон1_81"/>
    <protectedRange sqref="A351" name="Диапазон1_3_3_2"/>
    <protectedRange sqref="A352" name="Диапазон1_3_3_3"/>
    <protectedRange sqref="A356" name="Диапазон1_3_3_5"/>
    <protectedRange sqref="L404" name="Диапазон1_3_55"/>
    <protectedRange sqref="A364 H404:J404" name="Диапазон1_3_3_6"/>
    <protectedRange sqref="A369" name="Диапазон1_3_3_7"/>
    <protectedRange sqref="A378" name="Диапазон1_3_3_9"/>
    <protectedRange sqref="A386" name="Диапазон1_3_3_10"/>
    <protectedRange sqref="H429:L429 B428:G428" name="Диапазон1_85"/>
    <protectedRange sqref="A388" name="Диапазон1_3_3_11"/>
    <protectedRange sqref="H436:L436 C435:G435" name="Диапазон1_1_47"/>
    <protectedRange sqref="A395" name="Диапазон1_3_3_14"/>
    <protectedRange sqref="A399" name="Диапазон1_3_3_15"/>
    <protectedRange sqref="B512 H443:L443 B442:G442" name="Диапазон1_87"/>
    <protectedRange sqref="A402" name="Диапазон1_3_3_16"/>
    <protectedRange sqref="A409" name="Диапазон1_3_3_17"/>
    <protectedRange sqref="B455:E455 H456:L456 G455" name="Диапазон1_89"/>
    <protectedRange sqref="A415" name="Диапазон1_3_3_18"/>
    <protectedRange sqref="B458:E458 H459:L459 G458" name="Диапазон1_90"/>
    <protectedRange sqref="A418" name="Диапазон1_3_3_20"/>
    <protectedRange sqref="B4:H4 I9:L9" name="Диапазон1_1_48"/>
    <protectedRange sqref="K11:L11" name="Диапазон1_3_50_2"/>
    <protectedRange sqref="B11:H11" name="Диапазон1_3_3_99_2"/>
    <protectedRange sqref="I14:L14" name="Диапазон1_21_1"/>
    <protectedRange sqref="K15:L15" name="Диапазон1_3_5_1"/>
    <protectedRange sqref="B14:H14 I15:J15" name="Диапазон1_3_3_8_1"/>
    <protectedRange sqref="I21:L21 B19:H20" name="Диапазон1_1_7_1"/>
    <protectedRange sqref="K22:L22" name="Диапазон1_3_13_1"/>
    <protectedRange sqref="B21:H21 I22:J22" name="Диапазон1_3_3_31_1"/>
    <protectedRange sqref="K26:L26" name="Диапазон1_3_23_1"/>
    <protectedRange sqref="B25:H25 I26:J26" name="Диапазон1_3_3_63_1"/>
    <protectedRange sqref="K28:L28" name="Диапазон1_3_4"/>
    <protectedRange sqref="B27:H27 I28:J28" name="Диапазон1_3_3_4"/>
    <protectedRange sqref="B37:H37 I38:L38" name="Диапазон1_1_1"/>
    <protectedRange sqref="B38:H38 I39:L39" name="Диапазон1_17_1"/>
    <protectedRange sqref="B54:H54" name="Диапазон1_3_3_99_5"/>
    <protectedRange sqref="B56:H56 I57:L57" name="Диапазон1_1_6"/>
    <protectedRange sqref="B57:H57 I58:L58" name="Диапазон1_2_16_1"/>
    <protectedRange sqref="K61:L61" name="Диапазон1_3_35_1"/>
    <protectedRange sqref="B58:H58 I61:J61" name="Диапазон1_3_3_89_1"/>
    <protectedRange sqref="C62:H62 I63:L63" name="Диапазон1_1_12_1"/>
    <protectedRange sqref="K64:L64" name="Диапазон1_3_22_1"/>
    <protectedRange sqref="B63:H63 I64:J64" name="Диапазон1_3_3_59_1"/>
    <protectedRange sqref="B66:H66" name="Диапазон1_3_3_99_6"/>
    <protectedRange sqref="B69:H69 I70:L70" name="Диапазон1_66_2"/>
    <protectedRange sqref="B72:H72" name="Диапазон1_61_1"/>
    <protectedRange sqref="H78:L78 B77:G77" name="Диапазон1_1_1_1"/>
    <protectedRange sqref="H82:L82" name="Диапазон1_2_17_1"/>
    <protectedRange sqref="B82:G82" name="Диапазон1_2_1_6_1"/>
    <protectedRange sqref="H96:L96 B95:G95" name="Диапазон1_1_3"/>
    <protectedRange sqref="H98:L98" name="Диапазон1_27_1"/>
    <protectedRange sqref="H99:L99 B98:G98" name="Диапазон1_30_1"/>
    <protectedRange sqref="B107:G107" name="Диапазон1_2_1_1"/>
    <protectedRange sqref="K119" name="Диапазон1_3_6"/>
    <protectedRange sqref="L119" name="Диапазон1_3_16_1"/>
    <protectedRange sqref="H119:J119" name="Диапазон1_3_3_35_1"/>
    <protectedRange sqref="H120:J120 B119:G119" name="Диапазон1_3_3_99_7"/>
    <protectedRange sqref="K120:L120" name="Диапазон1_3_48_1"/>
    <protectedRange sqref="K121:L121" name="Диапазон1_3_8"/>
    <protectedRange sqref="H121:J121 B120:G120" name="Диапазон1_3_3_22"/>
    <protectedRange sqref="H122:J122 B121:G121" name="Диапазон1_3_3_99_8"/>
    <protectedRange sqref="K122:L122" name="Диапазон1_3_37_1"/>
    <protectedRange sqref="H124:L124 B123:G123" name="Диапазон1_1_7"/>
    <protectedRange sqref="K125:L125" name="Диапазон1_2_5"/>
    <protectedRange sqref="H125:J125 B124:G124" name="Диапазон1_2_1_2"/>
    <protectedRange sqref="K126:L126" name="Диапазон1_2_18_1"/>
    <protectedRange sqref="H126:J126 B125:G125" name="Диапазон1_2_1_11_1"/>
    <protectedRange sqref="H127:L127 B126:G126" name="Диапазон1_26"/>
    <protectedRange sqref="K128:L128" name="Диапазон1_2_3"/>
    <protectedRange sqref="H128:J128 B127:G127" name="Диапазон1_2_1_3"/>
    <protectedRange sqref="B129:G129" name="Диапазон1_3_3_99_9"/>
    <protectedRange sqref="B131:G131" name="Диапазон1_1_2_1"/>
    <protectedRange sqref="H134:L134" name="Диапазон1_1_9"/>
    <protectedRange sqref="H143:L143" name="Диапазон1_60_1"/>
    <protectedRange sqref="K146:L146" name="Диапазон1_3_2_1_3"/>
    <protectedRange sqref="H146:J146 B145:G145" name="Диапазон1_3_2_1_2_1"/>
    <protectedRange sqref="H147:L147 B146:G146" name="Диапазон1_51_2"/>
    <protectedRange sqref="K149:L149" name="Диапазон1_3_26_1"/>
    <protectedRange sqref="H149:J149 B148:G148" name="Диапазон1_3_3_70_1"/>
    <protectedRange sqref="H151:L151 B150:G150" name="Диапазон1_1_10"/>
    <protectedRange sqref="H153:L153 B152:G152" name="Диапазон1_1_25_1"/>
    <protectedRange sqref="H154:L154 B153:G153" name="Диапазон1_2_6"/>
    <protectedRange sqref="H156:L156 B155:G155" name="Диапазон1_1_4_1"/>
    <protectedRange sqref="H157:L157 B156:G156" name="Диапазон1_1_32_1"/>
    <protectedRange sqref="K158:L158" name="Диапазон1_3_17_1"/>
    <protectedRange sqref="H158:J158 B157:G157" name="Диапазон1_3_3_38_1"/>
    <protectedRange sqref="F158 I159" name="Диапазон1_3_2_1_1_1"/>
    <protectedRange sqref="H160:L160 B159:G159" name="Диапазон1_1_11"/>
    <protectedRange sqref="B160:G160" name="Диапазон1_1_34_1"/>
    <protectedRange sqref="K167:L167" name="Диапазон1_3_10"/>
    <protectedRange sqref="H167:J167 B166:G166" name="Диапазон1_3_3_23"/>
    <protectedRange sqref="K171:L171" name="Диапазон1_3_12"/>
    <protectedRange sqref="H171:J171" name="Диапазон1_3_3_24"/>
    <protectedRange sqref="K173:L173" name="Диапазон1_3_27"/>
    <protectedRange sqref="H173:J173 B172:G172" name="Диапазон1_3_3_74"/>
    <protectedRange sqref="H179:L179" name="Диапазон1_64_1"/>
    <protectedRange sqref="H182:L182 B181:G181" name="Диапазон1_71_1"/>
    <protectedRange sqref="H184:L184 B182:G182" name="Диапазон1_2_2"/>
    <protectedRange sqref="B184:G184" name="Диапазон1_2_1_3_1"/>
    <protectedRange sqref="H188:J188" name="Диапазон1_3_3_99_4"/>
    <protectedRange sqref="K188:L188" name="Диапазон1_3_51_1"/>
    <protectedRange sqref="K192:L192" name="Диапазон1_3_28"/>
    <protectedRange sqref="H192:J192" name="Диапазон1_3_3_75"/>
    <protectedRange sqref="H194:L194 B193:G193" name="Диапазон1_24"/>
    <protectedRange sqref="K208:L208" name="Диапазон1_3_10_1"/>
    <protectedRange sqref="K212:L212" name="Диапазон1_3_30"/>
    <protectedRange sqref="H212:J212 B209:G209" name="Диапазон1_3_3_81"/>
    <protectedRange sqref="H213:L213 B212:G212" name="Диапазон1_1_12"/>
    <protectedRange sqref="K214:L214" name="Диапазон1_3_19"/>
    <protectedRange sqref="H214:J214 B213:G213" name="Диапазон1_3_3_51"/>
    <protectedRange sqref="B220:G220" name="Диапазон1_11"/>
    <protectedRange sqref="K251:L251" name="Диапазон1_3_38"/>
    <protectedRange sqref="H251:J251 B250:G250" name="Диапазон1_2_1_7"/>
    <protectedRange sqref="H265:L265 B264:G264" name="Диапазон1_1_39_1"/>
    <protectedRange sqref="H276:L276 B275:G275" name="Диапазон1_4"/>
    <protectedRange sqref="H277:L277 B276:G276" name="Диапазон1_1_15"/>
    <protectedRange sqref="K279:L279" name="Диапазон1_3_22"/>
    <protectedRange sqref="H279:J279 B278:G278" name="Диапазон1_3_3_29"/>
    <protectedRange sqref="K286:L286" name="Диапазон1_2_8"/>
    <protectedRange sqref="H286:J286 B285:G285" name="Диапазон1_2_1_6"/>
    <protectedRange sqref="K288:L288" name="Диапазон1_3_2_2"/>
    <protectedRange sqref="H288:J288 B287:G287" name="Диапазон1_3_2_1_1_2"/>
    <protectedRange sqref="H299:L299" name="Диапазон1_5"/>
    <protectedRange sqref="H300:J300 B299:G299" name="Диапазон1_3_3_99_3_1"/>
    <protectedRange sqref="K300:L300" name="Диапазон1_3_40_2_1"/>
    <protectedRange sqref="K303:L303" name="Диапазон1_3_23"/>
    <protectedRange sqref="H303:J303 B302:G302" name="Диапазон1_3_3_30"/>
    <protectedRange sqref="K316:L316" name="Диапазон1_3_24_2"/>
    <protectedRange sqref="H316:J316 B315:G315" name="Диапазон1_3_3_67_2"/>
    <protectedRange sqref="H321:L321 B320:G320" name="Диапазон1_9_1"/>
    <protectedRange sqref="H324:L324 B323:G323" name="Диапазон1_51_1"/>
    <protectedRange sqref="H333:L333 B332:G332" name="Диапазон1_1_43_1"/>
    <protectedRange sqref="H340:J340 B339:G339" name="Диапазон1_3_3_99_1"/>
    <protectedRange sqref="K340:L340" name="Диапазон1_3_46_1"/>
    <protectedRange sqref="K341:L341" name="Диапазон1_2_14"/>
    <protectedRange sqref="H341:J341 B340:G340" name="Диапазон1_2_4_2"/>
    <protectedRange sqref="H344:L344 B343:G343" name="Диапазон1_1_5_1"/>
    <protectedRange sqref="K356:L356" name="Диапазон1_3_32_1"/>
    <protectedRange sqref="H356:J356 B355:G355" name="Диапазон1_3_3_83_1"/>
    <protectedRange sqref="H365:L365 B364:G364" name="Диапазон1_1_22"/>
    <protectedRange sqref="K368:L368" name="Диапазон1_2_10"/>
    <protectedRange sqref="H368:J368" name="Диапазон1_2_4_1"/>
    <protectedRange sqref="K370:L370" name="Диапазон1_3_31"/>
    <protectedRange sqref="H370:J370 B369:G369" name="Диапазон1_3_3_31"/>
    <protectedRange sqref="H373:L373" name="Диапазон1_1_21_1"/>
    <protectedRange sqref="K379:L379" name="Диапазон1_3_39"/>
    <protectedRange sqref="H379:J379 B378:G378" name="Диапазон1_2_1_8"/>
    <protectedRange sqref="H383:L383 B382:G382" name="Диапазон1_47_1"/>
    <protectedRange sqref="K386:K388 H385:L385 B384:G384" name="Диапазон1_1_13_1"/>
    <protectedRange sqref="B62" name="Диапазон1_1_12_2"/>
    <protectedRange sqref="H392:L392" name="Диапазон1_31"/>
    <protectedRange sqref="K404" name="Диапазон1_1_16"/>
    <protectedRange sqref="K410:L410" name="Диапазон1_3_2_5"/>
    <protectedRange sqref="H410 B409:G409 J410" name="Диапазон1_3_2_1_4"/>
    <protectedRange sqref="H418:L418 B417:G417" name="Диапазон1_1_17"/>
    <protectedRange sqref="H460:L460 H421:L421 B420:G420 B459:G459" name="Диапазон1_1_24"/>
    <protectedRange sqref="H425:L425 B424:G424" name="Диапазон1_1_23"/>
    <protectedRange sqref="H431:L431 B430:G430" name="Диапазон1_2_12"/>
    <protectedRange sqref="H435:L435 B434:G434" name="Диапазон1_28"/>
    <protectedRange sqref="H438:L438 B437:G437" name="Диапазон1_1_26_1"/>
    <protectedRange sqref="H439:L439 C438:G438" name="Диапазон1_1_47_1"/>
    <protectedRange sqref="H440:L440 B439:G439" name="Диапазон1_1_37"/>
    <protectedRange sqref="H444:L444 B443:G443" name="Диапазон1_55"/>
    <protectedRange sqref="K445:L445" name="Диапазон1_3_54"/>
    <protectedRange sqref="H445:J445 B444:G444" name="Диапазон1_3_3_10_1"/>
    <protectedRange sqref="H447:L447 B446:G446" name="Диапазон1_1_36_1"/>
    <protectedRange sqref="H451:H452 K451:K452 H450:L450 B449:G449" name="Диапазон1_1_29"/>
    <protectedRange sqref="H454:J454 B453:G453" name="Диапазон1_3_3_99_10"/>
    <protectedRange sqref="K454:L454" name="Диапазон1_3_51"/>
    <protectedRange sqref="H464:L464 B463:G463" name="Диапазон1_69_1"/>
    <protectedRange sqref="H471:L471 B470:G470" name="Диапазон1_48"/>
    <protectedRange sqref="H478:L478 B477:G477" name="Диапазон1_1_28"/>
    <protectedRange sqref="H513:L513 C512:G512" name="Диапазон1_1_31_1"/>
    <protectedRange sqref="H516:L516 B515:G515" name="Диапазон1_87_1"/>
    <protectedRange sqref="A473" name="Диапазон1_3_3_16_1"/>
    <protectedRange sqref="H520:L520 B519:G519" name="Диапазон1_2_13"/>
    <protectedRange sqref="H534:L534 B533:G533" name="Диапазон1_1_35"/>
    <protectedRange sqref="H539:L539 B538:G538" name="Диапазон1_1_33"/>
    <protectedRange sqref="H546:L546 B545:G545" name="Диапазон1_36_1"/>
    <protectedRange sqref="H571:L571 B570:G570" name="Диапазон1_44_1"/>
    <protectedRange sqref="K573 H572:L572 B571:G571" name="Диапазон1_82_1"/>
    <protectedRange sqref="H575:J575 B574:G574" name="Диапазон1_3_3_99_11"/>
    <protectedRange sqref="K575:L575" name="Диапазон1_3_53_1"/>
    <protectedRange sqref="H579:L579 B578:G578" name="Диапазон1_18"/>
    <protectedRange sqref="A539" name="Диапазон1_3_3_21"/>
    <protectedRange sqref="H582:L582 B581:G581" name="Диапазон1_1_18_1"/>
    <protectedRange sqref="H599:J599 B598:G598" name="Диапазон1_3_3_99_12"/>
    <protectedRange sqref="K599:L599" name="Диапазон1_3_58"/>
    <protectedRange sqref="K600:L600" name="Диапазон1_3_34"/>
    <protectedRange sqref="H600:J600 B599:G599" name="Диапазон1_3_3_32"/>
    <protectedRange sqref="H612:L612 B611:G611" name="Диапазон1_1_14_1"/>
    <protectedRange sqref="H616:L616 B615:G615" name="Диапазон1_56_1"/>
    <protectedRange sqref="C621" name="Диапазон1_72"/>
    <protectedRange sqref="E621" name="Диапазон1_73"/>
    <protectedRange sqref="G621" name="Диапазон1_74"/>
    <protectedRange sqref="H622" name="Диапазон1_75"/>
    <protectedRange sqref="I622" name="Диапазон1_76"/>
    <protectedRange sqref="F621" name="Диапазон1_77"/>
    <protectedRange sqref="K622" name="Диапазон1_78"/>
    <protectedRange sqref="L622" name="Диапазон1_79"/>
    <protectedRange sqref="H635:L635 B634:G634" name="Диапазон1_49_1"/>
    <protectedRange sqref="H639:K639 B638:G638" name="Диапазон1_81_1"/>
    <protectedRange sqref="K657:L657" name="Диапазон1_3_35"/>
    <protectedRange sqref="H657:J657 B656:G656" name="Диапазон1_3_3_33"/>
    <protectedRange sqref="K704:L704" name="Диапазон1_3_36"/>
    <protectedRange sqref="H704:J704 B703:G703" name="Диапазон1_3_3_34"/>
    <protectedRange sqref="H709:L709 B708:G708" name="Диапазон1_8"/>
    <protectedRange sqref="A667" name="Диапазон1_3_3_36"/>
    <protectedRange sqref="K710:L710" name="Диапазон1_3_29_1"/>
    <protectedRange sqref="H710:J710 B709:G709" name="Диапазон1_3_3_80_1"/>
    <protectedRange sqref="H711:J711 B710:G710" name="Диапазон1_3_3_99_1_1"/>
    <protectedRange sqref="K711:L711" name="Диапазон1_3_42"/>
    <protectedRange sqref="H717:L717 B716:G716" name="Диапазон1_25"/>
    <protectedRange sqref="K718:L718" name="Диапазон1_3_37"/>
    <protectedRange sqref="H718:J718 B717:G717" name="Диапазон1_3_3_39"/>
    <protectedRange sqref="K757:L757" name="Диапазон1_3_40"/>
    <protectedRange sqref="H757:J757 B756:G756" name="Диапазон1_3_3_40"/>
    <protectedRange sqref="H773:L773 B772:G772" name="Диапазон1_1_19"/>
    <protectedRange sqref="H804:L804 B803:G803" name="Диапазон1_2_4"/>
    <protectedRange sqref="B836" name="Диапазон1_57"/>
    <protectedRange sqref="C836" name="Диапазон1_57_1"/>
    <protectedRange sqref="D836" name="Диапазон1_57_2"/>
    <protectedRange sqref="E836" name="Диапазон1_57_3"/>
    <protectedRange sqref="F836" name="Диапазон1_57_4"/>
    <protectedRange sqref="G836" name="Диапазон1_57_5"/>
    <protectedRange sqref="H837" name="Диапазон1_57_6"/>
    <protectedRange sqref="I837" name="Диапазон1_57_7"/>
    <protectedRange sqref="J837" name="Диапазон1_57_8"/>
    <protectedRange sqref="K837" name="Диапазон1_57_9"/>
    <protectedRange sqref="L837" name="Диапазон1_57_10"/>
    <protectedRange sqref="H847:L847 B846:G846" name="Диапазон1_1_41_1"/>
    <protectedRange sqref="H848:L848 B847:G847" name="Диапазон1_1_36_2"/>
    <protectedRange sqref="E883" name="Диапазон1_2_15"/>
    <protectedRange sqref="F883" name="Диапазон1_2_16"/>
    <protectedRange sqref="G883" name="Диапазон1_2_17"/>
    <protectedRange sqref="H884" name="Диапазон1_2_18"/>
    <protectedRange sqref="I884" name="Диапазон1_2_19"/>
    <protectedRange sqref="J884" name="Диапазон1_2_20"/>
    <protectedRange sqref="L884" name="Диапазон1_2_21"/>
    <protectedRange sqref="H931:L931 B930:G930" name="Диапазон1_2_8_2"/>
    <protectedRange sqref="K1009:L1009" name="Диапазон1_3_43_1"/>
    <protectedRange sqref="H1009:J1009 B1008:G1008" name="Диапазон1_2_1_9_1"/>
    <protectedRange sqref="I4" name="Диапазон1_69_1_1"/>
    <protectedRange sqref="J4:L4" name="Диапазон1_69_1_2"/>
    <protectedRange sqref="K5:L5" name="Диапазон1_3_25_1"/>
    <protectedRange sqref="B5:J5" name="Диапазон1_3_3_69_1"/>
    <protectedRange sqref="K6:L6" name="Диапазон1_3_2_2_1"/>
    <protectedRange sqref="B6:J6" name="Диапазон1_3_2_1_1_2_1"/>
    <protectedRange sqref="B7:L7" name="Диапазон1_1_3_1"/>
    <protectedRange sqref="B10:J10" name="Диапазон1_3_3_99_1_1_1"/>
    <protectedRange sqref="K10:L10" name="Диапазон1_3_42_1"/>
    <protectedRange sqref="B33:L33" name="Диапазон1_1_1_1_1"/>
    <protectedRange sqref="B40:L40" name="Диапазон1_21_1_1"/>
    <protectedRange sqref="K43:L43" name="Диапазон1_3_2_3_1_1"/>
    <protectedRange sqref="B43:J43" name="Диапазон1_3_2_1_3_1_1"/>
    <protectedRange sqref="B45:L45" name="Диапазон1_2_6_2"/>
    <protectedRange sqref="B46:J46" name="Диапазон1_3_3_99_7_1"/>
    <protectedRange sqref="K46:L46" name="Диапазон1_3_48_1_1"/>
    <protectedRange sqref="K47:L47" name="Диапазон1_3_6_1_1"/>
    <protectedRange sqref="B47:J47" name="Диапазон1_2_1_1_1_1"/>
    <protectedRange sqref="K48:L48" name="Диапазон1_3_22_1_1"/>
    <protectedRange sqref="B48:J48" name="Диапазон1_3_3_59_1_1"/>
    <protectedRange sqref="B49:L49" name="Диапазон1_2_8_2_1"/>
    <protectedRange sqref="B55:L55" name="Диапазон1_8_1"/>
    <protectedRange sqref="K60:L60" name="Диапазон1_3_7_1"/>
    <protectedRange sqref="B60:J60" name="Диапазон1_3_3_12_1"/>
    <protectedRange sqref="K74:L74" name="Диапазон1_2_8_3"/>
    <protectedRange sqref="B74:J74" name="Диапазон1_2_1_6_3"/>
    <protectedRange sqref="K75:L75" name="Диапазон1_2_22"/>
    <protectedRange sqref="B75:J75" name="Диапазон1_2_1_10"/>
    <protectedRange sqref="B68:L68" name="Диапазон1_1_1_2"/>
    <protectedRange sqref="B79:L79" name="Диапазон1_2_9_1"/>
    <protectedRange sqref="K85:L85" name="Диапазон1_3_43_2"/>
    <protectedRange sqref="B85:J85" name="Диапазон1_2_1_9_2"/>
    <protectedRange sqref="B92:L92" name="Диапазон1_50_1_1"/>
    <protectedRange sqref="K102:L102" name="Диапазон1_3_36_1"/>
    <protectedRange sqref="B102:J102" name="Диапазон1_2_1_6_1_1"/>
    <protectedRange sqref="B104:L104" name="Диапазон1_1_6_1"/>
    <protectedRange sqref="B105:L105" name="Диапазон1_1_45_1"/>
    <protectedRange sqref="B106:L106" name="Диапазон1_9_1_1"/>
    <protectedRange sqref="B108:L108" name="Диапазон1_87_2"/>
    <protectedRange sqref="K115:L115" name="Диапазон1_3_2_5_1"/>
    <protectedRange sqref="B115:J115" name="Диапазон1_3_2_1_4_1"/>
    <protectedRange sqref="B142:J142" name="Диапазон1_3_3_99_6_1"/>
    <protectedRange sqref="K142:L142" name="Диапазон1_3_1_4_1"/>
    <protectedRange sqref="B163:L163" name="Диапазон1_1_11_1"/>
    <protectedRange sqref="K83:L83" name="Диапазон1_2_18_1_2"/>
    <protectedRange sqref="B83:J83" name="Диапазон1_2_1_11_1_2"/>
    <protectedRange sqref="B174:L174" name="Диапазон1_1_8"/>
    <protectedRange sqref="K177:L177" name="Диапазон1_2_23"/>
    <protectedRange sqref="K185:L185" name="Диапазон1_3_5_1_1"/>
    <protectedRange sqref="B185:J185" name="Диапазон1_3_3_8_1_1"/>
    <protectedRange sqref="B187:L187" name="Диапазон1_7"/>
    <protectedRange sqref="B196:L196" name="Диапазон1_4_1"/>
    <protectedRange sqref="B198:L198" name="Диапазон1_1_37_1"/>
    <protectedRange sqref="B199:L199" name="Диапазон1_26_1"/>
    <protectedRange sqref="B201:J201" name="Диапазон1_3_3_99_1_2"/>
    <protectedRange sqref="K201:L201" name="Диапазон1_3_46_1_1"/>
    <protectedRange sqref="B202:L202" name="Диапазон1_1_25_1_1"/>
    <protectedRange sqref="K204:L204" name="Диапазон1_3_16_2"/>
    <protectedRange sqref="B204:J204" name="Диапазон1_3_3_35_2"/>
    <protectedRange sqref="B211:L211" name="Диапазон1_30_2"/>
    <protectedRange sqref="B218:J218" name="Диапазон1_3_3_99_9_1"/>
    <protectedRange sqref="K218:L218" name="Диапазон1_3_47_1"/>
    <protectedRange sqref="B222:L222" name="Диапазон1_52_1"/>
    <protectedRange sqref="K223:L223" name="Диапазон1_3_28_1"/>
    <protectedRange sqref="B223:J223" name="Диапазон1_3_3_75_1"/>
    <protectedRange sqref="B227:J227" name="Диапазон1_3_3_99_13"/>
    <protectedRange sqref="K227:L227" name="Диапазон1_3_53_2"/>
    <protectedRange sqref="K230:L230" name="Диапазон1_2_7_1"/>
    <protectedRange sqref="B230:J230" name="Диапазон1_2_1_4_1"/>
    <protectedRange sqref="B233:L233" name="Диапазон1_2_2_1"/>
    <protectedRange sqref="B242:L242" name="Диапазон1_1_22_1"/>
    <protectedRange sqref="B245:L245" name="Диапазон1_1_42_1"/>
    <protectedRange sqref="B248:J248" name="Диапазон1_3_3_99_2_1"/>
    <protectedRange sqref="K248:L248" name="Диапазон1_3_50_1"/>
    <protectedRange sqref="F258 I258" name="Диапазон1_3_2_1_1_1_1"/>
    <protectedRange sqref="B260:L260" name="Диапазон1_51_3"/>
    <protectedRange sqref="H268 K268" name="Диапазон1_1_29_1"/>
    <protectedRange sqref="B294:L294" name="Диапазон1_1_23_1"/>
    <protectedRange sqref="B295:L295" name="Диапазон1_1_42_2"/>
    <protectedRange sqref="K296:L296" name="Диапазон1_2_10_1"/>
    <protectedRange sqref="B296 D296:J296" name="Диапазон1_2_4_1_1"/>
    <protectedRange sqref="B298:J298" name="Диапазон1_3_3_99_10_1"/>
    <protectedRange sqref="K298:L298" name="Диапазон1_3_51_2"/>
    <protectedRange sqref="B311:L311" name="Диапазон1_1_21_1_1"/>
    <protectedRange sqref="K314:L314" name="Диапазон1_3_24_2_1"/>
    <protectedRange sqref="B314:J314" name="Диапазон1_3_3_67_2_1"/>
    <protectedRange sqref="L347" name="Диапазон1_2_11_1"/>
    <protectedRange sqref="K376:L376" name="Диапазон1_3_27_1"/>
    <protectedRange sqref="B376:J376 F397" name="Диапазон1_3_3_74_1"/>
    <protectedRange sqref="K390:L390" name="Диапазон1_3_39_1"/>
    <protectedRange sqref="B390:J390" name="Диапазон1_2_1_8_1"/>
    <protectedRange sqref="B394:L394" name="Диапазон1_24_1"/>
    <protectedRange sqref="B395:L395" name="Диапазон1_1_36_1_1"/>
    <protectedRange sqref="B402:L402" name="Диапазон1_47_1_1"/>
    <protectedRange sqref="B403:L403" name="Диапазон1_87_1_1"/>
    <protectedRange sqref="C406:L406" name="Диапазон1_1_47_2"/>
  </protectedRanges>
  <customSheetViews>
    <customSheetView guid="{6F966CD8-707E-4C39-BF19-FBF54F1918BD}" showAutoFilter="1" showRuler="0">
      <pane ySplit="3" topLeftCell="A37" activePane="bottomLeft" state="frozenSplit"/>
      <selection pane="bottomLeft"/>
      <pageMargins left="0.75" right="0.75" top="1" bottom="1" header="0.5" footer="0.5"/>
      <pageSetup paperSize="9" orientation="portrait" r:id="rId1"/>
      <headerFooter alignWithMargins="0"/>
      <autoFilter ref="B1:J1"/>
    </customSheetView>
    <customSheetView guid="{E0E17C6E-C811-4170-82D5-EDD54F6164FB}" showAutoFilter="1" showRuler="0">
      <pane ySplit="3" topLeftCell="A399" activePane="bottomLeft" state="frozenSplit"/>
      <selection pane="bottomLeft" activeCell="A2" sqref="A2"/>
      <pageMargins left="0.75" right="0.75" top="1" bottom="1" header="0.5" footer="0.5"/>
      <pageSetup paperSize="9" orientation="portrait" r:id="rId2"/>
      <headerFooter alignWithMargins="0"/>
      <autoFilter ref="B1:J1"/>
    </customSheetView>
    <customSheetView guid="{21C840CC-AE35-4950-B5BD-32A7DE9BAC52}" showAutoFilter="1" showRuler="0">
      <pane ySplit="3" topLeftCell="A634" activePane="bottomLeft" state="frozenSplit"/>
      <selection pane="bottomLeft"/>
      <pageMargins left="0.75" right="0.75" top="1" bottom="1" header="0.5" footer="0.5"/>
      <pageSetup paperSize="9" orientation="portrait" r:id="rId3"/>
      <headerFooter alignWithMargins="0"/>
      <autoFilter ref="B1:J1"/>
    </customSheetView>
    <customSheetView guid="{17CF6293-B179-4C29-9312-7FBDD485BBFD}" showAutoFilter="1" showRuler="0">
      <pane ySplit="3" topLeftCell="A721" activePane="bottomLeft" state="frozenSplit"/>
      <selection pane="bottomLeft" activeCell="A2" sqref="A2"/>
      <pageMargins left="0.75" right="0.75" top="1" bottom="1" header="0.5" footer="0.5"/>
      <pageSetup paperSize="9" orientation="portrait" r:id="rId4"/>
      <headerFooter alignWithMargins="0"/>
      <autoFilter ref="B1:J1"/>
    </customSheetView>
    <customSheetView guid="{B6FD7490-794E-482C-8B29-FB2AB6EB258C}" showAutoFilter="1" showRuler="0">
      <pane ySplit="3" topLeftCell="A4" activePane="bottomLeft" state="frozenSplit"/>
      <selection pane="bottomLeft" activeCell="I18" sqref="I18"/>
      <pageMargins left="0.75" right="0.75" top="1" bottom="1" header="0.5" footer="0.5"/>
      <pageSetup paperSize="9" orientation="portrait" r:id="rId5"/>
      <headerFooter alignWithMargins="0"/>
      <autoFilter ref="B1:J1"/>
    </customSheetView>
  </customSheetViews>
  <phoneticPr fontId="8" type="noConversion"/>
  <pageMargins left="0.75" right="0.75" top="1" bottom="1" header="0.5" footer="0.5"/>
  <pageSetup paperSize="9" orientation="portrait" r:id="rId6"/>
  <headerFooter alignWithMargins="0"/>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indexed="43"/>
    <pageSetUpPr fitToPage="1"/>
  </sheetPr>
  <dimension ref="A1:T59"/>
  <sheetViews>
    <sheetView zoomScaleNormal="100" workbookViewId="0">
      <selection activeCell="H2" sqref="H2"/>
    </sheetView>
  </sheetViews>
  <sheetFormatPr defaultColWidth="0" defaultRowHeight="13.2" zeroHeight="1" x14ac:dyDescent="0.25"/>
  <cols>
    <col min="1" max="5" width="6.6640625" customWidth="1"/>
    <col min="6" max="6" width="8.109375" customWidth="1"/>
    <col min="7" max="7" width="13.88671875" customWidth="1"/>
    <col min="8" max="12" width="6.6640625" customWidth="1"/>
    <col min="13" max="13" width="6.5546875" customWidth="1"/>
    <col min="14" max="14" width="12.44140625" customWidth="1"/>
    <col min="15" max="17" width="6.6640625" style="271" customWidth="1"/>
    <col min="18" max="18" width="5.33203125" style="271" customWidth="1"/>
    <col min="19" max="19" width="0.88671875" style="255" customWidth="1"/>
    <col min="20" max="20" width="0.6640625" style="255" customWidth="1"/>
  </cols>
  <sheetData>
    <row r="1" spans="1:16" ht="6" customHeight="1" x14ac:dyDescent="0.25">
      <c r="A1" s="255"/>
      <c r="B1" s="255"/>
      <c r="C1" s="255"/>
      <c r="D1" s="255"/>
      <c r="E1" s="255"/>
      <c r="F1" s="255"/>
      <c r="G1" s="255"/>
      <c r="H1" s="255"/>
      <c r="I1" s="255"/>
      <c r="J1" s="255"/>
      <c r="K1" s="255"/>
      <c r="L1" s="255"/>
      <c r="M1" s="255"/>
      <c r="N1" s="255"/>
    </row>
    <row r="2" spans="1:16" ht="15.6" x14ac:dyDescent="0.3">
      <c r="E2" s="439" t="s">
        <v>2600</v>
      </c>
      <c r="F2" s="439"/>
      <c r="G2" s="1" t="s">
        <v>2601</v>
      </c>
      <c r="H2" s="282">
        <v>411</v>
      </c>
    </row>
    <row r="3" spans="1:16" ht="15.6" x14ac:dyDescent="0.3">
      <c r="A3" s="439" t="s">
        <v>142</v>
      </c>
      <c r="B3" s="439"/>
      <c r="C3" s="439"/>
      <c r="D3" s="439"/>
      <c r="E3" s="439"/>
      <c r="F3" s="439"/>
      <c r="G3" s="439"/>
      <c r="H3" s="439"/>
      <c r="I3" s="439"/>
      <c r="J3" s="439"/>
      <c r="K3" s="439"/>
      <c r="L3" s="439"/>
      <c r="M3" s="439"/>
      <c r="N3" s="439"/>
    </row>
    <row r="4" spans="1:16" ht="15.6" x14ac:dyDescent="0.3">
      <c r="A4" s="439" t="s">
        <v>402</v>
      </c>
      <c r="B4" s="439"/>
      <c r="C4" s="439"/>
      <c r="D4" s="439"/>
      <c r="E4" s="439"/>
      <c r="F4" s="439"/>
      <c r="G4" s="439"/>
      <c r="H4" s="439"/>
      <c r="I4" s="439"/>
      <c r="J4" s="439"/>
      <c r="K4" s="439"/>
      <c r="L4" s="439"/>
      <c r="M4" s="439"/>
      <c r="N4" s="439"/>
    </row>
    <row r="5" spans="1:16" x14ac:dyDescent="0.25"/>
    <row r="6" spans="1:16" ht="15.6" x14ac:dyDescent="0.3">
      <c r="A6" s="2" t="s">
        <v>2423</v>
      </c>
      <c r="K6" s="440" t="s">
        <v>4080</v>
      </c>
      <c r="L6" s="440"/>
      <c r="M6" s="440"/>
      <c r="N6" s="440"/>
    </row>
    <row r="7" spans="1:16" ht="96.75" customHeight="1" x14ac:dyDescent="0.25">
      <c r="A7" s="434" t="str">
        <f>CONCATENATE("   Республиканское унитарное сервисное предприятие", " «Белтехосмотр» (далее - УП «Белтехосмотр»),", "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",VLOOKUP(Контрагенты!A1,Контрагенты!A4:M2502,2)," именуемый в дальнейшем «Заказчик», в лице ",VLOOKUP(Контрагенты!A1,Контрагенты!A4:M2502,8)," ",VLOOKUP(Контрагенты!A1,Контрагенты!A4:M2502,10), " действующего на основании ",VLOOKUP(Контрагенты!A1,Контрагенты!A4:M2502,11),", с другой стороны, заключили настоящий договор о нижеследующем:")</f>
        <v xml:space="preserve">   Республиканское унитарное сервисное предприятие «Белтехосмотр» (далее - УП «Белтехосмотр»),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ООО "НИКИТИН" именуемый в дальнейшем «Заказчик», в лице Директор Д.Н. Борушко действующего на основании Устава, с другой стороны, заключили настоящий договор о нижеследующем:</v>
      </c>
      <c r="B7" s="434"/>
      <c r="C7" s="434"/>
      <c r="D7" s="434"/>
      <c r="E7" s="434"/>
      <c r="F7" s="434"/>
      <c r="G7" s="434"/>
      <c r="H7" s="434"/>
      <c r="I7" s="434"/>
      <c r="J7" s="434"/>
      <c r="K7" s="434"/>
      <c r="L7" s="434"/>
      <c r="M7" s="434"/>
      <c r="N7" s="434"/>
    </row>
    <row r="8" spans="1:16" ht="15.6" hidden="1" x14ac:dyDescent="0.3">
      <c r="A8" s="281"/>
      <c r="B8" s="281"/>
      <c r="C8" s="281"/>
      <c r="D8" s="281"/>
      <c r="E8" s="281"/>
      <c r="F8" s="281"/>
      <c r="G8" s="281"/>
      <c r="H8" s="281"/>
      <c r="I8" s="281"/>
      <c r="J8" s="281"/>
      <c r="K8" s="281"/>
      <c r="L8" s="281"/>
      <c r="M8" s="281"/>
      <c r="N8" s="281"/>
    </row>
    <row r="9" spans="1:16" ht="15.6" hidden="1" x14ac:dyDescent="0.3">
      <c r="A9" s="4"/>
      <c r="B9" s="4"/>
      <c r="C9" s="4"/>
      <c r="D9" s="4"/>
      <c r="E9" s="4"/>
      <c r="F9" s="4"/>
      <c r="G9" s="4"/>
      <c r="H9" s="4"/>
      <c r="I9" s="4"/>
      <c r="J9" s="4"/>
      <c r="K9" s="4"/>
      <c r="L9" s="4"/>
      <c r="M9" s="4"/>
      <c r="N9" s="4"/>
    </row>
    <row r="10" spans="1:16" ht="10.5" customHeight="1" x14ac:dyDescent="0.3">
      <c r="A10" s="4"/>
      <c r="B10" s="4"/>
      <c r="C10" s="4"/>
      <c r="D10" s="4"/>
      <c r="E10" s="4"/>
      <c r="F10" s="4"/>
      <c r="G10" s="4"/>
      <c r="H10" s="4"/>
      <c r="I10" s="4"/>
      <c r="J10" s="4"/>
      <c r="K10" s="4"/>
      <c r="L10" s="4"/>
      <c r="M10" s="4"/>
      <c r="N10" s="4"/>
    </row>
    <row r="11" spans="1:16" ht="6.75" customHeight="1" x14ac:dyDescent="0.3">
      <c r="A11" s="4"/>
      <c r="B11" s="4"/>
      <c r="C11" s="4"/>
      <c r="D11" s="4"/>
    </row>
    <row r="12" spans="1:16" ht="7.5" customHeight="1" x14ac:dyDescent="0.25"/>
    <row r="13" spans="1:16" ht="15.6" x14ac:dyDescent="0.3">
      <c r="A13" s="439" t="s">
        <v>2630</v>
      </c>
      <c r="B13" s="439"/>
      <c r="C13" s="439"/>
      <c r="D13" s="439"/>
      <c r="E13" s="439"/>
      <c r="F13" s="439"/>
      <c r="G13" s="439"/>
      <c r="H13" s="439"/>
      <c r="I13" s="439"/>
      <c r="J13" s="439"/>
      <c r="K13" s="439"/>
      <c r="L13" s="439"/>
      <c r="M13" s="439"/>
      <c r="N13" s="439"/>
      <c r="P13" s="271" t="s">
        <v>3769</v>
      </c>
    </row>
    <row r="14" spans="1:16" ht="52.5" customHeight="1" x14ac:dyDescent="0.25">
      <c r="A14" s="434" t="s">
        <v>1052</v>
      </c>
      <c r="B14" s="434"/>
      <c r="C14" s="434"/>
      <c r="D14" s="434"/>
      <c r="E14" s="434"/>
      <c r="F14" s="434"/>
      <c r="G14" s="434"/>
      <c r="H14" s="434"/>
      <c r="I14" s="434"/>
      <c r="J14" s="434"/>
      <c r="K14" s="434"/>
      <c r="L14" s="434"/>
      <c r="M14" s="434"/>
      <c r="N14" s="434"/>
    </row>
    <row r="15" spans="1:16" ht="6" customHeight="1" x14ac:dyDescent="0.25"/>
    <row r="16" spans="1:16" ht="15.6" x14ac:dyDescent="0.3">
      <c r="A16" s="439" t="s">
        <v>499</v>
      </c>
      <c r="B16" s="439"/>
      <c r="C16" s="439"/>
      <c r="D16" s="439"/>
      <c r="E16" s="439"/>
      <c r="F16" s="439"/>
      <c r="G16" s="439"/>
      <c r="H16" s="439"/>
      <c r="I16" s="439"/>
      <c r="J16" s="439"/>
      <c r="K16" s="439"/>
      <c r="L16" s="439"/>
      <c r="M16" s="439"/>
      <c r="N16" s="439"/>
    </row>
    <row r="17" spans="1:14" ht="213.75" customHeight="1" x14ac:dyDescent="0.25">
      <c r="A17" s="434" t="s">
        <v>1365</v>
      </c>
      <c r="B17" s="434"/>
      <c r="C17" s="434"/>
      <c r="D17" s="434"/>
      <c r="E17" s="434"/>
      <c r="F17" s="434"/>
      <c r="G17" s="434"/>
      <c r="H17" s="434"/>
      <c r="I17" s="434"/>
      <c r="J17" s="434"/>
      <c r="K17" s="434"/>
      <c r="L17" s="434"/>
      <c r="M17" s="434"/>
      <c r="N17" s="434"/>
    </row>
    <row r="18" spans="1:14" ht="24.75" customHeight="1" x14ac:dyDescent="0.25"/>
    <row r="19" spans="1:14" ht="14.25" customHeight="1" x14ac:dyDescent="0.3">
      <c r="A19" s="439" t="s">
        <v>743</v>
      </c>
      <c r="B19" s="439"/>
      <c r="C19" s="439"/>
      <c r="D19" s="439"/>
      <c r="E19" s="439"/>
      <c r="F19" s="439"/>
      <c r="G19" s="439"/>
      <c r="H19" s="439"/>
      <c r="I19" s="439"/>
      <c r="J19" s="439"/>
      <c r="K19" s="439"/>
      <c r="L19" s="439"/>
      <c r="M19" s="439"/>
      <c r="N19" s="439"/>
    </row>
    <row r="20" spans="1:14" ht="156" customHeight="1" x14ac:dyDescent="0.25">
      <c r="A20" s="434" t="s">
        <v>4116</v>
      </c>
      <c r="B20" s="434"/>
      <c r="C20" s="434"/>
      <c r="D20" s="434"/>
      <c r="E20" s="434"/>
      <c r="F20" s="434"/>
      <c r="G20" s="434"/>
      <c r="H20" s="434"/>
      <c r="I20" s="434"/>
      <c r="J20" s="434"/>
      <c r="K20" s="434"/>
      <c r="L20" s="434"/>
      <c r="M20" s="434"/>
      <c r="N20" s="434"/>
    </row>
    <row r="21" spans="1:14" ht="94.5" customHeight="1" x14ac:dyDescent="0.25">
      <c r="A21" s="441" t="s">
        <v>1952</v>
      </c>
      <c r="B21" s="438"/>
      <c r="C21" s="438"/>
      <c r="D21" s="438"/>
      <c r="E21" s="438"/>
      <c r="F21" s="438"/>
      <c r="G21" s="438"/>
      <c r="H21" s="438"/>
      <c r="I21" s="438"/>
      <c r="J21" s="438"/>
      <c r="K21" s="438"/>
      <c r="L21" s="438"/>
      <c r="M21" s="438"/>
      <c r="N21" s="438"/>
    </row>
    <row r="22" spans="1:14" ht="134.25" customHeight="1" x14ac:dyDescent="0.25">
      <c r="A22" s="441" t="s">
        <v>1867</v>
      </c>
      <c r="B22" s="438"/>
      <c r="C22" s="438"/>
      <c r="D22" s="438"/>
      <c r="E22" s="438"/>
      <c r="F22" s="438"/>
      <c r="G22" s="438"/>
      <c r="H22" s="438"/>
      <c r="I22" s="438"/>
      <c r="J22" s="438"/>
      <c r="K22" s="438"/>
      <c r="L22" s="438"/>
      <c r="M22" s="438"/>
      <c r="N22" s="438"/>
    </row>
    <row r="23" spans="1:14" ht="19.5" customHeight="1" x14ac:dyDescent="0.3">
      <c r="A23" s="439" t="s">
        <v>2598</v>
      </c>
      <c r="B23" s="439"/>
      <c r="C23" s="439"/>
      <c r="D23" s="439"/>
      <c r="E23" s="439"/>
      <c r="F23" s="439"/>
      <c r="G23" s="439"/>
      <c r="H23" s="439"/>
      <c r="I23" s="439"/>
      <c r="J23" s="439"/>
      <c r="K23" s="439"/>
      <c r="L23" s="439"/>
      <c r="M23" s="439"/>
      <c r="N23" s="439"/>
    </row>
    <row r="24" spans="1:14" ht="39" customHeight="1" x14ac:dyDescent="0.25">
      <c r="A24" s="434" t="s">
        <v>2952</v>
      </c>
      <c r="B24" s="434"/>
      <c r="C24" s="434"/>
      <c r="D24" s="434"/>
      <c r="E24" s="434"/>
      <c r="F24" s="434"/>
      <c r="G24" s="434"/>
      <c r="H24" s="434"/>
      <c r="I24" s="434"/>
      <c r="J24" s="434"/>
      <c r="K24" s="434"/>
      <c r="L24" s="434"/>
      <c r="M24" s="434"/>
      <c r="N24" s="434"/>
    </row>
    <row r="25" spans="1:14" ht="15.6" x14ac:dyDescent="0.3">
      <c r="A25" s="439" t="s">
        <v>1945</v>
      </c>
      <c r="B25" s="439"/>
      <c r="C25" s="439"/>
      <c r="D25" s="439"/>
      <c r="E25" s="439"/>
      <c r="F25" s="439"/>
      <c r="G25" s="439"/>
      <c r="H25" s="439"/>
      <c r="I25" s="439"/>
      <c r="J25" s="439"/>
      <c r="K25" s="439"/>
      <c r="L25" s="439"/>
      <c r="M25" s="439"/>
      <c r="N25" s="439"/>
    </row>
    <row r="26" spans="1:14" ht="67.5" customHeight="1" x14ac:dyDescent="0.25">
      <c r="A26" s="434" t="s">
        <v>2662</v>
      </c>
      <c r="B26" s="434"/>
      <c r="C26" s="434"/>
      <c r="D26" s="434"/>
      <c r="E26" s="434"/>
      <c r="F26" s="434"/>
      <c r="G26" s="434"/>
      <c r="H26" s="434"/>
      <c r="I26" s="434"/>
      <c r="J26" s="434"/>
      <c r="K26" s="434"/>
      <c r="L26" s="434"/>
      <c r="M26" s="434"/>
      <c r="N26" s="434"/>
    </row>
    <row r="27" spans="1:14" ht="22.5" hidden="1" customHeight="1" x14ac:dyDescent="0.25"/>
    <row r="28" spans="1:14" ht="15.6" x14ac:dyDescent="0.3">
      <c r="A28" s="439" t="s">
        <v>312</v>
      </c>
      <c r="B28" s="439"/>
      <c r="C28" s="439"/>
      <c r="D28" s="439"/>
      <c r="E28" s="439"/>
      <c r="F28" s="439"/>
      <c r="G28" s="439"/>
      <c r="H28" s="439"/>
      <c r="I28" s="439"/>
      <c r="J28" s="439"/>
      <c r="K28" s="439"/>
      <c r="L28" s="439"/>
      <c r="M28" s="439"/>
      <c r="N28" s="439"/>
    </row>
    <row r="29" spans="1:14" ht="198.75" customHeight="1" x14ac:dyDescent="0.25">
      <c r="A29" s="434" t="s">
        <v>2903</v>
      </c>
      <c r="B29" s="434"/>
      <c r="C29" s="434"/>
      <c r="D29" s="434"/>
      <c r="E29" s="434"/>
      <c r="F29" s="434"/>
      <c r="G29" s="434"/>
      <c r="H29" s="434"/>
      <c r="I29" s="434"/>
      <c r="J29" s="434"/>
      <c r="K29" s="434"/>
      <c r="L29" s="434"/>
      <c r="M29" s="434"/>
      <c r="N29" s="434"/>
    </row>
    <row r="30" spans="1:14" ht="8.25" hidden="1" customHeight="1" x14ac:dyDescent="0.25">
      <c r="A30" s="289"/>
      <c r="B30" s="289"/>
      <c r="C30" s="289"/>
      <c r="D30" s="289"/>
      <c r="E30" s="289"/>
      <c r="F30" s="289"/>
      <c r="G30" s="289"/>
      <c r="H30" s="289"/>
      <c r="I30" s="289"/>
      <c r="J30" s="289"/>
      <c r="K30" s="289"/>
      <c r="L30" s="289"/>
      <c r="M30" s="289"/>
      <c r="N30" s="289"/>
    </row>
    <row r="31" spans="1:14" ht="8.25" hidden="1" customHeight="1" x14ac:dyDescent="0.25">
      <c r="A31" s="289"/>
      <c r="B31" s="289"/>
      <c r="C31" s="289"/>
      <c r="D31" s="289"/>
      <c r="E31" s="289"/>
      <c r="F31" s="289"/>
      <c r="G31" s="289"/>
      <c r="H31" s="289"/>
      <c r="I31" s="289"/>
      <c r="J31" s="289"/>
      <c r="K31" s="289"/>
      <c r="L31" s="289"/>
      <c r="M31" s="289"/>
      <c r="N31" s="289"/>
    </row>
    <row r="32" spans="1:14" ht="12.75" hidden="1" customHeight="1" x14ac:dyDescent="0.25">
      <c r="A32" s="289"/>
      <c r="B32" s="289"/>
      <c r="C32" s="289"/>
      <c r="D32" s="289"/>
      <c r="E32" s="289"/>
      <c r="F32" s="289"/>
      <c r="G32" s="289"/>
      <c r="H32" s="289"/>
      <c r="I32" s="289"/>
      <c r="J32" s="289"/>
      <c r="K32" s="289"/>
      <c r="L32" s="289"/>
      <c r="M32" s="289"/>
      <c r="N32" s="289"/>
    </row>
    <row r="33" spans="1:20" ht="5.25" customHeight="1" x14ac:dyDescent="0.25"/>
    <row r="34" spans="1:20" ht="15.6" x14ac:dyDescent="0.3">
      <c r="A34" s="439" t="s">
        <v>138</v>
      </c>
      <c r="B34" s="439"/>
      <c r="C34" s="439"/>
      <c r="D34" s="439"/>
      <c r="E34" s="439"/>
      <c r="F34" s="439"/>
      <c r="G34" s="439"/>
      <c r="H34" s="439"/>
      <c r="I34" s="439"/>
      <c r="J34" s="439"/>
      <c r="K34" s="439"/>
      <c r="L34" s="439"/>
      <c r="M34" s="439"/>
      <c r="N34" s="439"/>
    </row>
    <row r="35" spans="1:20" ht="22.5" customHeight="1" x14ac:dyDescent="0.25"/>
    <row r="36" spans="1:20" s="2" customFormat="1" ht="19.5" customHeight="1" x14ac:dyDescent="0.3">
      <c r="A36" s="443" t="s">
        <v>3732</v>
      </c>
      <c r="B36" s="443"/>
      <c r="C36" s="443"/>
      <c r="D36" s="443"/>
      <c r="E36" s="443"/>
      <c r="F36" s="443"/>
      <c r="G36" s="3"/>
      <c r="H36" s="443" t="s">
        <v>3219</v>
      </c>
      <c r="I36" s="443"/>
      <c r="J36" s="443"/>
      <c r="K36" s="443"/>
      <c r="L36" s="443"/>
      <c r="M36" s="443"/>
      <c r="N36" s="443"/>
      <c r="O36" s="272"/>
      <c r="P36" s="272"/>
      <c r="Q36" s="272"/>
      <c r="R36" s="272"/>
      <c r="S36" s="256"/>
      <c r="T36" s="256"/>
    </row>
    <row r="37" spans="1:20" s="2" customFormat="1" ht="26.25" customHeight="1" x14ac:dyDescent="0.3">
      <c r="A37" s="442" t="str">
        <f>Контрагенты!B1</f>
        <v>УП "Белтехосмотр"</v>
      </c>
      <c r="B37" s="442"/>
      <c r="C37" s="442"/>
      <c r="D37" s="442"/>
      <c r="E37" s="442"/>
      <c r="F37" s="442"/>
      <c r="H37" s="444" t="str">
        <f>VLOOKUP(Контрагенты!A1,Контрагенты!A4:M2502,2)</f>
        <v>ООО "НИКИТИН"</v>
      </c>
      <c r="I37" s="444"/>
      <c r="J37" s="444"/>
      <c r="K37" s="444"/>
      <c r="L37" s="444"/>
      <c r="M37" s="444"/>
      <c r="N37" s="444"/>
      <c r="O37" s="272"/>
      <c r="P37" s="272"/>
      <c r="Q37" s="272"/>
      <c r="R37" s="272"/>
      <c r="S37" s="256"/>
      <c r="T37" s="256"/>
    </row>
    <row r="38" spans="1:20" s="2" customFormat="1" ht="15.75" customHeight="1" x14ac:dyDescent="0.3">
      <c r="A38" s="433" t="str">
        <f>Контрагенты!I1</f>
        <v>220005, Минск, ул.Платонова, 22а-312</v>
      </c>
      <c r="B38" s="433"/>
      <c r="C38" s="433"/>
      <c r="D38" s="433"/>
      <c r="E38" s="433"/>
      <c r="F38" s="433"/>
      <c r="H38" s="445" t="str">
        <f>IF((VLOOKUP(Контрагенты!A1,Контрагенты!A4:M2502,9))&gt;"",VLOOKUP(Контрагенты!A1,Контрагенты!A4:M2502,9),"")</f>
        <v>223141 г. Логойск, ул. Победы,102 к.1</v>
      </c>
      <c r="I38" s="445"/>
      <c r="J38" s="445"/>
      <c r="K38" s="445"/>
      <c r="L38" s="445"/>
      <c r="M38" s="445"/>
      <c r="N38" s="445"/>
      <c r="O38" s="272"/>
      <c r="P38" s="272"/>
      <c r="Q38" s="272"/>
      <c r="R38" s="272"/>
      <c r="S38" s="256"/>
      <c r="T38" s="256"/>
    </row>
    <row r="39" spans="1:20" s="2" customFormat="1" ht="15.6" x14ac:dyDescent="0.3">
      <c r="A39" s="433" t="str">
        <f>CONCATENATE("р/с",Контрагенты!E1)</f>
        <v>р/сBY03BPSB30121052530139330000</v>
      </c>
      <c r="B39" s="433"/>
      <c r="C39" s="433"/>
      <c r="D39" s="433"/>
      <c r="E39" s="433"/>
      <c r="F39" s="433"/>
      <c r="H39" s="445"/>
      <c r="I39" s="445"/>
      <c r="J39" s="445"/>
      <c r="K39" s="445"/>
      <c r="L39" s="445"/>
      <c r="M39" s="445"/>
      <c r="N39" s="445"/>
      <c r="O39" s="272"/>
      <c r="P39" s="272"/>
      <c r="Q39" s="272"/>
      <c r="R39" s="272"/>
      <c r="S39" s="256"/>
      <c r="T39" s="256"/>
    </row>
    <row r="40" spans="1:20" s="2" customFormat="1" ht="15.6" x14ac:dyDescent="0.3">
      <c r="A40" s="438" t="str">
        <f>CONCATENATE(Контрагенты!F1,", код ",Контрагенты!G1)</f>
        <v>Региональная дирекция №700 ОАО "БПС-Сбербанк", код BPSBBY2X</v>
      </c>
      <c r="B40" s="438"/>
      <c r="C40" s="438"/>
      <c r="D40" s="438"/>
      <c r="E40" s="438"/>
      <c r="F40" s="438"/>
      <c r="H40" s="445"/>
      <c r="I40" s="445"/>
      <c r="J40" s="445"/>
      <c r="K40" s="445"/>
      <c r="L40" s="445"/>
      <c r="M40" s="445"/>
      <c r="N40" s="445"/>
      <c r="O40" s="272" t="s">
        <v>364</v>
      </c>
      <c r="P40" s="272"/>
      <c r="Q40" s="272"/>
      <c r="R40" s="272"/>
      <c r="S40" s="256"/>
      <c r="T40" s="256"/>
    </row>
    <row r="41" spans="1:20" s="2" customFormat="1" ht="15.75" customHeight="1" x14ac:dyDescent="0.3">
      <c r="A41" s="438"/>
      <c r="B41" s="438"/>
      <c r="C41" s="438"/>
      <c r="D41" s="438"/>
      <c r="E41" s="438"/>
      <c r="F41" s="438"/>
      <c r="H41" s="438" t="str">
        <f>CONCATENATE("р/с ",VLOOKUP(Контрагенты!A1,Контрагенты!A4:M2502,5))</f>
        <v>р/с BY10BLBB30120190634264001001</v>
      </c>
      <c r="I41" s="438"/>
      <c r="J41" s="438"/>
      <c r="K41" s="438"/>
      <c r="L41" s="438"/>
      <c r="M41" s="438"/>
      <c r="N41" s="438"/>
      <c r="O41" s="272"/>
      <c r="P41" s="272"/>
      <c r="Q41" s="272"/>
      <c r="R41" s="272"/>
      <c r="S41" s="256"/>
      <c r="T41" s="256"/>
    </row>
    <row r="42" spans="1:20" s="2" customFormat="1" ht="15.75" customHeight="1" x14ac:dyDescent="0.3">
      <c r="A42" s="433" t="str">
        <f>CONCATENATE("УНП ",Контрагенты!C1)</f>
        <v>УНП 190471274</v>
      </c>
      <c r="B42" s="433"/>
      <c r="C42" s="433"/>
      <c r="D42" s="433"/>
      <c r="E42" s="433"/>
      <c r="F42" s="433"/>
      <c r="H42" s="438" t="str">
        <f>IF((VLOOKUP(Контрагенты!A1,Контрагенты!A4:M2505,6))&gt;"",VLOOKUP(Контрагенты!A1,Контрагенты!A4:M2505,6),"")</f>
        <v>отд.№526 ОАО "Белинвестбанк" г. Минск</v>
      </c>
      <c r="I42" s="438"/>
      <c r="J42" s="438"/>
      <c r="K42" s="438"/>
      <c r="L42" s="438"/>
      <c r="M42" s="438"/>
      <c r="N42" s="438"/>
      <c r="O42" s="272"/>
      <c r="P42" s="272"/>
      <c r="Q42" s="272"/>
      <c r="R42" s="272"/>
      <c r="S42" s="256"/>
      <c r="T42" s="256"/>
    </row>
    <row r="43" spans="1:20" s="2" customFormat="1" ht="15.6" x14ac:dyDescent="0.3">
      <c r="A43" s="433" t="str">
        <f>CONCATENATE("ОКПО ",Контрагенты!D1)</f>
        <v>ОКПО 37623374</v>
      </c>
      <c r="B43" s="433"/>
      <c r="C43" s="433"/>
      <c r="D43" s="433"/>
      <c r="E43" s="433"/>
      <c r="F43" s="433"/>
      <c r="H43" s="438"/>
      <c r="I43" s="438"/>
      <c r="J43" s="438"/>
      <c r="K43" s="438"/>
      <c r="L43" s="438"/>
      <c r="M43" s="438"/>
      <c r="N43" s="438"/>
      <c r="O43" s="272"/>
      <c r="P43" s="272"/>
      <c r="Q43" s="272"/>
      <c r="R43" s="272"/>
      <c r="S43" s="256"/>
      <c r="T43" s="256"/>
    </row>
    <row r="44" spans="1:20" s="2" customFormat="1" ht="15.6" x14ac:dyDescent="0.3">
      <c r="A44" s="433" t="s">
        <v>2313</v>
      </c>
      <c r="B44" s="433"/>
      <c r="C44" s="433"/>
      <c r="D44" s="433"/>
      <c r="E44" s="433"/>
      <c r="F44" s="433"/>
      <c r="H44" s="4" t="s">
        <v>415</v>
      </c>
      <c r="I44" s="433">
        <f>IF((VLOOKUP(Контрагенты!A1,Контрагенты!A4:M2502,3))&lt;"0",VLOOKUP(Контрагенты!A1,Контрагенты!A4:M2502,3),"")</f>
        <v>190634264</v>
      </c>
      <c r="J44" s="433"/>
      <c r="K44" s="4" t="s">
        <v>922</v>
      </c>
      <c r="L44" s="4" t="s">
        <v>3530</v>
      </c>
      <c r="M44" s="436" t="str">
        <f>IF((VLOOKUP(Контрагенты!A1,Контрагенты!A4:M2502,4))&gt;"0",VLOOKUP(Контрагенты!A1,Контрагенты!A4:M2502,4),"")</f>
        <v>37669821</v>
      </c>
      <c r="N44" s="436"/>
      <c r="O44" s="272"/>
      <c r="P44" s="272"/>
      <c r="Q44" s="272"/>
      <c r="R44" s="272"/>
      <c r="S44" s="256"/>
      <c r="T44" s="256"/>
    </row>
    <row r="45" spans="1:20" s="2" customFormat="1" ht="15.75" customHeight="1" x14ac:dyDescent="0.3">
      <c r="A45" s="433" t="s">
        <v>2314</v>
      </c>
      <c r="B45" s="433"/>
      <c r="C45" s="433"/>
      <c r="D45" s="433"/>
      <c r="E45" s="433"/>
      <c r="F45" s="433"/>
      <c r="H45" s="435" t="str">
        <f>IF((VLOOKUP(Контрагенты!A1,Контрагенты!A4:M2502,12))&gt;"",VLOOKUP(Контрагенты!A1,Контрагенты!A4:M2502,12),"")</f>
        <v>268 56 97т\ф</v>
      </c>
      <c r="I45" s="435"/>
      <c r="J45" s="435"/>
      <c r="K45" s="435"/>
      <c r="L45" s="435"/>
      <c r="M45" s="435"/>
      <c r="N45" s="435"/>
      <c r="O45" s="272"/>
      <c r="P45" s="272"/>
      <c r="Q45" s="272"/>
      <c r="R45" s="272"/>
      <c r="S45" s="256"/>
      <c r="T45" s="256"/>
    </row>
    <row r="46" spans="1:20" s="2" customFormat="1" ht="15.6" x14ac:dyDescent="0.3">
      <c r="A46" s="433"/>
      <c r="B46" s="433"/>
      <c r="C46" s="433"/>
      <c r="D46" s="433"/>
      <c r="E46" s="433"/>
      <c r="F46" s="433"/>
      <c r="H46" s="435"/>
      <c r="I46" s="435"/>
      <c r="J46" s="435"/>
      <c r="K46" s="435"/>
      <c r="L46" s="435"/>
      <c r="M46" s="435"/>
      <c r="N46" s="435"/>
      <c r="O46" s="272"/>
      <c r="P46" s="272"/>
      <c r="Q46" s="272"/>
      <c r="R46" s="272"/>
      <c r="S46" s="256"/>
      <c r="T46" s="256"/>
    </row>
    <row r="47" spans="1:20" s="2" customFormat="1" ht="15.6" x14ac:dyDescent="0.3">
      <c r="A47" s="436" t="s">
        <v>3532</v>
      </c>
      <c r="B47" s="436"/>
      <c r="C47" s="436"/>
      <c r="D47" s="436"/>
      <c r="E47" s="436"/>
      <c r="F47" s="436"/>
      <c r="H47" s="433" t="str">
        <f>VLOOKUP(Контрагенты!A1,Контрагенты!A4:M2502,8)</f>
        <v>Директор</v>
      </c>
      <c r="I47" s="433"/>
      <c r="J47" s="433"/>
      <c r="K47" s="433"/>
      <c r="L47" s="433"/>
      <c r="M47" s="433"/>
      <c r="N47" s="433"/>
      <c r="O47" s="272"/>
      <c r="P47" s="272"/>
      <c r="Q47" s="272"/>
      <c r="R47" s="272"/>
      <c r="S47" s="256"/>
      <c r="T47" s="256"/>
    </row>
    <row r="48" spans="1:20" s="2" customFormat="1" ht="29.25" customHeight="1" x14ac:dyDescent="0.3">
      <c r="A48" s="436" t="s">
        <v>2953</v>
      </c>
      <c r="B48" s="436"/>
      <c r="C48" s="436"/>
      <c r="D48" s="436" t="s">
        <v>4219</v>
      </c>
      <c r="E48" s="436"/>
      <c r="F48" s="436"/>
      <c r="G48" s="4"/>
      <c r="H48" s="436" t="s">
        <v>2953</v>
      </c>
      <c r="I48" s="436"/>
      <c r="J48" s="436"/>
      <c r="K48" s="437" t="str">
        <f>VLOOKUP(Контрагенты!A1,Контрагенты!A4:M2502,10)</f>
        <v>Д.Н. Борушко</v>
      </c>
      <c r="L48" s="437"/>
      <c r="M48" s="437"/>
      <c r="N48" s="437"/>
      <c r="O48" s="272"/>
      <c r="P48" s="272"/>
      <c r="Q48" s="272"/>
      <c r="R48" s="272"/>
      <c r="S48" s="256"/>
      <c r="T48" s="256"/>
    </row>
    <row r="49" spans="15:20" s="256" customFormat="1" ht="9.75" customHeight="1" x14ac:dyDescent="0.3">
      <c r="O49" s="272"/>
      <c r="P49" s="272"/>
      <c r="Q49" s="272"/>
      <c r="R49" s="272"/>
    </row>
    <row r="50" spans="15:20" s="2" customFormat="1" ht="15.6" hidden="1" x14ac:dyDescent="0.3">
      <c r="O50" s="272"/>
      <c r="P50" s="272"/>
      <c r="Q50" s="272"/>
      <c r="R50" s="272"/>
      <c r="S50" s="256"/>
      <c r="T50" s="256"/>
    </row>
    <row r="51" spans="15:20" s="2" customFormat="1" ht="15.6" hidden="1" x14ac:dyDescent="0.3">
      <c r="O51" s="272"/>
      <c r="P51" s="272"/>
      <c r="Q51" s="272"/>
      <c r="R51" s="272"/>
      <c r="S51" s="256"/>
      <c r="T51" s="256"/>
    </row>
    <row r="52" spans="15:20" s="2" customFormat="1" ht="15.6" hidden="1" x14ac:dyDescent="0.3">
      <c r="O52" s="272"/>
      <c r="P52" s="272"/>
      <c r="Q52" s="272"/>
      <c r="R52" s="272"/>
      <c r="S52" s="256"/>
      <c r="T52" s="256"/>
    </row>
    <row r="53" spans="15:20" s="2" customFormat="1" ht="15.6" hidden="1" x14ac:dyDescent="0.3">
      <c r="O53" s="272"/>
      <c r="P53" s="272"/>
      <c r="Q53" s="272"/>
      <c r="R53" s="272"/>
      <c r="S53" s="256"/>
      <c r="T53" s="256"/>
    </row>
    <row r="54" spans="15:20" s="2" customFormat="1" ht="15.6" hidden="1" x14ac:dyDescent="0.3">
      <c r="O54" s="272"/>
      <c r="P54" s="272"/>
      <c r="Q54" s="272"/>
      <c r="R54" s="272"/>
      <c r="S54" s="256"/>
      <c r="T54" s="256"/>
    </row>
    <row r="55" spans="15:20" s="2" customFormat="1" ht="15.6" hidden="1" x14ac:dyDescent="0.3">
      <c r="O55" s="272"/>
      <c r="P55" s="272"/>
      <c r="Q55" s="272"/>
      <c r="R55" s="272"/>
      <c r="S55" s="256"/>
      <c r="T55" s="256"/>
    </row>
    <row r="56" spans="15:20" s="2" customFormat="1" ht="15.6" hidden="1" x14ac:dyDescent="0.3">
      <c r="O56" s="272"/>
      <c r="P56" s="272"/>
      <c r="Q56" s="272"/>
      <c r="R56" s="272"/>
      <c r="S56" s="256"/>
      <c r="T56" s="256"/>
    </row>
    <row r="57" spans="15:20" x14ac:dyDescent="0.25"/>
    <row r="58" spans="15:20" x14ac:dyDescent="0.25"/>
    <row r="59" spans="15:20" x14ac:dyDescent="0.25"/>
  </sheetData>
  <customSheetViews>
    <customSheetView guid="{6F966CD8-707E-4C39-BF19-FBF54F1918BD}" showPageBreaks="1" printArea="1" hiddenRows="1" hiddenColumns="1" showRuler="0">
      <selection activeCell="H2" sqref="H2"/>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1"/>
      <headerFooter alignWithMargins="0"/>
    </customSheetView>
    <customSheetView guid="{E0E17C6E-C811-4170-82D5-EDD54F6164FB}" hiddenRows="1" hiddenColumns="1" showRuler="0">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2"/>
      <headerFooter alignWithMargins="0"/>
    </customSheetView>
    <customSheetView guid="{21C840CC-AE35-4950-B5BD-32A7DE9BAC52}" showPageBreaks="1" printArea="1" hiddenRows="1" hiddenColumns="1" showRuler="0" topLeftCell="A22">
      <selection activeCell="J6" sqref="J6"/>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3"/>
      <headerFooter alignWithMargins="0"/>
    </customSheetView>
    <customSheetView guid="{17CF6293-B179-4C29-9312-7FBDD485BBFD}" showPageBreaks="1" printArea="1" hiddenRows="1" hiddenColumns="1" showRuler="0" topLeftCell="A21">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4"/>
      <headerFooter alignWithMargins="0"/>
    </customSheetView>
    <customSheetView guid="{B6FD7490-794E-482C-8B29-FB2AB6EB258C}" showPageBreaks="1" printArea="1" hiddenRows="1" hiddenColumns="1" showRuler="0">
      <selection activeCell="A3" sqref="A3:N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5"/>
      <headerFooter alignWithMargins="0"/>
    </customSheetView>
  </customSheetViews>
  <mergeCells count="44">
    <mergeCell ref="A42:F42"/>
    <mergeCell ref="A16:N16"/>
    <mergeCell ref="H38:N40"/>
    <mergeCell ref="A40:F41"/>
    <mergeCell ref="A34:N34"/>
    <mergeCell ref="A17:N17"/>
    <mergeCell ref="A36:F36"/>
    <mergeCell ref="A21:N21"/>
    <mergeCell ref="A38:F38"/>
    <mergeCell ref="A39:F39"/>
    <mergeCell ref="A22:N22"/>
    <mergeCell ref="A28:N28"/>
    <mergeCell ref="A37:F37"/>
    <mergeCell ref="A23:N23"/>
    <mergeCell ref="A24:N24"/>
    <mergeCell ref="A25:N25"/>
    <mergeCell ref="A26:N26"/>
    <mergeCell ref="A29:N29"/>
    <mergeCell ref="H36:N36"/>
    <mergeCell ref="H37:N37"/>
    <mergeCell ref="E2:F2"/>
    <mergeCell ref="A3:N3"/>
    <mergeCell ref="A4:N4"/>
    <mergeCell ref="K6:N6"/>
    <mergeCell ref="A20:N20"/>
    <mergeCell ref="A19:N19"/>
    <mergeCell ref="A13:N13"/>
    <mergeCell ref="A14:N14"/>
    <mergeCell ref="H47:N47"/>
    <mergeCell ref="A7:N7"/>
    <mergeCell ref="H45:N46"/>
    <mergeCell ref="A48:C48"/>
    <mergeCell ref="D48:F48"/>
    <mergeCell ref="H48:J48"/>
    <mergeCell ref="K48:N48"/>
    <mergeCell ref="H41:N41"/>
    <mergeCell ref="H42:N43"/>
    <mergeCell ref="A47:F47"/>
    <mergeCell ref="A46:F46"/>
    <mergeCell ref="A43:F43"/>
    <mergeCell ref="I44:J44"/>
    <mergeCell ref="M44:N44"/>
    <mergeCell ref="A45:F45"/>
    <mergeCell ref="A44:F44"/>
  </mergeCells>
  <phoneticPr fontId="8" type="noConversion"/>
  <pageMargins left="1.02" right="0.4" top="0.41" bottom="0.39370078740157483" header="0.7" footer="0.51181102362204722"/>
  <pageSetup paperSize="9" scale="82" fitToHeight="2" orientation="portrait" blackAndWhite="1" r:id="rId6"/>
  <headerFooter alignWithMargins="0"/>
  <rowBreaks count="1" manualBreakCount="1">
    <brk id="21" max="13" man="1"/>
  </rowBreaks>
  <drawing r:id="rId7"/>
  <legacyDrawing r:id="rId8"/>
  <controls>
    <mc:AlternateContent xmlns:mc="http://schemas.openxmlformats.org/markup-compatibility/2006">
      <mc:Choice Requires="x14">
        <control shapeId="1026" r:id="rId9" name="CommandButton1">
          <controlPr locked="0" defaultSize="0" autoLine="0" r:id="rId10">
            <anchor moveWithCells="1">
              <from>
                <xdr:col>14</xdr:col>
                <xdr:colOff>167640</xdr:colOff>
                <xdr:row>1</xdr:row>
                <xdr:rowOff>7620</xdr:rowOff>
              </from>
              <to>
                <xdr:col>255</xdr:col>
                <xdr:colOff>167640</xdr:colOff>
                <xdr:row>3</xdr:row>
                <xdr:rowOff>45720</xdr:rowOff>
              </to>
            </anchor>
          </controlPr>
        </control>
      </mc:Choice>
      <mc:Fallback>
        <control shapeId="1026" r:id="rId9" name="CommandButton1"/>
      </mc:Fallback>
    </mc:AlternateContent>
    <mc:AlternateContent xmlns:mc="http://schemas.openxmlformats.org/markup-compatibility/2006">
      <mc:Choice Requires="x14">
        <control shapeId="1028" r:id="rId11" name="CommandButton2">
          <controlPr locked="0" defaultSize="0" autoLine="0" r:id="rId12">
            <anchor moveWithCells="1">
              <from>
                <xdr:col>14</xdr:col>
                <xdr:colOff>114300</xdr:colOff>
                <xdr:row>5</xdr:row>
                <xdr:rowOff>53340</xdr:rowOff>
              </from>
              <to>
                <xdr:col>17</xdr:col>
                <xdr:colOff>259080</xdr:colOff>
                <xdr:row>6</xdr:row>
                <xdr:rowOff>518160</xdr:rowOff>
              </to>
            </anchor>
          </controlPr>
        </control>
      </mc:Choice>
      <mc:Fallback>
        <control shapeId="1028" r:id="rId11"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43"/>
  </sheetPr>
  <dimension ref="A1:L1149"/>
  <sheetViews>
    <sheetView tabSelected="1" zoomScale="98" zoomScaleNormal="98" workbookViewId="0">
      <pane ySplit="1" topLeftCell="A2" activePane="bottomLeft" state="frozenSplit"/>
      <selection pane="bottomLeft" activeCell="G11" sqref="G11"/>
    </sheetView>
  </sheetViews>
  <sheetFormatPr defaultColWidth="9.109375" defaultRowHeight="13.2" x14ac:dyDescent="0.25"/>
  <cols>
    <col min="1" max="1" width="6.33203125" style="421" customWidth="1"/>
    <col min="2" max="2" width="6.88671875" style="278" bestFit="1" customWidth="1"/>
    <col min="3" max="3" width="11.109375" style="258" customWidth="1"/>
    <col min="4" max="4" width="16.33203125" style="253" bestFit="1" customWidth="1"/>
    <col min="5" max="5" width="35.88671875" style="252" customWidth="1"/>
    <col min="6" max="6" width="45" style="254" customWidth="1"/>
    <col min="7" max="7" width="12.6640625" style="252" customWidth="1"/>
    <col min="8" max="8" width="12" style="258" customWidth="1"/>
    <col min="9" max="9" width="27.109375" style="252" customWidth="1"/>
    <col min="10" max="10" width="14.33203125" style="252" bestFit="1" customWidth="1"/>
    <col min="11" max="16384" width="9.109375" style="80"/>
  </cols>
  <sheetData>
    <row r="1" spans="1:10" ht="27.6" x14ac:dyDescent="0.25">
      <c r="A1" s="418">
        <v>413</v>
      </c>
      <c r="B1" s="419" t="s">
        <v>2454</v>
      </c>
      <c r="C1" s="419" t="s">
        <v>986</v>
      </c>
      <c r="D1" s="420" t="s">
        <v>701</v>
      </c>
      <c r="E1" s="419" t="s">
        <v>484</v>
      </c>
      <c r="F1" s="419" t="s">
        <v>20</v>
      </c>
      <c r="G1" s="419" t="s">
        <v>66</v>
      </c>
      <c r="H1" s="419" t="s">
        <v>3530</v>
      </c>
      <c r="I1" s="419" t="s">
        <v>464</v>
      </c>
      <c r="J1" s="419" t="s">
        <v>702</v>
      </c>
    </row>
    <row r="2" spans="1:10" x14ac:dyDescent="0.25">
      <c r="A2" s="356">
        <v>1</v>
      </c>
      <c r="B2" s="275">
        <v>1</v>
      </c>
      <c r="C2" s="275" t="s">
        <v>159</v>
      </c>
      <c r="D2" s="276">
        <v>42738</v>
      </c>
      <c r="E2" s="274" t="s">
        <v>2897</v>
      </c>
      <c r="F2" s="274" t="s">
        <v>2899</v>
      </c>
      <c r="G2" s="273">
        <v>100154581</v>
      </c>
      <c r="H2" s="258" t="s">
        <v>967</v>
      </c>
      <c r="I2" s="252" t="s">
        <v>2900</v>
      </c>
    </row>
    <row r="3" spans="1:10" x14ac:dyDescent="0.25">
      <c r="A3" s="421">
        <v>2</v>
      </c>
      <c r="B3" s="278">
        <v>2</v>
      </c>
      <c r="C3" s="258" t="s">
        <v>54</v>
      </c>
      <c r="D3" s="253">
        <v>42738</v>
      </c>
      <c r="E3" s="252" t="s">
        <v>2801</v>
      </c>
      <c r="F3" s="254" t="s">
        <v>2907</v>
      </c>
      <c r="G3" s="252">
        <v>190334745</v>
      </c>
      <c r="H3" s="258" t="s">
        <v>2904</v>
      </c>
      <c r="I3" s="252" t="s">
        <v>2908</v>
      </c>
    </row>
    <row r="4" spans="1:10" ht="26.4" x14ac:dyDescent="0.25">
      <c r="A4" s="421">
        <v>3</v>
      </c>
      <c r="B4" s="278">
        <v>3</v>
      </c>
      <c r="C4" s="275" t="s">
        <v>2714</v>
      </c>
      <c r="D4" s="276">
        <v>42738</v>
      </c>
      <c r="E4" s="274" t="s">
        <v>2717</v>
      </c>
      <c r="F4" s="274" t="s">
        <v>2911</v>
      </c>
      <c r="G4" s="273">
        <v>101538513</v>
      </c>
      <c r="H4" s="258" t="s">
        <v>2910</v>
      </c>
      <c r="I4" s="252" t="s">
        <v>2912</v>
      </c>
    </row>
    <row r="5" spans="1:10" ht="26.4" x14ac:dyDescent="0.25">
      <c r="A5" s="421">
        <v>4</v>
      </c>
      <c r="B5" s="278">
        <v>4</v>
      </c>
      <c r="C5" s="275" t="s">
        <v>3133</v>
      </c>
      <c r="D5" s="276">
        <v>42738</v>
      </c>
      <c r="E5" s="274" t="s">
        <v>1948</v>
      </c>
      <c r="F5" s="274" t="s">
        <v>2915</v>
      </c>
      <c r="G5" s="273">
        <v>808000755</v>
      </c>
      <c r="H5" s="258" t="s">
        <v>2913</v>
      </c>
      <c r="I5" s="252" t="s">
        <v>2916</v>
      </c>
    </row>
    <row r="6" spans="1:10" ht="52.8" x14ac:dyDescent="0.25">
      <c r="A6" s="421">
        <v>5</v>
      </c>
      <c r="B6" s="278">
        <v>5</v>
      </c>
      <c r="C6" s="275" t="s">
        <v>2924</v>
      </c>
      <c r="D6" s="276">
        <v>42738</v>
      </c>
      <c r="E6" s="274" t="s">
        <v>2918</v>
      </c>
      <c r="F6" s="274" t="s">
        <v>2921</v>
      </c>
      <c r="G6" s="273">
        <v>600433299</v>
      </c>
      <c r="H6" s="258" t="s">
        <v>2919</v>
      </c>
      <c r="I6" s="252" t="s">
        <v>2922</v>
      </c>
    </row>
    <row r="7" spans="1:10" ht="26.4" x14ac:dyDescent="0.25">
      <c r="A7" s="421">
        <v>6</v>
      </c>
      <c r="B7" s="278">
        <v>6</v>
      </c>
      <c r="C7" s="275" t="s">
        <v>3312</v>
      </c>
      <c r="D7" s="276">
        <v>42738</v>
      </c>
      <c r="E7" s="274" t="s">
        <v>2925</v>
      </c>
      <c r="F7" s="274" t="s">
        <v>2928</v>
      </c>
      <c r="G7" s="273">
        <v>100098867</v>
      </c>
      <c r="H7" s="258" t="s">
        <v>2926</v>
      </c>
      <c r="I7" s="252" t="s">
        <v>2929</v>
      </c>
    </row>
    <row r="8" spans="1:10" ht="26.4" x14ac:dyDescent="0.25">
      <c r="A8" s="421">
        <v>7</v>
      </c>
      <c r="B8" s="278">
        <v>7</v>
      </c>
      <c r="C8" s="275" t="s">
        <v>694</v>
      </c>
      <c r="D8" s="276">
        <v>42738</v>
      </c>
      <c r="E8" s="274" t="s">
        <v>18</v>
      </c>
      <c r="F8" s="274" t="s">
        <v>2933</v>
      </c>
      <c r="G8" s="273">
        <v>100251590</v>
      </c>
      <c r="H8" s="258" t="s">
        <v>2931</v>
      </c>
      <c r="I8" s="252" t="s">
        <v>2934</v>
      </c>
    </row>
    <row r="9" spans="1:10" x14ac:dyDescent="0.25">
      <c r="A9" s="421">
        <v>8</v>
      </c>
      <c r="B9" s="278">
        <v>8</v>
      </c>
      <c r="C9" s="275" t="s">
        <v>2847</v>
      </c>
      <c r="D9" s="276">
        <v>42738</v>
      </c>
      <c r="E9" s="274" t="s">
        <v>2936</v>
      </c>
      <c r="F9" s="274" t="s">
        <v>2940</v>
      </c>
      <c r="G9" s="273">
        <v>100803160</v>
      </c>
      <c r="H9" s="258" t="s">
        <v>2937</v>
      </c>
      <c r="I9" s="252" t="s">
        <v>2941</v>
      </c>
    </row>
    <row r="10" spans="1:10" x14ac:dyDescent="0.25">
      <c r="A10" s="421">
        <v>9</v>
      </c>
      <c r="B10" s="278">
        <v>9</v>
      </c>
      <c r="C10" s="275" t="s">
        <v>1049</v>
      </c>
      <c r="D10" s="276">
        <v>42738</v>
      </c>
      <c r="E10" s="274" t="s">
        <v>2132</v>
      </c>
      <c r="F10" s="274" t="s">
        <v>2944</v>
      </c>
      <c r="G10" s="273">
        <v>100429070</v>
      </c>
      <c r="H10" s="258" t="s">
        <v>967</v>
      </c>
      <c r="I10" s="252" t="s">
        <v>2945</v>
      </c>
    </row>
    <row r="11" spans="1:10" x14ac:dyDescent="0.25">
      <c r="A11" s="421">
        <v>10</v>
      </c>
      <c r="B11" s="278">
        <v>10</v>
      </c>
      <c r="C11" s="275" t="s">
        <v>897</v>
      </c>
      <c r="D11" s="276">
        <v>42738</v>
      </c>
      <c r="E11" s="408" t="s">
        <v>493</v>
      </c>
      <c r="F11" s="274" t="s">
        <v>2947</v>
      </c>
      <c r="G11" s="408">
        <v>191727606</v>
      </c>
      <c r="H11" s="258" t="s">
        <v>967</v>
      </c>
      <c r="I11" s="252" t="s">
        <v>2948</v>
      </c>
    </row>
    <row r="12" spans="1:10" x14ac:dyDescent="0.25">
      <c r="A12" s="421">
        <v>11</v>
      </c>
      <c r="B12" s="278">
        <v>11</v>
      </c>
      <c r="C12" s="275" t="s">
        <v>725</v>
      </c>
      <c r="D12" s="276">
        <v>42739</v>
      </c>
      <c r="E12" s="274" t="s">
        <v>877</v>
      </c>
      <c r="F12" s="274" t="s">
        <v>2042</v>
      </c>
      <c r="G12" s="273">
        <v>100064641</v>
      </c>
      <c r="H12" s="258" t="s">
        <v>2040</v>
      </c>
      <c r="I12" s="252" t="s">
        <v>2043</v>
      </c>
    </row>
    <row r="13" spans="1:10" x14ac:dyDescent="0.25">
      <c r="A13" s="421">
        <v>12</v>
      </c>
      <c r="B13" s="278">
        <v>12</v>
      </c>
      <c r="C13" s="275" t="s">
        <v>2049</v>
      </c>
      <c r="D13" s="276">
        <v>42739</v>
      </c>
      <c r="E13" s="274" t="s">
        <v>3598</v>
      </c>
      <c r="F13" s="274" t="s">
        <v>2047</v>
      </c>
      <c r="G13" s="273">
        <v>190221603</v>
      </c>
      <c r="H13" s="258" t="s">
        <v>2045</v>
      </c>
      <c r="I13" s="252" t="s">
        <v>1162</v>
      </c>
    </row>
    <row r="14" spans="1:10" x14ac:dyDescent="0.25">
      <c r="A14" s="421">
        <v>13</v>
      </c>
      <c r="B14" s="278">
        <v>13</v>
      </c>
      <c r="C14" s="275" t="s">
        <v>3563</v>
      </c>
      <c r="D14" s="276">
        <v>42739</v>
      </c>
      <c r="E14" s="274" t="s">
        <v>927</v>
      </c>
      <c r="F14" s="274" t="s">
        <v>2053</v>
      </c>
      <c r="G14" s="273">
        <v>190454318</v>
      </c>
      <c r="H14" s="258" t="s">
        <v>2050</v>
      </c>
      <c r="I14" s="252" t="s">
        <v>2054</v>
      </c>
    </row>
    <row r="15" spans="1:10" ht="26.4" x14ac:dyDescent="0.25">
      <c r="A15" s="421">
        <v>14</v>
      </c>
      <c r="B15" s="278">
        <v>14</v>
      </c>
      <c r="C15" s="275" t="s">
        <v>2165</v>
      </c>
      <c r="D15" s="276">
        <v>42739</v>
      </c>
      <c r="E15" s="274" t="s">
        <v>2161</v>
      </c>
      <c r="F15" s="274" t="s">
        <v>2058</v>
      </c>
      <c r="G15" s="273">
        <v>190775753</v>
      </c>
      <c r="H15" s="258" t="s">
        <v>2056</v>
      </c>
      <c r="I15" s="252" t="s">
        <v>2059</v>
      </c>
    </row>
    <row r="16" spans="1:10" ht="26.4" x14ac:dyDescent="0.25">
      <c r="A16" s="421">
        <v>15</v>
      </c>
      <c r="B16" s="278">
        <v>15</v>
      </c>
      <c r="C16" s="275" t="s">
        <v>2166</v>
      </c>
      <c r="D16" s="276">
        <v>42739</v>
      </c>
      <c r="E16" s="274" t="s">
        <v>1000</v>
      </c>
      <c r="F16" s="274" t="s">
        <v>2318</v>
      </c>
      <c r="G16" s="273">
        <v>808000410</v>
      </c>
      <c r="H16" s="258" t="s">
        <v>2316</v>
      </c>
      <c r="I16" s="252" t="s">
        <v>2319</v>
      </c>
    </row>
    <row r="17" spans="1:9" x14ac:dyDescent="0.25">
      <c r="A17" s="421">
        <v>16</v>
      </c>
      <c r="B17" s="278">
        <v>16</v>
      </c>
      <c r="C17" s="275" t="s">
        <v>913</v>
      </c>
      <c r="D17" s="276">
        <v>42739</v>
      </c>
      <c r="E17" s="274" t="s">
        <v>2321</v>
      </c>
      <c r="F17" s="274" t="s">
        <v>2324</v>
      </c>
      <c r="G17" s="273">
        <v>190849123</v>
      </c>
      <c r="H17" s="258" t="s">
        <v>2322</v>
      </c>
      <c r="I17" s="252" t="s">
        <v>2325</v>
      </c>
    </row>
    <row r="18" spans="1:9" ht="26.4" x14ac:dyDescent="0.25">
      <c r="A18" s="421">
        <v>17</v>
      </c>
      <c r="B18" s="278">
        <v>17</v>
      </c>
      <c r="C18" s="275" t="s">
        <v>67</v>
      </c>
      <c r="D18" s="276">
        <v>42739</v>
      </c>
      <c r="E18" s="274" t="s">
        <v>1118</v>
      </c>
      <c r="F18" s="274" t="s">
        <v>616</v>
      </c>
      <c r="G18" s="273">
        <v>691601521</v>
      </c>
      <c r="H18" s="258" t="s">
        <v>2326</v>
      </c>
      <c r="I18" s="252" t="s">
        <v>2329</v>
      </c>
    </row>
    <row r="19" spans="1:9" x14ac:dyDescent="0.25">
      <c r="A19" s="421">
        <v>18</v>
      </c>
      <c r="B19" s="278">
        <v>18</v>
      </c>
      <c r="C19" s="275" t="s">
        <v>2377</v>
      </c>
      <c r="D19" s="276">
        <v>42739</v>
      </c>
      <c r="E19" s="274" t="s">
        <v>41</v>
      </c>
      <c r="F19" s="274" t="s">
        <v>2332</v>
      </c>
      <c r="G19" s="273">
        <v>101143325</v>
      </c>
      <c r="H19" s="258" t="s">
        <v>967</v>
      </c>
      <c r="I19" s="252" t="s">
        <v>2333</v>
      </c>
    </row>
    <row r="20" spans="1:9" ht="26.4" x14ac:dyDescent="0.25">
      <c r="A20" s="421">
        <v>19</v>
      </c>
      <c r="B20" s="278">
        <v>19</v>
      </c>
      <c r="C20" s="275" t="s">
        <v>1658</v>
      </c>
      <c r="D20" s="276">
        <v>42739</v>
      </c>
      <c r="E20" s="274" t="s">
        <v>2094</v>
      </c>
      <c r="F20" s="274" t="s">
        <v>2336</v>
      </c>
      <c r="G20" s="273">
        <v>691406576</v>
      </c>
      <c r="H20" s="258" t="s">
        <v>967</v>
      </c>
      <c r="I20" s="252" t="s">
        <v>2337</v>
      </c>
    </row>
    <row r="21" spans="1:9" x14ac:dyDescent="0.25">
      <c r="A21" s="421">
        <v>20</v>
      </c>
      <c r="B21" s="278">
        <v>20</v>
      </c>
      <c r="C21" s="258" t="s">
        <v>2741</v>
      </c>
      <c r="D21" s="279">
        <v>42739</v>
      </c>
      <c r="E21" s="252" t="s">
        <v>141</v>
      </c>
      <c r="F21" s="254" t="s">
        <v>2342</v>
      </c>
      <c r="G21" s="252">
        <v>600049547</v>
      </c>
      <c r="H21" s="258" t="s">
        <v>2339</v>
      </c>
      <c r="I21" s="252" t="s">
        <v>2343</v>
      </c>
    </row>
    <row r="22" spans="1:9" ht="26.4" x14ac:dyDescent="0.25">
      <c r="A22" s="421">
        <v>21</v>
      </c>
      <c r="B22" s="278">
        <v>21</v>
      </c>
      <c r="C22" s="258" t="s">
        <v>1120</v>
      </c>
      <c r="D22" s="279">
        <v>42739</v>
      </c>
      <c r="E22" s="252" t="s">
        <v>3259</v>
      </c>
      <c r="F22" s="254" t="s">
        <v>2347</v>
      </c>
      <c r="G22" s="252">
        <v>190904186</v>
      </c>
      <c r="H22" s="258" t="s">
        <v>2345</v>
      </c>
      <c r="I22" s="252" t="s">
        <v>2348</v>
      </c>
    </row>
    <row r="23" spans="1:9" ht="26.4" x14ac:dyDescent="0.25">
      <c r="A23" s="421">
        <v>22</v>
      </c>
      <c r="B23" s="278">
        <v>22</v>
      </c>
      <c r="C23" s="258" t="s">
        <v>2650</v>
      </c>
      <c r="D23" s="279">
        <v>42740</v>
      </c>
      <c r="E23" s="252" t="s">
        <v>3321</v>
      </c>
      <c r="F23" s="254" t="s">
        <v>3333</v>
      </c>
      <c r="G23" s="252">
        <v>490492602</v>
      </c>
      <c r="H23" s="258" t="s">
        <v>3331</v>
      </c>
      <c r="I23" s="252" t="s">
        <v>3484</v>
      </c>
    </row>
    <row r="24" spans="1:9" x14ac:dyDescent="0.25">
      <c r="A24" s="421">
        <v>23</v>
      </c>
      <c r="B24" s="278">
        <v>23</v>
      </c>
      <c r="C24" s="258" t="s">
        <v>2036</v>
      </c>
      <c r="D24" s="279">
        <v>42740</v>
      </c>
      <c r="E24" s="252" t="s">
        <v>2034</v>
      </c>
      <c r="F24" s="254" t="s">
        <v>3489</v>
      </c>
      <c r="G24" s="252">
        <v>101477759</v>
      </c>
      <c r="H24" s="258" t="s">
        <v>3486</v>
      </c>
      <c r="I24" s="252" t="s">
        <v>3490</v>
      </c>
    </row>
    <row r="25" spans="1:9" x14ac:dyDescent="0.25">
      <c r="A25" s="421">
        <v>24</v>
      </c>
      <c r="B25" s="278">
        <v>24</v>
      </c>
      <c r="C25" s="258" t="s">
        <v>1117</v>
      </c>
      <c r="D25" s="279">
        <v>42740</v>
      </c>
      <c r="E25" s="252" t="s">
        <v>1796</v>
      </c>
      <c r="F25" s="254" t="s">
        <v>3871</v>
      </c>
      <c r="G25" s="252">
        <v>100872922</v>
      </c>
      <c r="H25" s="258" t="s">
        <v>967</v>
      </c>
      <c r="I25" s="252" t="s">
        <v>3872</v>
      </c>
    </row>
    <row r="26" spans="1:9" x14ac:dyDescent="0.25">
      <c r="A26" s="421">
        <v>25</v>
      </c>
      <c r="B26" s="278">
        <v>25</v>
      </c>
      <c r="C26" s="258" t="s">
        <v>1829</v>
      </c>
      <c r="D26" s="279">
        <v>42740</v>
      </c>
      <c r="E26" s="252" t="s">
        <v>3873</v>
      </c>
      <c r="F26" s="254" t="s">
        <v>3875</v>
      </c>
      <c r="G26" s="252">
        <v>100025811</v>
      </c>
      <c r="H26" s="258" t="s">
        <v>967</v>
      </c>
      <c r="I26" s="252" t="s">
        <v>1580</v>
      </c>
    </row>
    <row r="27" spans="1:9" ht="26.4" x14ac:dyDescent="0.25">
      <c r="A27" s="421">
        <v>26</v>
      </c>
      <c r="B27" s="278">
        <v>26</v>
      </c>
      <c r="C27" s="258" t="s">
        <v>3215</v>
      </c>
      <c r="D27" s="279">
        <v>42740</v>
      </c>
      <c r="E27" s="252" t="s">
        <v>2775</v>
      </c>
      <c r="F27" s="254" t="s">
        <v>1584</v>
      </c>
      <c r="G27" s="252">
        <v>691301525</v>
      </c>
      <c r="H27" s="258" t="s">
        <v>1582</v>
      </c>
      <c r="I27" s="252" t="s">
        <v>1585</v>
      </c>
    </row>
    <row r="28" spans="1:9" x14ac:dyDescent="0.25">
      <c r="A28" s="421">
        <v>27</v>
      </c>
      <c r="B28" s="278">
        <v>27</v>
      </c>
      <c r="C28" s="258" t="s">
        <v>3509</v>
      </c>
      <c r="D28" s="279">
        <v>42740</v>
      </c>
      <c r="E28" s="252" t="s">
        <v>340</v>
      </c>
      <c r="F28" s="254" t="s">
        <v>1589</v>
      </c>
      <c r="G28" s="252">
        <v>190444477</v>
      </c>
      <c r="H28" s="258" t="s">
        <v>1587</v>
      </c>
      <c r="I28" s="252" t="s">
        <v>1590</v>
      </c>
    </row>
    <row r="29" spans="1:9" x14ac:dyDescent="0.25">
      <c r="A29" s="421">
        <v>28</v>
      </c>
      <c r="B29" s="278">
        <v>28</v>
      </c>
      <c r="C29" s="258" t="s">
        <v>900</v>
      </c>
      <c r="D29" s="279">
        <v>42741</v>
      </c>
      <c r="E29" s="252" t="s">
        <v>222</v>
      </c>
      <c r="F29" s="254" t="s">
        <v>1593</v>
      </c>
      <c r="G29" s="252">
        <v>192468761</v>
      </c>
      <c r="H29" s="258" t="s">
        <v>967</v>
      </c>
      <c r="I29" s="252" t="s">
        <v>1594</v>
      </c>
    </row>
    <row r="30" spans="1:9" x14ac:dyDescent="0.25">
      <c r="A30" s="421">
        <v>29</v>
      </c>
      <c r="B30" s="278">
        <v>29</v>
      </c>
      <c r="C30" s="258" t="s">
        <v>3533</v>
      </c>
      <c r="D30" s="279">
        <v>42741</v>
      </c>
      <c r="E30" s="252" t="s">
        <v>3635</v>
      </c>
      <c r="F30" s="254" t="s">
        <v>1597</v>
      </c>
      <c r="G30" s="252">
        <v>100059044</v>
      </c>
      <c r="H30" s="258" t="s">
        <v>1595</v>
      </c>
      <c r="I30" s="252" t="s">
        <v>1598</v>
      </c>
    </row>
    <row r="31" spans="1:9" ht="26.4" x14ac:dyDescent="0.25">
      <c r="A31" s="421">
        <v>30</v>
      </c>
      <c r="B31" s="278">
        <v>30</v>
      </c>
      <c r="C31" s="258" t="s">
        <v>373</v>
      </c>
      <c r="D31" s="279">
        <v>42741</v>
      </c>
      <c r="E31" s="252" t="s">
        <v>35</v>
      </c>
      <c r="F31" s="254" t="s">
        <v>2350</v>
      </c>
      <c r="G31" s="252">
        <v>690665107</v>
      </c>
      <c r="H31" s="258" t="s">
        <v>967</v>
      </c>
      <c r="I31" s="252" t="s">
        <v>2351</v>
      </c>
    </row>
    <row r="32" spans="1:9" x14ac:dyDescent="0.25">
      <c r="A32" s="421">
        <v>31</v>
      </c>
      <c r="B32" s="278">
        <v>31</v>
      </c>
      <c r="C32" s="258" t="s">
        <v>1606</v>
      </c>
      <c r="D32" s="279">
        <v>42741</v>
      </c>
      <c r="E32" s="252" t="s">
        <v>847</v>
      </c>
      <c r="F32" s="254" t="s">
        <v>1602</v>
      </c>
      <c r="G32" s="252">
        <v>190853326</v>
      </c>
      <c r="H32" s="258" t="s">
        <v>1600</v>
      </c>
      <c r="I32" s="252" t="s">
        <v>1603</v>
      </c>
    </row>
    <row r="33" spans="1:9" x14ac:dyDescent="0.25">
      <c r="A33" s="421">
        <v>32</v>
      </c>
      <c r="B33" s="278">
        <v>32</v>
      </c>
      <c r="C33" s="258" t="s">
        <v>269</v>
      </c>
      <c r="D33" s="279">
        <v>42744</v>
      </c>
      <c r="E33" s="252" t="s">
        <v>1549</v>
      </c>
      <c r="F33" s="254" t="s">
        <v>1552</v>
      </c>
      <c r="G33" s="252">
        <v>190334809</v>
      </c>
      <c r="H33" s="258" t="s">
        <v>1550</v>
      </c>
      <c r="I33" s="252" t="s">
        <v>1554</v>
      </c>
    </row>
    <row r="34" spans="1:9" ht="26.4" x14ac:dyDescent="0.25">
      <c r="A34" s="421">
        <v>33</v>
      </c>
      <c r="B34" s="278">
        <v>33</v>
      </c>
      <c r="C34" s="258" t="s">
        <v>2779</v>
      </c>
      <c r="D34" s="279">
        <v>42744</v>
      </c>
      <c r="E34" s="252" t="s">
        <v>916</v>
      </c>
      <c r="F34" s="254" t="s">
        <v>1556</v>
      </c>
      <c r="G34" s="252">
        <v>101553117</v>
      </c>
      <c r="H34" s="258" t="s">
        <v>1555</v>
      </c>
      <c r="I34" s="252" t="s">
        <v>1557</v>
      </c>
    </row>
    <row r="35" spans="1:9" x14ac:dyDescent="0.25">
      <c r="A35" s="421">
        <v>34</v>
      </c>
      <c r="B35" s="278">
        <v>34</v>
      </c>
      <c r="C35" s="258" t="s">
        <v>185</v>
      </c>
      <c r="D35" s="279">
        <v>42744</v>
      </c>
      <c r="E35" s="252" t="s">
        <v>2859</v>
      </c>
      <c r="F35" s="254" t="s">
        <v>1560</v>
      </c>
      <c r="G35" s="252">
        <v>100261801</v>
      </c>
      <c r="H35" s="258" t="s">
        <v>967</v>
      </c>
      <c r="I35" s="252" t="s">
        <v>1561</v>
      </c>
    </row>
    <row r="36" spans="1:9" ht="39.6" x14ac:dyDescent="0.25">
      <c r="A36" s="421">
        <v>35</v>
      </c>
      <c r="B36" s="278">
        <v>35</v>
      </c>
      <c r="C36" s="258" t="s">
        <v>3739</v>
      </c>
      <c r="D36" s="279">
        <v>42744</v>
      </c>
      <c r="E36" s="252" t="s">
        <v>3850</v>
      </c>
      <c r="F36" s="254" t="s">
        <v>1565</v>
      </c>
      <c r="G36" s="252">
        <v>800011635</v>
      </c>
      <c r="H36" s="258" t="s">
        <v>1563</v>
      </c>
      <c r="I36" s="252" t="s">
        <v>1566</v>
      </c>
    </row>
    <row r="37" spans="1:9" x14ac:dyDescent="0.25">
      <c r="A37" s="421">
        <v>36</v>
      </c>
      <c r="B37" s="278">
        <v>36</v>
      </c>
      <c r="C37" s="258" t="s">
        <v>1525</v>
      </c>
      <c r="D37" s="279">
        <v>42744</v>
      </c>
      <c r="E37" s="252" t="s">
        <v>1568</v>
      </c>
      <c r="F37" s="254" t="s">
        <v>1571</v>
      </c>
      <c r="G37" s="252">
        <v>100122726</v>
      </c>
      <c r="H37" s="258" t="s">
        <v>1569</v>
      </c>
      <c r="I37" s="252" t="s">
        <v>1572</v>
      </c>
    </row>
    <row r="38" spans="1:9" x14ac:dyDescent="0.25">
      <c r="A38" s="421">
        <v>37</v>
      </c>
      <c r="B38" s="278">
        <v>37</v>
      </c>
      <c r="C38" s="258" t="s">
        <v>149</v>
      </c>
      <c r="D38" s="279">
        <v>42745</v>
      </c>
      <c r="E38" s="252" t="s">
        <v>3587</v>
      </c>
      <c r="F38" s="254" t="s">
        <v>1576</v>
      </c>
      <c r="G38" s="252">
        <v>101254783</v>
      </c>
      <c r="H38" s="258" t="s">
        <v>1575</v>
      </c>
      <c r="I38" s="252" t="s">
        <v>1577</v>
      </c>
    </row>
    <row r="39" spans="1:9" x14ac:dyDescent="0.25">
      <c r="A39" s="421">
        <v>38</v>
      </c>
      <c r="B39" s="278">
        <v>38</v>
      </c>
      <c r="C39" s="258" t="s">
        <v>1055</v>
      </c>
      <c r="D39" s="279">
        <v>42745</v>
      </c>
      <c r="E39" s="252" t="s">
        <v>1163</v>
      </c>
      <c r="F39" s="254" t="s">
        <v>1165</v>
      </c>
      <c r="G39" s="252">
        <v>191360926</v>
      </c>
      <c r="H39" s="258" t="s">
        <v>1164</v>
      </c>
      <c r="I39" s="252" t="s">
        <v>1166</v>
      </c>
    </row>
    <row r="40" spans="1:9" x14ac:dyDescent="0.25">
      <c r="A40" s="421">
        <v>39</v>
      </c>
      <c r="B40" s="278">
        <v>39</v>
      </c>
      <c r="C40" s="258" t="s">
        <v>3326</v>
      </c>
      <c r="D40" s="279">
        <v>42745</v>
      </c>
      <c r="E40" s="252" t="s">
        <v>1684</v>
      </c>
      <c r="F40" s="254" t="s">
        <v>1169</v>
      </c>
      <c r="G40" s="252">
        <v>100819821</v>
      </c>
      <c r="H40" s="258" t="s">
        <v>1167</v>
      </c>
      <c r="I40" s="252" t="s">
        <v>1170</v>
      </c>
    </row>
    <row r="41" spans="1:9" x14ac:dyDescent="0.25">
      <c r="A41" s="421">
        <v>40</v>
      </c>
      <c r="B41" s="278">
        <v>40</v>
      </c>
      <c r="C41" s="258" t="s">
        <v>4213</v>
      </c>
      <c r="D41" s="279">
        <v>42745</v>
      </c>
      <c r="E41" s="252" t="s">
        <v>1641</v>
      </c>
      <c r="F41" s="254" t="s">
        <v>1174</v>
      </c>
      <c r="G41" s="252">
        <v>100135464</v>
      </c>
      <c r="H41" s="258" t="s">
        <v>1172</v>
      </c>
      <c r="I41" s="252" t="s">
        <v>1175</v>
      </c>
    </row>
    <row r="42" spans="1:9" x14ac:dyDescent="0.25">
      <c r="A42" s="421">
        <v>41</v>
      </c>
      <c r="B42" s="278">
        <v>41</v>
      </c>
      <c r="C42" s="258" t="s">
        <v>230</v>
      </c>
      <c r="D42" s="279">
        <v>42745</v>
      </c>
      <c r="E42" s="252" t="s">
        <v>3291</v>
      </c>
      <c r="F42" s="254" t="s">
        <v>1180</v>
      </c>
      <c r="G42" s="252">
        <v>100054851</v>
      </c>
      <c r="H42" s="258" t="s">
        <v>1177</v>
      </c>
      <c r="I42" s="252" t="s">
        <v>1181</v>
      </c>
    </row>
    <row r="43" spans="1:9" x14ac:dyDescent="0.25">
      <c r="A43" s="421">
        <v>42</v>
      </c>
      <c r="B43" s="278">
        <v>42</v>
      </c>
      <c r="C43" s="258" t="s">
        <v>1128</v>
      </c>
      <c r="D43" s="279">
        <v>42745</v>
      </c>
      <c r="E43" s="252" t="s">
        <v>2871</v>
      </c>
      <c r="F43" s="254" t="s">
        <v>1186</v>
      </c>
      <c r="G43" s="252">
        <v>101015738</v>
      </c>
      <c r="H43" s="258" t="s">
        <v>1183</v>
      </c>
      <c r="I43" s="252" t="s">
        <v>1188</v>
      </c>
    </row>
    <row r="44" spans="1:9" x14ac:dyDescent="0.25">
      <c r="A44" s="421">
        <v>43</v>
      </c>
      <c r="B44" s="278">
        <v>43</v>
      </c>
      <c r="C44" s="258" t="s">
        <v>1608</v>
      </c>
      <c r="D44" s="279">
        <v>42745</v>
      </c>
      <c r="E44" s="252" t="s">
        <v>2358</v>
      </c>
      <c r="F44" s="254" t="s">
        <v>1192</v>
      </c>
      <c r="G44" s="252">
        <v>800008903</v>
      </c>
      <c r="H44" s="258" t="s">
        <v>1190</v>
      </c>
      <c r="I44" s="252" t="s">
        <v>1029</v>
      </c>
    </row>
    <row r="45" spans="1:9" x14ac:dyDescent="0.25">
      <c r="A45" s="421">
        <v>44</v>
      </c>
      <c r="B45" s="278">
        <v>44</v>
      </c>
      <c r="C45" s="258" t="s">
        <v>266</v>
      </c>
      <c r="D45" s="279">
        <v>42746</v>
      </c>
      <c r="E45" s="252" t="s">
        <v>2370</v>
      </c>
      <c r="F45" s="254" t="s">
        <v>1034</v>
      </c>
      <c r="G45" s="252">
        <v>100315382</v>
      </c>
      <c r="H45" s="258" t="s">
        <v>1031</v>
      </c>
      <c r="I45" s="252" t="s">
        <v>1035</v>
      </c>
    </row>
    <row r="46" spans="1:9" x14ac:dyDescent="0.25">
      <c r="A46" s="421">
        <v>45</v>
      </c>
      <c r="B46" s="278">
        <v>45</v>
      </c>
      <c r="C46" s="258" t="s">
        <v>3103</v>
      </c>
      <c r="D46" s="279">
        <v>42746</v>
      </c>
      <c r="E46" s="252" t="s">
        <v>164</v>
      </c>
      <c r="F46" s="254" t="s">
        <v>1041</v>
      </c>
      <c r="G46" s="252">
        <v>100534485</v>
      </c>
      <c r="H46" s="258" t="s">
        <v>1038</v>
      </c>
      <c r="I46" s="252" t="s">
        <v>1042</v>
      </c>
    </row>
    <row r="47" spans="1:9" x14ac:dyDescent="0.25">
      <c r="A47" s="421">
        <v>46</v>
      </c>
      <c r="B47" s="278">
        <v>46</v>
      </c>
      <c r="C47" s="258" t="s">
        <v>2735</v>
      </c>
      <c r="D47" s="279">
        <v>42746</v>
      </c>
      <c r="E47" s="252" t="s">
        <v>1058</v>
      </c>
      <c r="F47" s="254" t="s">
        <v>1046</v>
      </c>
      <c r="G47" s="252">
        <v>102384873</v>
      </c>
      <c r="H47" s="258" t="s">
        <v>1045</v>
      </c>
      <c r="I47" s="252" t="s">
        <v>1047</v>
      </c>
    </row>
    <row r="48" spans="1:9" x14ac:dyDescent="0.25">
      <c r="A48" s="421">
        <v>47</v>
      </c>
      <c r="B48" s="278">
        <v>47</v>
      </c>
      <c r="C48" s="258" t="s">
        <v>4215</v>
      </c>
      <c r="D48" s="279">
        <v>42746</v>
      </c>
      <c r="E48" s="252" t="s">
        <v>3558</v>
      </c>
      <c r="F48" s="254" t="s">
        <v>1065</v>
      </c>
      <c r="G48" s="252">
        <v>601072665</v>
      </c>
      <c r="H48" s="258" t="s">
        <v>1061</v>
      </c>
      <c r="I48" s="252" t="s">
        <v>1060</v>
      </c>
    </row>
    <row r="49" spans="1:9" ht="26.4" x14ac:dyDescent="0.25">
      <c r="A49" s="421">
        <v>48</v>
      </c>
      <c r="B49" s="278">
        <v>48</v>
      </c>
      <c r="C49" s="258" t="s">
        <v>3735</v>
      </c>
      <c r="D49" s="279">
        <v>42746</v>
      </c>
      <c r="E49" s="252" t="s">
        <v>1066</v>
      </c>
      <c r="F49" s="254" t="s">
        <v>1069</v>
      </c>
      <c r="G49" s="252">
        <v>190309754</v>
      </c>
      <c r="H49" s="258" t="s">
        <v>1067</v>
      </c>
      <c r="I49" s="252" t="s">
        <v>1070</v>
      </c>
    </row>
    <row r="50" spans="1:9" x14ac:dyDescent="0.25">
      <c r="A50" s="421">
        <v>49</v>
      </c>
      <c r="B50" s="278">
        <v>49</v>
      </c>
      <c r="C50" s="258" t="s">
        <v>3624</v>
      </c>
      <c r="D50" s="279">
        <v>42747</v>
      </c>
      <c r="E50" s="252" t="s">
        <v>837</v>
      </c>
      <c r="F50" s="254" t="s">
        <v>1074</v>
      </c>
      <c r="G50" s="252">
        <v>101449345</v>
      </c>
      <c r="H50" s="258" t="s">
        <v>967</v>
      </c>
      <c r="I50" s="252" t="s">
        <v>1075</v>
      </c>
    </row>
    <row r="51" spans="1:9" x14ac:dyDescent="0.25">
      <c r="A51" s="421">
        <v>50</v>
      </c>
      <c r="B51" s="278">
        <v>50</v>
      </c>
      <c r="C51" s="258" t="s">
        <v>417</v>
      </c>
      <c r="D51" s="279">
        <v>42747</v>
      </c>
      <c r="E51" s="252" t="s">
        <v>1788</v>
      </c>
      <c r="F51" s="254" t="s">
        <v>1078</v>
      </c>
      <c r="G51" s="252">
        <v>800001327</v>
      </c>
      <c r="H51" s="258" t="s">
        <v>967</v>
      </c>
      <c r="I51" s="252" t="s">
        <v>1079</v>
      </c>
    </row>
    <row r="52" spans="1:9" x14ac:dyDescent="0.25">
      <c r="A52" s="421">
        <v>51</v>
      </c>
      <c r="B52" s="278">
        <v>51</v>
      </c>
      <c r="C52" s="258" t="s">
        <v>1103</v>
      </c>
      <c r="D52" s="279">
        <v>42747</v>
      </c>
      <c r="E52" s="252" t="s">
        <v>1651</v>
      </c>
      <c r="F52" s="254" t="s">
        <v>1082</v>
      </c>
      <c r="G52" s="252">
        <v>190884251</v>
      </c>
      <c r="H52" s="258" t="s">
        <v>967</v>
      </c>
      <c r="I52" s="252" t="s">
        <v>1083</v>
      </c>
    </row>
    <row r="53" spans="1:9" x14ac:dyDescent="0.25">
      <c r="A53" s="421">
        <v>52</v>
      </c>
      <c r="B53" s="278">
        <v>52</v>
      </c>
      <c r="C53" s="258" t="s">
        <v>3634</v>
      </c>
      <c r="D53" s="279">
        <v>42747</v>
      </c>
      <c r="E53" s="252" t="s">
        <v>370</v>
      </c>
      <c r="F53" s="254" t="s">
        <v>3004</v>
      </c>
      <c r="G53" s="252">
        <v>101293399</v>
      </c>
      <c r="H53" s="258" t="s">
        <v>1086</v>
      </c>
      <c r="I53" s="252" t="s">
        <v>3005</v>
      </c>
    </row>
    <row r="54" spans="1:9" x14ac:dyDescent="0.25">
      <c r="A54" s="421">
        <v>53</v>
      </c>
      <c r="B54" s="278">
        <v>53</v>
      </c>
      <c r="C54" s="258" t="s">
        <v>3143</v>
      </c>
      <c r="D54" s="279">
        <v>42747</v>
      </c>
      <c r="E54" s="252" t="s">
        <v>3842</v>
      </c>
      <c r="F54" s="254" t="s">
        <v>3009</v>
      </c>
      <c r="G54" s="252">
        <v>600124705</v>
      </c>
      <c r="H54" s="258" t="s">
        <v>3007</v>
      </c>
      <c r="I54" s="252" t="s">
        <v>3010</v>
      </c>
    </row>
    <row r="55" spans="1:9" x14ac:dyDescent="0.25">
      <c r="A55" s="421">
        <v>54</v>
      </c>
      <c r="B55" s="278">
        <v>54</v>
      </c>
      <c r="C55" s="258" t="s">
        <v>1546</v>
      </c>
      <c r="D55" s="279">
        <v>42748</v>
      </c>
      <c r="E55" s="252" t="s">
        <v>944</v>
      </c>
      <c r="F55" s="254" t="s">
        <v>3013</v>
      </c>
      <c r="G55" s="252">
        <v>100692491</v>
      </c>
      <c r="H55" s="258" t="s">
        <v>3011</v>
      </c>
      <c r="I55" s="252" t="s">
        <v>3014</v>
      </c>
    </row>
    <row r="56" spans="1:9" x14ac:dyDescent="0.25">
      <c r="A56" s="421">
        <v>55</v>
      </c>
      <c r="B56" s="278">
        <v>55</v>
      </c>
      <c r="C56" s="258" t="s">
        <v>996</v>
      </c>
      <c r="D56" s="279">
        <v>42748</v>
      </c>
      <c r="E56" s="252" t="s">
        <v>1929</v>
      </c>
      <c r="F56" s="254" t="s">
        <v>3017</v>
      </c>
      <c r="G56" s="252">
        <v>200551259</v>
      </c>
      <c r="H56" s="258" t="s">
        <v>967</v>
      </c>
      <c r="I56" s="252" t="s">
        <v>3018</v>
      </c>
    </row>
    <row r="57" spans="1:9" ht="26.4" x14ac:dyDescent="0.25">
      <c r="A57" s="421">
        <v>56</v>
      </c>
      <c r="B57" s="278">
        <v>56</v>
      </c>
      <c r="C57" s="258" t="s">
        <v>1655</v>
      </c>
      <c r="D57" s="279">
        <v>42749</v>
      </c>
      <c r="E57" s="252" t="s">
        <v>349</v>
      </c>
      <c r="F57" s="254" t="s">
        <v>3021</v>
      </c>
      <c r="G57" s="252">
        <v>690604750</v>
      </c>
      <c r="H57" s="258" t="s">
        <v>967</v>
      </c>
      <c r="I57" s="252" t="s">
        <v>3022</v>
      </c>
    </row>
    <row r="58" spans="1:9" x14ac:dyDescent="0.25">
      <c r="A58" s="421">
        <v>57</v>
      </c>
      <c r="B58" s="278">
        <v>57</v>
      </c>
      <c r="C58" s="258" t="s">
        <v>1949</v>
      </c>
      <c r="D58" s="279">
        <v>42749</v>
      </c>
      <c r="E58" s="252" t="s">
        <v>2666</v>
      </c>
      <c r="F58" s="254" t="s">
        <v>3025</v>
      </c>
      <c r="G58" s="252">
        <v>691314513</v>
      </c>
      <c r="H58" s="258" t="s">
        <v>3024</v>
      </c>
      <c r="I58" s="252" t="s">
        <v>3026</v>
      </c>
    </row>
    <row r="59" spans="1:9" x14ac:dyDescent="0.25">
      <c r="A59" s="421">
        <v>58</v>
      </c>
      <c r="B59" s="278">
        <v>58</v>
      </c>
      <c r="C59" s="258" t="s">
        <v>3034</v>
      </c>
      <c r="D59" s="279">
        <v>42751</v>
      </c>
      <c r="E59" s="252" t="s">
        <v>3575</v>
      </c>
      <c r="F59" s="254" t="s">
        <v>3030</v>
      </c>
      <c r="G59" s="252">
        <v>190345927</v>
      </c>
      <c r="H59" s="258" t="s">
        <v>967</v>
      </c>
      <c r="I59" s="252" t="s">
        <v>3031</v>
      </c>
    </row>
    <row r="60" spans="1:9" x14ac:dyDescent="0.25">
      <c r="A60" s="421">
        <v>59</v>
      </c>
      <c r="B60" s="278">
        <v>59</v>
      </c>
      <c r="C60" s="258" t="s">
        <v>2963</v>
      </c>
      <c r="D60" s="279">
        <v>42751</v>
      </c>
      <c r="E60" s="252" t="s">
        <v>3035</v>
      </c>
      <c r="F60" s="254" t="s">
        <v>3037</v>
      </c>
      <c r="G60" s="252">
        <v>600020400</v>
      </c>
      <c r="H60" s="258" t="s">
        <v>967</v>
      </c>
      <c r="I60" s="252" t="s">
        <v>3038</v>
      </c>
    </row>
    <row r="61" spans="1:9" ht="26.4" x14ac:dyDescent="0.25">
      <c r="A61" s="421">
        <v>60</v>
      </c>
      <c r="B61" s="278">
        <v>60</v>
      </c>
      <c r="C61" s="258" t="s">
        <v>802</v>
      </c>
      <c r="D61" s="279">
        <v>42751</v>
      </c>
      <c r="E61" s="252" t="s">
        <v>733</v>
      </c>
      <c r="F61" s="254" t="s">
        <v>3043</v>
      </c>
      <c r="G61" s="252">
        <v>190770035</v>
      </c>
      <c r="H61" s="258" t="s">
        <v>3041</v>
      </c>
      <c r="I61" s="252" t="s">
        <v>3044</v>
      </c>
    </row>
    <row r="62" spans="1:9" x14ac:dyDescent="0.25">
      <c r="A62" s="421">
        <v>61</v>
      </c>
      <c r="B62" s="278">
        <v>61</v>
      </c>
      <c r="C62" s="258" t="s">
        <v>3053</v>
      </c>
      <c r="D62" s="279">
        <v>42751</v>
      </c>
      <c r="E62" s="252" t="s">
        <v>225</v>
      </c>
      <c r="F62" s="254" t="s">
        <v>3049</v>
      </c>
      <c r="G62" s="252">
        <v>100152060</v>
      </c>
      <c r="H62" s="258" t="s">
        <v>3046</v>
      </c>
      <c r="I62" s="252" t="s">
        <v>3050</v>
      </c>
    </row>
    <row r="63" spans="1:9" ht="26.4" x14ac:dyDescent="0.25">
      <c r="A63" s="421">
        <v>62</v>
      </c>
      <c r="B63" s="278">
        <v>62</v>
      </c>
      <c r="C63" s="258" t="s">
        <v>517</v>
      </c>
      <c r="D63" s="279">
        <v>42751</v>
      </c>
      <c r="E63" s="252" t="s">
        <v>3585</v>
      </c>
      <c r="F63" s="254" t="s">
        <v>3056</v>
      </c>
      <c r="G63" s="252">
        <v>191283872</v>
      </c>
      <c r="H63" s="258" t="s">
        <v>3054</v>
      </c>
      <c r="I63" s="252" t="s">
        <v>3057</v>
      </c>
    </row>
    <row r="64" spans="1:9" ht="26.4" x14ac:dyDescent="0.25">
      <c r="A64" s="421">
        <v>63</v>
      </c>
      <c r="B64" s="278">
        <v>63</v>
      </c>
      <c r="C64" s="258" t="s">
        <v>1643</v>
      </c>
      <c r="D64" s="279">
        <v>42751</v>
      </c>
      <c r="E64" s="252" t="s">
        <v>2139</v>
      </c>
      <c r="F64" s="254" t="s">
        <v>3061</v>
      </c>
      <c r="G64" s="252">
        <v>590086401</v>
      </c>
      <c r="H64" s="258" t="s">
        <v>967</v>
      </c>
      <c r="I64" s="252" t="s">
        <v>3062</v>
      </c>
    </row>
    <row r="65" spans="1:12" x14ac:dyDescent="0.25">
      <c r="A65" s="421">
        <v>64</v>
      </c>
      <c r="B65" s="278">
        <v>64</v>
      </c>
      <c r="C65" s="422" t="s">
        <v>3752</v>
      </c>
      <c r="D65" s="279" t="s">
        <v>3690</v>
      </c>
      <c r="E65" s="252" t="s">
        <v>50</v>
      </c>
      <c r="F65" s="254" t="s">
        <v>3938</v>
      </c>
      <c r="G65" s="252">
        <v>690325966</v>
      </c>
      <c r="H65" s="258" t="s">
        <v>967</v>
      </c>
      <c r="I65" s="252" t="s">
        <v>3720</v>
      </c>
    </row>
    <row r="66" spans="1:12" x14ac:dyDescent="0.25">
      <c r="A66" s="421">
        <v>65</v>
      </c>
      <c r="B66" s="278">
        <v>65</v>
      </c>
      <c r="C66" s="422" t="s">
        <v>3841</v>
      </c>
      <c r="D66" s="423" t="s">
        <v>3690</v>
      </c>
      <c r="E66" s="252" t="s">
        <v>3594</v>
      </c>
      <c r="F66" s="254" t="s">
        <v>3687</v>
      </c>
      <c r="G66" s="252">
        <v>190882802</v>
      </c>
      <c r="H66" s="258" t="s">
        <v>3685</v>
      </c>
      <c r="I66" s="252" t="s">
        <v>3688</v>
      </c>
    </row>
    <row r="67" spans="1:12" x14ac:dyDescent="0.25">
      <c r="A67" s="421">
        <v>66</v>
      </c>
      <c r="B67" s="278">
        <v>66</v>
      </c>
      <c r="C67" s="258" t="s">
        <v>3241</v>
      </c>
      <c r="D67" s="279">
        <v>42752</v>
      </c>
      <c r="E67" s="252" t="s">
        <v>1539</v>
      </c>
      <c r="F67" s="254" t="s">
        <v>3077</v>
      </c>
      <c r="G67" s="252">
        <v>191307470</v>
      </c>
      <c r="H67" s="258" t="s">
        <v>3074</v>
      </c>
      <c r="I67" s="252" t="s">
        <v>3078</v>
      </c>
    </row>
    <row r="68" spans="1:12" x14ac:dyDescent="0.25">
      <c r="A68" s="421">
        <v>67</v>
      </c>
      <c r="B68" s="278">
        <v>67</v>
      </c>
      <c r="C68" s="258" t="s">
        <v>51</v>
      </c>
      <c r="D68" s="279">
        <v>42752</v>
      </c>
      <c r="E68" s="252" t="s">
        <v>2800</v>
      </c>
      <c r="F68" s="254" t="s">
        <v>967</v>
      </c>
      <c r="G68" s="252">
        <v>600481624</v>
      </c>
      <c r="H68" s="258" t="s">
        <v>3080</v>
      </c>
      <c r="I68" s="252">
        <v>0</v>
      </c>
    </row>
    <row r="69" spans="1:12" x14ac:dyDescent="0.25">
      <c r="A69" s="421">
        <v>68</v>
      </c>
      <c r="B69" s="278">
        <v>68</v>
      </c>
      <c r="C69" s="258" t="s">
        <v>3083</v>
      </c>
      <c r="D69" s="279">
        <v>42752</v>
      </c>
      <c r="E69" s="252" t="s">
        <v>3069</v>
      </c>
      <c r="F69" s="254" t="s">
        <v>3071</v>
      </c>
      <c r="G69" s="252">
        <v>100150599</v>
      </c>
      <c r="H69" s="258" t="s">
        <v>967</v>
      </c>
      <c r="I69" s="252" t="s">
        <v>1418</v>
      </c>
    </row>
    <row r="70" spans="1:12" ht="26.4" x14ac:dyDescent="0.25">
      <c r="A70" s="421">
        <v>69</v>
      </c>
      <c r="B70" s="278">
        <v>69</v>
      </c>
      <c r="C70" s="258" t="s">
        <v>1932</v>
      </c>
      <c r="D70" s="279">
        <v>42752</v>
      </c>
      <c r="E70" s="252" t="s">
        <v>3064</v>
      </c>
      <c r="F70" s="254" t="s">
        <v>3066</v>
      </c>
      <c r="G70" s="252">
        <v>191695519</v>
      </c>
      <c r="H70" s="258" t="s">
        <v>967</v>
      </c>
      <c r="I70" s="252" t="s">
        <v>3067</v>
      </c>
    </row>
    <row r="71" spans="1:12" x14ac:dyDescent="0.25">
      <c r="A71" s="421">
        <v>70</v>
      </c>
      <c r="B71" s="278">
        <v>70</v>
      </c>
      <c r="C71" s="258" t="s">
        <v>3279</v>
      </c>
      <c r="D71" s="279">
        <v>42752</v>
      </c>
      <c r="E71" s="252" t="s">
        <v>2152</v>
      </c>
      <c r="F71" s="254" t="s">
        <v>3086</v>
      </c>
      <c r="G71" s="252">
        <v>191418262</v>
      </c>
      <c r="H71" s="258" t="s">
        <v>967</v>
      </c>
      <c r="I71" s="252" t="s">
        <v>3087</v>
      </c>
    </row>
    <row r="72" spans="1:12" ht="39.6" x14ac:dyDescent="0.25">
      <c r="A72" s="421">
        <v>71</v>
      </c>
      <c r="B72" s="278">
        <v>71</v>
      </c>
      <c r="C72" s="258" t="s">
        <v>3111</v>
      </c>
      <c r="D72" s="279">
        <v>42753</v>
      </c>
      <c r="E72" s="252" t="s">
        <v>3667</v>
      </c>
      <c r="F72" s="254" t="s">
        <v>3664</v>
      </c>
      <c r="G72" s="252">
        <v>691433174</v>
      </c>
      <c r="H72" s="258" t="s">
        <v>3662</v>
      </c>
      <c r="I72" s="252" t="s">
        <v>3665</v>
      </c>
    </row>
    <row r="73" spans="1:12" x14ac:dyDescent="0.25">
      <c r="A73" s="421">
        <v>72</v>
      </c>
      <c r="B73" s="278">
        <v>72</v>
      </c>
      <c r="C73" s="258" t="s">
        <v>3542</v>
      </c>
      <c r="D73" s="279">
        <v>42753</v>
      </c>
      <c r="E73" s="252" t="s">
        <v>2624</v>
      </c>
      <c r="F73" s="254" t="s">
        <v>3671</v>
      </c>
      <c r="G73" s="252">
        <v>600004086</v>
      </c>
      <c r="H73" s="258" t="s">
        <v>3668</v>
      </c>
      <c r="I73" s="252" t="s">
        <v>3672</v>
      </c>
    </row>
    <row r="74" spans="1:12" ht="26.4" x14ac:dyDescent="0.25">
      <c r="A74" s="421">
        <v>73</v>
      </c>
      <c r="B74" s="278">
        <v>73</v>
      </c>
      <c r="C74" s="258" t="s">
        <v>1826</v>
      </c>
      <c r="D74" s="279">
        <v>42753</v>
      </c>
      <c r="E74" s="252" t="s">
        <v>3129</v>
      </c>
      <c r="F74" s="409" t="s">
        <v>3676</v>
      </c>
      <c r="G74" s="252">
        <v>690656275</v>
      </c>
      <c r="H74" s="258" t="s">
        <v>3675</v>
      </c>
      <c r="I74" s="252" t="s">
        <v>3677</v>
      </c>
    </row>
    <row r="75" spans="1:12" x14ac:dyDescent="0.25">
      <c r="A75" s="421">
        <v>74</v>
      </c>
      <c r="B75" s="278">
        <v>74</v>
      </c>
      <c r="C75" s="258" t="s">
        <v>3840</v>
      </c>
      <c r="D75" s="279">
        <v>42753</v>
      </c>
      <c r="E75" s="252" t="s">
        <v>2694</v>
      </c>
      <c r="F75" s="254" t="s">
        <v>3682</v>
      </c>
      <c r="G75" s="252">
        <v>192386501</v>
      </c>
      <c r="H75" s="258" t="s">
        <v>3680</v>
      </c>
      <c r="I75" s="252" t="s">
        <v>3683</v>
      </c>
    </row>
    <row r="76" spans="1:12" x14ac:dyDescent="0.25">
      <c r="A76" s="421">
        <v>75</v>
      </c>
      <c r="B76" s="278">
        <v>75</v>
      </c>
      <c r="C76" s="258" t="s">
        <v>846</v>
      </c>
      <c r="D76" s="279">
        <v>42753</v>
      </c>
      <c r="E76" s="252" t="s">
        <v>3691</v>
      </c>
      <c r="F76" s="254" t="s">
        <v>967</v>
      </c>
      <c r="G76" s="252">
        <v>0</v>
      </c>
      <c r="H76" s="258" t="s">
        <v>967</v>
      </c>
      <c r="I76" s="252">
        <v>0</v>
      </c>
    </row>
    <row r="77" spans="1:12" x14ac:dyDescent="0.25">
      <c r="A77" s="421">
        <v>76</v>
      </c>
      <c r="B77" s="278">
        <v>76</v>
      </c>
      <c r="C77" s="408" t="s">
        <v>978</v>
      </c>
      <c r="D77" s="426" t="s">
        <v>118</v>
      </c>
      <c r="E77" s="427" t="s">
        <v>115</v>
      </c>
      <c r="F77" s="413" t="s">
        <v>3693</v>
      </c>
      <c r="G77" s="428">
        <v>100135211</v>
      </c>
      <c r="H77" s="424"/>
      <c r="I77" s="413" t="s">
        <v>117</v>
      </c>
      <c r="J77" s="410"/>
      <c r="K77" s="416"/>
      <c r="L77" s="417"/>
    </row>
    <row r="78" spans="1:12" x14ac:dyDescent="0.25">
      <c r="A78" s="421">
        <v>77</v>
      </c>
      <c r="B78" s="278">
        <v>77</v>
      </c>
      <c r="C78" s="258" t="s">
        <v>3765</v>
      </c>
      <c r="D78" s="279">
        <v>42753</v>
      </c>
      <c r="E78" s="252" t="s">
        <v>3700</v>
      </c>
      <c r="F78" s="254" t="s">
        <v>3697</v>
      </c>
      <c r="G78" s="252">
        <v>100721870</v>
      </c>
      <c r="H78" s="258" t="s">
        <v>3695</v>
      </c>
      <c r="I78" s="252" t="s">
        <v>3698</v>
      </c>
    </row>
    <row r="79" spans="1:12" x14ac:dyDescent="0.25">
      <c r="A79" s="421">
        <v>78</v>
      </c>
      <c r="B79" s="278">
        <v>78</v>
      </c>
      <c r="C79" s="258" t="s">
        <v>724</v>
      </c>
      <c r="D79" s="279">
        <v>42753</v>
      </c>
      <c r="E79" s="252" t="s">
        <v>214</v>
      </c>
      <c r="F79" s="254" t="s">
        <v>3702</v>
      </c>
      <c r="G79" s="252">
        <v>691601322</v>
      </c>
      <c r="H79" s="258" t="s">
        <v>967</v>
      </c>
      <c r="I79" s="252" t="s">
        <v>3703</v>
      </c>
    </row>
    <row r="80" spans="1:12" x14ac:dyDescent="0.25">
      <c r="A80" s="421">
        <v>79</v>
      </c>
      <c r="B80" s="278">
        <v>79</v>
      </c>
      <c r="C80" s="258" t="s">
        <v>347</v>
      </c>
      <c r="D80" s="279">
        <v>42753</v>
      </c>
      <c r="E80" s="252" t="s">
        <v>3705</v>
      </c>
      <c r="F80" s="254" t="s">
        <v>3707</v>
      </c>
      <c r="G80" s="252">
        <v>191296008</v>
      </c>
      <c r="H80" s="258" t="s">
        <v>3706</v>
      </c>
      <c r="I80" s="252" t="s">
        <v>3708</v>
      </c>
    </row>
    <row r="81" spans="1:9" x14ac:dyDescent="0.25">
      <c r="A81" s="421">
        <v>80</v>
      </c>
      <c r="B81" s="278">
        <v>80</v>
      </c>
      <c r="C81" s="258" t="s">
        <v>1613</v>
      </c>
      <c r="D81" s="253">
        <v>42793</v>
      </c>
      <c r="E81" s="252" t="s">
        <v>3355</v>
      </c>
      <c r="F81" s="254" t="s">
        <v>3358</v>
      </c>
      <c r="G81" s="252">
        <v>100345799</v>
      </c>
      <c r="H81" s="258" t="s">
        <v>3356</v>
      </c>
      <c r="I81" s="252" t="s">
        <v>3359</v>
      </c>
    </row>
    <row r="82" spans="1:9" ht="26.4" x14ac:dyDescent="0.25">
      <c r="A82" s="421">
        <v>81</v>
      </c>
      <c r="B82" s="278">
        <v>81</v>
      </c>
      <c r="C82" s="258" t="s">
        <v>2687</v>
      </c>
      <c r="D82" s="279">
        <v>42754</v>
      </c>
      <c r="E82" s="252" t="s">
        <v>3282</v>
      </c>
      <c r="F82" s="254" t="s">
        <v>3712</v>
      </c>
      <c r="G82" s="252">
        <v>191421443</v>
      </c>
      <c r="H82" s="258" t="s">
        <v>967</v>
      </c>
      <c r="I82" s="252" t="s">
        <v>3713</v>
      </c>
    </row>
    <row r="83" spans="1:9" x14ac:dyDescent="0.25">
      <c r="A83" s="421">
        <v>82</v>
      </c>
      <c r="B83" s="278">
        <v>82</v>
      </c>
      <c r="C83" s="258" t="s">
        <v>1834</v>
      </c>
      <c r="D83" s="279">
        <v>42754</v>
      </c>
      <c r="E83" s="252" t="s">
        <v>810</v>
      </c>
      <c r="F83" s="254" t="s">
        <v>3717</v>
      </c>
      <c r="G83" s="252">
        <v>190761996</v>
      </c>
      <c r="H83" s="258" t="s">
        <v>3715</v>
      </c>
      <c r="I83" s="252" t="s">
        <v>3193</v>
      </c>
    </row>
    <row r="84" spans="1:9" x14ac:dyDescent="0.25">
      <c r="A84" s="421">
        <v>83</v>
      </c>
      <c r="B84" s="278">
        <v>83</v>
      </c>
      <c r="C84" s="258" t="s">
        <v>3748</v>
      </c>
      <c r="D84" s="279">
        <v>42755</v>
      </c>
      <c r="E84" s="252" t="s">
        <v>3723</v>
      </c>
      <c r="F84" s="254" t="s">
        <v>1193</v>
      </c>
      <c r="G84" s="252">
        <v>100289209</v>
      </c>
      <c r="H84" s="258" t="s">
        <v>967</v>
      </c>
      <c r="I84" s="252" t="s">
        <v>3370</v>
      </c>
    </row>
    <row r="85" spans="1:9" x14ac:dyDescent="0.25">
      <c r="A85" s="421">
        <v>84</v>
      </c>
      <c r="B85" s="278">
        <v>84</v>
      </c>
      <c r="C85" s="258" t="s">
        <v>2675</v>
      </c>
      <c r="D85" s="279">
        <v>42756</v>
      </c>
      <c r="E85" s="252" t="s">
        <v>3371</v>
      </c>
      <c r="F85" s="254" t="s">
        <v>3373</v>
      </c>
      <c r="G85" s="252">
        <v>691761081</v>
      </c>
      <c r="H85" s="258" t="s">
        <v>967</v>
      </c>
      <c r="I85" s="252" t="s">
        <v>3374</v>
      </c>
    </row>
    <row r="86" spans="1:9" x14ac:dyDescent="0.25">
      <c r="A86" s="421">
        <v>85</v>
      </c>
      <c r="B86" s="278">
        <v>85</v>
      </c>
      <c r="C86" s="258" t="s">
        <v>315</v>
      </c>
      <c r="D86" s="279">
        <v>42758</v>
      </c>
      <c r="E86" s="252" t="s">
        <v>3379</v>
      </c>
      <c r="F86" s="254" t="s">
        <v>3377</v>
      </c>
      <c r="G86" s="252">
        <v>690712293</v>
      </c>
      <c r="H86" s="258" t="s">
        <v>967</v>
      </c>
      <c r="I86" s="252" t="s">
        <v>3380</v>
      </c>
    </row>
    <row r="87" spans="1:9" x14ac:dyDescent="0.25">
      <c r="A87" s="421">
        <v>86</v>
      </c>
      <c r="B87" s="278">
        <v>86</v>
      </c>
      <c r="C87" s="258" t="s">
        <v>1853</v>
      </c>
      <c r="D87" s="279">
        <v>42758</v>
      </c>
      <c r="E87" s="252" t="s">
        <v>3381</v>
      </c>
      <c r="F87" s="254" t="s">
        <v>2979</v>
      </c>
      <c r="G87" s="252">
        <v>100072811</v>
      </c>
      <c r="H87" s="258" t="s">
        <v>967</v>
      </c>
      <c r="I87" s="252" t="s">
        <v>2980</v>
      </c>
    </row>
    <row r="88" spans="1:9" x14ac:dyDescent="0.25">
      <c r="A88" s="421">
        <v>87</v>
      </c>
      <c r="B88" s="278">
        <v>87</v>
      </c>
      <c r="C88" s="258" t="s">
        <v>3636</v>
      </c>
      <c r="D88" s="279">
        <v>42758</v>
      </c>
      <c r="E88" s="252" t="s">
        <v>2983</v>
      </c>
      <c r="F88" s="254" t="s">
        <v>2985</v>
      </c>
      <c r="G88" s="252">
        <v>0</v>
      </c>
      <c r="H88" s="258" t="s">
        <v>967</v>
      </c>
      <c r="I88" s="252" t="s">
        <v>2986</v>
      </c>
    </row>
    <row r="89" spans="1:9" x14ac:dyDescent="0.25">
      <c r="A89" s="421">
        <v>88</v>
      </c>
      <c r="B89" s="278">
        <v>88</v>
      </c>
      <c r="C89" s="258" t="s">
        <v>2781</v>
      </c>
      <c r="D89" s="279">
        <v>42758</v>
      </c>
      <c r="E89" s="252" t="s">
        <v>2988</v>
      </c>
      <c r="F89" s="254" t="s">
        <v>2990</v>
      </c>
      <c r="G89" s="252">
        <v>191803814</v>
      </c>
      <c r="H89" s="258" t="s">
        <v>967</v>
      </c>
      <c r="I89" s="252" t="s">
        <v>2991</v>
      </c>
    </row>
    <row r="90" spans="1:9" x14ac:dyDescent="0.25">
      <c r="A90" s="421">
        <v>89</v>
      </c>
      <c r="B90" s="278">
        <v>89</v>
      </c>
      <c r="C90" s="258" t="s">
        <v>994</v>
      </c>
      <c r="D90" s="279">
        <v>42758</v>
      </c>
      <c r="E90" s="252" t="s">
        <v>2456</v>
      </c>
      <c r="F90" s="254" t="s">
        <v>2994</v>
      </c>
      <c r="G90" s="252">
        <v>100039768</v>
      </c>
      <c r="H90" s="258" t="s">
        <v>967</v>
      </c>
      <c r="I90" s="252" t="s">
        <v>2996</v>
      </c>
    </row>
    <row r="91" spans="1:9" ht="26.4" x14ac:dyDescent="0.25">
      <c r="A91" s="421">
        <v>90</v>
      </c>
      <c r="B91" s="278">
        <v>90</v>
      </c>
      <c r="C91" s="258" t="s">
        <v>3309</v>
      </c>
      <c r="D91" s="279">
        <v>42758</v>
      </c>
      <c r="E91" s="252" t="s">
        <v>355</v>
      </c>
      <c r="F91" s="254" t="s">
        <v>2999</v>
      </c>
      <c r="G91" s="252">
        <v>691792915</v>
      </c>
      <c r="H91" s="258" t="s">
        <v>967</v>
      </c>
      <c r="I91" s="252" t="s">
        <v>1235</v>
      </c>
    </row>
    <row r="92" spans="1:9" x14ac:dyDescent="0.25">
      <c r="A92" s="421">
        <v>91</v>
      </c>
      <c r="B92" s="278">
        <v>91</v>
      </c>
      <c r="C92" s="258" t="s">
        <v>3308</v>
      </c>
      <c r="D92" s="279">
        <v>42758</v>
      </c>
      <c r="E92" s="252" t="s">
        <v>3000</v>
      </c>
      <c r="F92" s="254" t="s">
        <v>3003</v>
      </c>
      <c r="G92" s="252">
        <v>190297367</v>
      </c>
      <c r="H92" s="258" t="s">
        <v>3001</v>
      </c>
      <c r="I92" s="252" t="s">
        <v>3144</v>
      </c>
    </row>
    <row r="93" spans="1:9" x14ac:dyDescent="0.25">
      <c r="A93" s="421">
        <v>92</v>
      </c>
      <c r="B93" s="278">
        <v>92</v>
      </c>
      <c r="C93" s="258" t="s">
        <v>175</v>
      </c>
      <c r="D93" s="279">
        <v>42758</v>
      </c>
      <c r="E93" s="252" t="s">
        <v>3146</v>
      </c>
      <c r="F93" s="254" t="s">
        <v>3149</v>
      </c>
      <c r="G93" s="252">
        <v>191764221</v>
      </c>
      <c r="H93" s="258" t="s">
        <v>3147</v>
      </c>
      <c r="I93" s="252" t="s">
        <v>3150</v>
      </c>
    </row>
    <row r="94" spans="1:9" x14ac:dyDescent="0.25">
      <c r="A94" s="421">
        <v>93</v>
      </c>
      <c r="B94" s="278">
        <v>93</v>
      </c>
      <c r="C94" s="258" t="s">
        <v>2602</v>
      </c>
      <c r="D94" s="279">
        <v>42758</v>
      </c>
      <c r="E94" s="252" t="s">
        <v>3153</v>
      </c>
      <c r="F94" s="254" t="s">
        <v>3155</v>
      </c>
      <c r="G94" s="252">
        <v>691134955</v>
      </c>
      <c r="H94" s="258" t="s">
        <v>967</v>
      </c>
      <c r="I94" s="252" t="s">
        <v>3156</v>
      </c>
    </row>
    <row r="95" spans="1:9" x14ac:dyDescent="0.25">
      <c r="A95" s="421">
        <v>94</v>
      </c>
      <c r="B95" s="278">
        <v>94</v>
      </c>
      <c r="C95" s="258" t="s">
        <v>2957</v>
      </c>
      <c r="D95" s="279">
        <v>42758</v>
      </c>
      <c r="E95" s="252" t="s">
        <v>3164</v>
      </c>
      <c r="F95" s="254" t="s">
        <v>3161</v>
      </c>
      <c r="G95" s="252">
        <v>808000584</v>
      </c>
      <c r="H95" s="258" t="s">
        <v>3159</v>
      </c>
      <c r="I95" s="252" t="s">
        <v>3162</v>
      </c>
    </row>
    <row r="96" spans="1:9" ht="26.4" x14ac:dyDescent="0.25">
      <c r="A96" s="421">
        <v>95</v>
      </c>
      <c r="B96" s="278">
        <v>95</v>
      </c>
      <c r="C96" s="258" t="s">
        <v>3734</v>
      </c>
      <c r="D96" s="279">
        <v>42759</v>
      </c>
      <c r="E96" s="252" t="s">
        <v>3491</v>
      </c>
      <c r="F96" s="254" t="s">
        <v>3166</v>
      </c>
      <c r="G96" s="252">
        <v>800014037</v>
      </c>
      <c r="H96" s="258" t="s">
        <v>967</v>
      </c>
      <c r="I96" s="252" t="s">
        <v>3167</v>
      </c>
    </row>
    <row r="97" spans="1:9" ht="26.4" x14ac:dyDescent="0.25">
      <c r="A97" s="421">
        <v>96</v>
      </c>
      <c r="B97" s="278">
        <v>96</v>
      </c>
      <c r="C97" s="258" t="s">
        <v>910</v>
      </c>
      <c r="D97" s="279">
        <v>42759</v>
      </c>
      <c r="E97" s="252" t="s">
        <v>3169</v>
      </c>
      <c r="F97" s="254" t="s">
        <v>3171</v>
      </c>
      <c r="G97" s="252">
        <v>390504677</v>
      </c>
      <c r="H97" s="258" t="s">
        <v>967</v>
      </c>
      <c r="I97" s="252" t="s">
        <v>3172</v>
      </c>
    </row>
    <row r="98" spans="1:9" ht="26.4" x14ac:dyDescent="0.25">
      <c r="A98" s="421">
        <v>97</v>
      </c>
      <c r="B98" s="278">
        <v>97</v>
      </c>
      <c r="C98" s="258" t="s">
        <v>2645</v>
      </c>
      <c r="D98" s="279">
        <v>42760</v>
      </c>
      <c r="E98" s="252" t="s">
        <v>3174</v>
      </c>
      <c r="F98" s="254" t="s">
        <v>3176</v>
      </c>
      <c r="G98" s="252">
        <v>192702608</v>
      </c>
      <c r="H98" s="258" t="s">
        <v>967</v>
      </c>
      <c r="I98" s="252" t="s">
        <v>3177</v>
      </c>
    </row>
    <row r="99" spans="1:9" x14ac:dyDescent="0.25">
      <c r="A99" s="421">
        <v>98</v>
      </c>
      <c r="B99" s="278">
        <v>98</v>
      </c>
      <c r="C99" s="258" t="s">
        <v>870</v>
      </c>
      <c r="D99" s="279">
        <v>42761</v>
      </c>
      <c r="E99" s="252" t="s">
        <v>43</v>
      </c>
      <c r="F99" s="254" t="s">
        <v>3180</v>
      </c>
      <c r="G99" s="252">
        <v>192498037</v>
      </c>
      <c r="H99" s="258" t="s">
        <v>967</v>
      </c>
      <c r="I99" s="252" t="s">
        <v>3181</v>
      </c>
    </row>
    <row r="100" spans="1:9" x14ac:dyDescent="0.25">
      <c r="A100" s="421">
        <v>99</v>
      </c>
      <c r="B100" s="278">
        <v>99</v>
      </c>
      <c r="C100" s="258" t="s">
        <v>2706</v>
      </c>
      <c r="D100" s="279">
        <v>42761</v>
      </c>
      <c r="E100" s="252" t="s">
        <v>220</v>
      </c>
      <c r="F100" s="254" t="s">
        <v>3184</v>
      </c>
      <c r="G100" s="252">
        <v>100230496</v>
      </c>
      <c r="H100" s="258" t="s">
        <v>3183</v>
      </c>
      <c r="I100" s="252" t="s">
        <v>3185</v>
      </c>
    </row>
    <row r="101" spans="1:9" ht="26.4" x14ac:dyDescent="0.25">
      <c r="A101" s="421">
        <v>100</v>
      </c>
      <c r="B101" s="278">
        <v>100</v>
      </c>
      <c r="C101" s="258" t="s">
        <v>2095</v>
      </c>
      <c r="D101" s="279">
        <v>42761</v>
      </c>
      <c r="E101" s="252" t="s">
        <v>3188</v>
      </c>
      <c r="F101" s="254" t="s">
        <v>3191</v>
      </c>
      <c r="G101" s="252">
        <v>190273406</v>
      </c>
      <c r="H101" s="258" t="s">
        <v>3189</v>
      </c>
      <c r="I101" s="252" t="s">
        <v>3192</v>
      </c>
    </row>
    <row r="102" spans="1:9" x14ac:dyDescent="0.25">
      <c r="A102" s="421">
        <v>101</v>
      </c>
      <c r="B102" s="278">
        <v>101</v>
      </c>
      <c r="C102" s="258" t="s">
        <v>2405</v>
      </c>
      <c r="D102" s="279">
        <v>42761</v>
      </c>
      <c r="E102" s="252" t="s">
        <v>3502</v>
      </c>
      <c r="F102" s="254" t="s">
        <v>3196</v>
      </c>
      <c r="G102" s="252">
        <v>101581495</v>
      </c>
      <c r="H102" s="258" t="s">
        <v>3194</v>
      </c>
      <c r="I102" s="252" t="s">
        <v>3197</v>
      </c>
    </row>
    <row r="103" spans="1:9" ht="26.4" x14ac:dyDescent="0.25">
      <c r="A103" s="421">
        <v>102</v>
      </c>
      <c r="B103" s="278">
        <v>102</v>
      </c>
      <c r="C103" s="258" t="s">
        <v>2828</v>
      </c>
      <c r="D103" s="279">
        <v>42761</v>
      </c>
      <c r="E103" s="252" t="s">
        <v>2736</v>
      </c>
      <c r="F103" s="254" t="s">
        <v>3200</v>
      </c>
      <c r="G103" s="252">
        <v>691780951</v>
      </c>
      <c r="H103" s="258" t="s">
        <v>3199</v>
      </c>
      <c r="I103" s="252" t="s">
        <v>3203</v>
      </c>
    </row>
    <row r="104" spans="1:9" x14ac:dyDescent="0.25">
      <c r="A104" s="421">
        <v>103</v>
      </c>
      <c r="B104" s="278">
        <v>103</v>
      </c>
      <c r="C104" s="258" t="s">
        <v>2437</v>
      </c>
      <c r="D104" s="279">
        <v>42762</v>
      </c>
      <c r="E104" s="252" t="s">
        <v>3092</v>
      </c>
      <c r="F104" s="254" t="s">
        <v>3206</v>
      </c>
      <c r="G104" s="252">
        <v>100779791</v>
      </c>
      <c r="H104" s="258" t="s">
        <v>3204</v>
      </c>
      <c r="I104" s="252" t="s">
        <v>2566</v>
      </c>
    </row>
    <row r="105" spans="1:9" ht="26.4" x14ac:dyDescent="0.25">
      <c r="A105" s="421">
        <v>104</v>
      </c>
      <c r="B105" s="278">
        <v>104</v>
      </c>
      <c r="C105" s="258" t="s">
        <v>1808</v>
      </c>
      <c r="D105" s="279">
        <v>42762</v>
      </c>
      <c r="E105" s="252" t="s">
        <v>2570</v>
      </c>
      <c r="F105" s="254" t="s">
        <v>2575</v>
      </c>
      <c r="G105" s="252">
        <v>100835687</v>
      </c>
      <c r="H105" s="258" t="s">
        <v>967</v>
      </c>
      <c r="I105" s="252" t="s">
        <v>2572</v>
      </c>
    </row>
    <row r="106" spans="1:9" ht="26.4" x14ac:dyDescent="0.25">
      <c r="A106" s="421">
        <v>105</v>
      </c>
      <c r="B106" s="278">
        <v>105</v>
      </c>
      <c r="C106" s="258" t="s">
        <v>3298</v>
      </c>
      <c r="D106" s="279">
        <v>42762</v>
      </c>
      <c r="E106" s="252" t="s">
        <v>4192</v>
      </c>
      <c r="F106" s="254" t="s">
        <v>2578</v>
      </c>
      <c r="G106" s="252">
        <v>190063577</v>
      </c>
      <c r="H106" s="258" t="s">
        <v>2576</v>
      </c>
      <c r="I106" s="252" t="s">
        <v>1902</v>
      </c>
    </row>
    <row r="107" spans="1:9" x14ac:dyDescent="0.25">
      <c r="A107" s="421">
        <v>106</v>
      </c>
      <c r="B107" s="278">
        <v>106</v>
      </c>
      <c r="C107" s="258" t="s">
        <v>3209</v>
      </c>
      <c r="D107" s="279">
        <v>42762</v>
      </c>
      <c r="E107" s="410" t="s">
        <v>132</v>
      </c>
      <c r="F107" s="254" t="s">
        <v>2582</v>
      </c>
      <c r="G107" s="252">
        <v>600011872</v>
      </c>
      <c r="H107" s="258" t="s">
        <v>2579</v>
      </c>
      <c r="I107" s="252" t="s">
        <v>2583</v>
      </c>
    </row>
    <row r="108" spans="1:9" ht="26.4" x14ac:dyDescent="0.25">
      <c r="A108" s="421">
        <v>107</v>
      </c>
      <c r="B108" s="278">
        <v>107</v>
      </c>
      <c r="C108" s="258" t="s">
        <v>486</v>
      </c>
      <c r="D108" s="279">
        <v>42762</v>
      </c>
      <c r="E108" s="252" t="s">
        <v>500</v>
      </c>
      <c r="F108" s="254" t="s">
        <v>2586</v>
      </c>
      <c r="G108" s="252">
        <v>690631984</v>
      </c>
      <c r="H108" s="258" t="s">
        <v>967</v>
      </c>
      <c r="I108" s="252" t="s">
        <v>2587</v>
      </c>
    </row>
    <row r="109" spans="1:9" ht="26.4" x14ac:dyDescent="0.25">
      <c r="A109" s="421">
        <v>108</v>
      </c>
      <c r="B109" s="278">
        <v>108</v>
      </c>
      <c r="C109" s="258" t="s">
        <v>3851</v>
      </c>
      <c r="D109" s="279">
        <v>42762</v>
      </c>
      <c r="E109" s="252" t="s">
        <v>3631</v>
      </c>
      <c r="F109" s="254" t="s">
        <v>2590</v>
      </c>
      <c r="G109" s="252">
        <v>691380883</v>
      </c>
      <c r="H109" s="258" t="s">
        <v>967</v>
      </c>
      <c r="I109" s="252" t="s">
        <v>2591</v>
      </c>
    </row>
    <row r="110" spans="1:9" ht="26.4" x14ac:dyDescent="0.25">
      <c r="A110" s="421">
        <v>109</v>
      </c>
      <c r="B110" s="278">
        <v>109</v>
      </c>
      <c r="C110" s="258" t="s">
        <v>2622</v>
      </c>
      <c r="D110" s="279">
        <v>42765</v>
      </c>
      <c r="E110" s="252" t="s">
        <v>1807</v>
      </c>
      <c r="F110" s="254" t="s">
        <v>1145</v>
      </c>
      <c r="G110" s="252">
        <v>101277625</v>
      </c>
      <c r="H110" s="258" t="s">
        <v>2593</v>
      </c>
      <c r="I110" s="252" t="s">
        <v>647</v>
      </c>
    </row>
    <row r="111" spans="1:9" ht="26.4" x14ac:dyDescent="0.25">
      <c r="A111" s="421">
        <v>110</v>
      </c>
      <c r="B111" s="278">
        <v>110</v>
      </c>
      <c r="C111" s="258" t="s">
        <v>2684</v>
      </c>
      <c r="D111" s="279">
        <v>42765</v>
      </c>
      <c r="E111" s="252" t="s">
        <v>4</v>
      </c>
      <c r="F111" s="254" t="s">
        <v>650</v>
      </c>
      <c r="G111" s="252">
        <v>690836601</v>
      </c>
      <c r="H111" s="258" t="s">
        <v>967</v>
      </c>
      <c r="I111" s="252" t="s">
        <v>651</v>
      </c>
    </row>
    <row r="112" spans="1:9" x14ac:dyDescent="0.25">
      <c r="A112" s="421">
        <v>111</v>
      </c>
      <c r="B112" s="278">
        <v>111</v>
      </c>
      <c r="C112" s="258" t="s">
        <v>833</v>
      </c>
      <c r="D112" s="279">
        <v>42765</v>
      </c>
      <c r="E112" s="252" t="s">
        <v>2701</v>
      </c>
      <c r="F112" s="254" t="s">
        <v>655</v>
      </c>
      <c r="G112" s="252">
        <v>190464389</v>
      </c>
      <c r="H112" s="258" t="s">
        <v>967</v>
      </c>
      <c r="I112" s="252" t="s">
        <v>656</v>
      </c>
    </row>
    <row r="113" spans="1:9" x14ac:dyDescent="0.25">
      <c r="A113" s="421">
        <v>112</v>
      </c>
      <c r="B113" s="278">
        <v>112</v>
      </c>
      <c r="C113" s="258" t="s">
        <v>3846</v>
      </c>
      <c r="D113" s="279">
        <v>42765</v>
      </c>
      <c r="E113" s="252" t="s">
        <v>450</v>
      </c>
      <c r="F113" s="254" t="s">
        <v>661</v>
      </c>
      <c r="G113" s="252">
        <v>100468996</v>
      </c>
      <c r="H113" s="258" t="s">
        <v>659</v>
      </c>
      <c r="I113" s="252" t="s">
        <v>662</v>
      </c>
    </row>
    <row r="114" spans="1:9" x14ac:dyDescent="0.25">
      <c r="A114" s="421">
        <v>113</v>
      </c>
      <c r="B114" s="278">
        <v>113</v>
      </c>
      <c r="C114" s="258" t="s">
        <v>2444</v>
      </c>
      <c r="D114" s="279">
        <v>42766</v>
      </c>
      <c r="E114" s="252" t="s">
        <v>664</v>
      </c>
      <c r="F114" s="254" t="s">
        <v>666</v>
      </c>
      <c r="G114" s="252">
        <v>101080981</v>
      </c>
      <c r="H114" s="258" t="s">
        <v>665</v>
      </c>
      <c r="I114" s="252" t="s">
        <v>667</v>
      </c>
    </row>
    <row r="115" spans="1:9" x14ac:dyDescent="0.25">
      <c r="A115" s="421">
        <v>114</v>
      </c>
      <c r="B115" s="278">
        <v>114</v>
      </c>
      <c r="C115" s="258" t="s">
        <v>688</v>
      </c>
      <c r="D115" s="279">
        <v>42766</v>
      </c>
      <c r="E115" s="252" t="s">
        <v>3518</v>
      </c>
      <c r="F115" s="254" t="s">
        <v>671</v>
      </c>
      <c r="G115" s="252">
        <v>100092100</v>
      </c>
      <c r="H115" s="258" t="s">
        <v>967</v>
      </c>
      <c r="I115" s="252" t="s">
        <v>672</v>
      </c>
    </row>
    <row r="116" spans="1:9" ht="26.4" x14ac:dyDescent="0.25">
      <c r="A116" s="421">
        <v>115</v>
      </c>
      <c r="B116" s="278">
        <v>115</v>
      </c>
      <c r="C116" s="258" t="s">
        <v>948</v>
      </c>
      <c r="D116" s="279">
        <v>42766</v>
      </c>
      <c r="E116" s="252" t="s">
        <v>481</v>
      </c>
      <c r="F116" s="254" t="s">
        <v>676</v>
      </c>
      <c r="G116" s="252">
        <v>190819447</v>
      </c>
      <c r="H116" s="258" t="s">
        <v>967</v>
      </c>
      <c r="I116" s="252" t="s">
        <v>677</v>
      </c>
    </row>
    <row r="117" spans="1:9" ht="26.4" x14ac:dyDescent="0.25">
      <c r="A117" s="421">
        <v>116</v>
      </c>
      <c r="B117" s="278">
        <v>116</v>
      </c>
      <c r="C117" s="258" t="s">
        <v>1930</v>
      </c>
      <c r="D117" s="279">
        <v>42767</v>
      </c>
      <c r="E117" s="252" t="s">
        <v>2831</v>
      </c>
      <c r="F117" s="254" t="s">
        <v>1135</v>
      </c>
      <c r="G117" s="252">
        <v>191604225</v>
      </c>
      <c r="H117" s="258" t="s">
        <v>1133</v>
      </c>
      <c r="I117" s="252" t="s">
        <v>1136</v>
      </c>
    </row>
    <row r="118" spans="1:9" x14ac:dyDescent="0.25">
      <c r="A118" s="421">
        <v>117</v>
      </c>
      <c r="B118" s="278">
        <v>117</v>
      </c>
      <c r="C118" s="258" t="s">
        <v>3864</v>
      </c>
      <c r="D118" s="279">
        <v>42767</v>
      </c>
      <c r="E118" s="252" t="s">
        <v>234</v>
      </c>
      <c r="F118" s="254" t="s">
        <v>1140</v>
      </c>
      <c r="G118" s="252">
        <v>100736767</v>
      </c>
      <c r="H118" s="258" t="s">
        <v>1138</v>
      </c>
      <c r="I118" s="252" t="s">
        <v>1141</v>
      </c>
    </row>
    <row r="119" spans="1:9" x14ac:dyDescent="0.25">
      <c r="A119" s="421">
        <v>118</v>
      </c>
      <c r="B119" s="278">
        <v>118</v>
      </c>
      <c r="C119" s="258" t="s">
        <v>3102</v>
      </c>
      <c r="D119" s="279">
        <v>42767</v>
      </c>
      <c r="E119" s="252" t="s">
        <v>2718</v>
      </c>
      <c r="F119" s="254" t="s">
        <v>1140</v>
      </c>
      <c r="G119" s="252">
        <v>101467757</v>
      </c>
      <c r="H119" s="258" t="s">
        <v>1147</v>
      </c>
      <c r="I119" s="252" t="s">
        <v>1148</v>
      </c>
    </row>
    <row r="120" spans="1:9" x14ac:dyDescent="0.25">
      <c r="A120" s="421">
        <v>119</v>
      </c>
      <c r="B120" s="278">
        <v>119</v>
      </c>
      <c r="C120" s="258" t="s">
        <v>3091</v>
      </c>
      <c r="D120" s="279">
        <v>42767</v>
      </c>
      <c r="E120" s="252" t="s">
        <v>2159</v>
      </c>
      <c r="F120" s="254" t="s">
        <v>1152</v>
      </c>
      <c r="G120" s="252">
        <v>100345786</v>
      </c>
      <c r="H120" s="258" t="s">
        <v>967</v>
      </c>
      <c r="I120" s="252" t="s">
        <v>1153</v>
      </c>
    </row>
    <row r="121" spans="1:9" ht="26.4" x14ac:dyDescent="0.25">
      <c r="A121" s="421">
        <v>120</v>
      </c>
      <c r="B121" s="278">
        <v>120</v>
      </c>
      <c r="C121" s="258" t="s">
        <v>3601</v>
      </c>
      <c r="D121" s="279">
        <v>42767</v>
      </c>
      <c r="E121" s="252" t="s">
        <v>481</v>
      </c>
      <c r="F121" s="254" t="s">
        <v>676</v>
      </c>
      <c r="G121" s="252">
        <v>190819447</v>
      </c>
      <c r="H121" s="258" t="s">
        <v>967</v>
      </c>
      <c r="I121" s="252" t="s">
        <v>677</v>
      </c>
    </row>
    <row r="122" spans="1:9" x14ac:dyDescent="0.25">
      <c r="A122" s="421">
        <v>121</v>
      </c>
      <c r="B122" s="278">
        <v>121</v>
      </c>
      <c r="C122" s="258" t="s">
        <v>3216</v>
      </c>
      <c r="D122" s="279">
        <v>42767</v>
      </c>
      <c r="E122" s="252" t="s">
        <v>1156</v>
      </c>
      <c r="F122" s="254" t="s">
        <v>1159</v>
      </c>
      <c r="G122" s="252">
        <v>101117088</v>
      </c>
      <c r="H122" s="258" t="s">
        <v>1157</v>
      </c>
      <c r="I122" s="252" t="s">
        <v>1760</v>
      </c>
    </row>
    <row r="123" spans="1:9" x14ac:dyDescent="0.25">
      <c r="A123" s="421">
        <v>122</v>
      </c>
      <c r="B123" s="278">
        <v>122</v>
      </c>
      <c r="C123" s="258" t="s">
        <v>2634</v>
      </c>
      <c r="D123" s="279">
        <v>42768</v>
      </c>
      <c r="E123" s="252" t="s">
        <v>1367</v>
      </c>
      <c r="F123" s="254" t="s">
        <v>1708</v>
      </c>
      <c r="G123" s="252">
        <v>600921909</v>
      </c>
      <c r="H123" s="258" t="s">
        <v>967</v>
      </c>
      <c r="I123" s="252" t="s">
        <v>1709</v>
      </c>
    </row>
    <row r="124" spans="1:9" ht="26.4" x14ac:dyDescent="0.25">
      <c r="A124" s="421">
        <v>123</v>
      </c>
      <c r="B124" s="278">
        <v>123</v>
      </c>
      <c r="C124" s="258" t="s">
        <v>3573</v>
      </c>
      <c r="D124" s="279">
        <v>42768</v>
      </c>
      <c r="E124" s="252" t="s">
        <v>1711</v>
      </c>
      <c r="F124" s="254" t="s">
        <v>1713</v>
      </c>
      <c r="G124" s="252">
        <v>100005713</v>
      </c>
      <c r="H124" s="258" t="s">
        <v>967</v>
      </c>
      <c r="I124" s="252" t="s">
        <v>1716</v>
      </c>
    </row>
    <row r="125" spans="1:9" ht="26.4" x14ac:dyDescent="0.25">
      <c r="A125" s="421">
        <v>124</v>
      </c>
      <c r="B125" s="278">
        <v>124</v>
      </c>
      <c r="C125" s="258" t="s">
        <v>3311</v>
      </c>
      <c r="D125" s="279">
        <v>42768</v>
      </c>
      <c r="E125" s="252" t="s">
        <v>873</v>
      </c>
      <c r="F125" s="254" t="s">
        <v>1719</v>
      </c>
      <c r="G125" s="252">
        <v>691523415</v>
      </c>
      <c r="H125" s="258" t="s">
        <v>967</v>
      </c>
      <c r="I125" s="252" t="s">
        <v>1720</v>
      </c>
    </row>
    <row r="126" spans="1:9" x14ac:dyDescent="0.25">
      <c r="A126" s="421">
        <v>125</v>
      </c>
      <c r="B126" s="278">
        <v>125</v>
      </c>
      <c r="C126" s="258" t="s">
        <v>1836</v>
      </c>
      <c r="D126" s="279">
        <v>42768</v>
      </c>
      <c r="E126" s="252" t="s">
        <v>2411</v>
      </c>
      <c r="F126" s="254" t="s">
        <v>1724</v>
      </c>
      <c r="G126" s="252">
        <v>100349860</v>
      </c>
      <c r="H126" s="258" t="s">
        <v>967</v>
      </c>
      <c r="I126" s="252" t="s">
        <v>1725</v>
      </c>
    </row>
    <row r="127" spans="1:9" x14ac:dyDescent="0.25">
      <c r="A127" s="421">
        <v>126</v>
      </c>
      <c r="B127" s="278">
        <v>126</v>
      </c>
      <c r="C127" s="258" t="s">
        <v>1</v>
      </c>
      <c r="D127" s="279">
        <v>42768</v>
      </c>
      <c r="E127" s="252" t="s">
        <v>1914</v>
      </c>
      <c r="F127" s="254" t="s">
        <v>1730</v>
      </c>
      <c r="G127" s="252">
        <v>100168244</v>
      </c>
      <c r="H127" s="258" t="s">
        <v>1728</v>
      </c>
      <c r="I127" s="252" t="s">
        <v>1731</v>
      </c>
    </row>
    <row r="128" spans="1:9" x14ac:dyDescent="0.25">
      <c r="A128" s="421">
        <v>127</v>
      </c>
      <c r="B128" s="278">
        <v>127</v>
      </c>
      <c r="C128" s="258" t="s">
        <v>2406</v>
      </c>
      <c r="D128" s="279">
        <v>42769</v>
      </c>
      <c r="E128" s="252" t="s">
        <v>3552</v>
      </c>
      <c r="F128" s="254" t="s">
        <v>1866</v>
      </c>
      <c r="G128" s="252">
        <v>191569368</v>
      </c>
      <c r="H128" s="258" t="s">
        <v>1733</v>
      </c>
      <c r="I128" s="252" t="s">
        <v>1735</v>
      </c>
    </row>
    <row r="129" spans="1:9" x14ac:dyDescent="0.25">
      <c r="A129" s="421">
        <v>128</v>
      </c>
      <c r="B129" s="278">
        <v>128</v>
      </c>
      <c r="C129" s="258" t="s">
        <v>252</v>
      </c>
      <c r="D129" s="279">
        <v>42769</v>
      </c>
      <c r="E129" s="252" t="s">
        <v>326</v>
      </c>
      <c r="F129" s="254" t="s">
        <v>1738</v>
      </c>
      <c r="G129" s="252">
        <v>200216443</v>
      </c>
      <c r="H129" s="258" t="s">
        <v>967</v>
      </c>
      <c r="I129" s="252" t="s">
        <v>1266</v>
      </c>
    </row>
    <row r="130" spans="1:9" ht="26.4" x14ac:dyDescent="0.25">
      <c r="A130" s="421">
        <v>129</v>
      </c>
      <c r="B130" s="278">
        <v>129</v>
      </c>
      <c r="C130" s="258" t="s">
        <v>1941</v>
      </c>
      <c r="D130" s="279">
        <v>42769</v>
      </c>
      <c r="E130" s="252" t="s">
        <v>1809</v>
      </c>
      <c r="F130" s="254" t="s">
        <v>1741</v>
      </c>
      <c r="G130" s="252">
        <v>190907422</v>
      </c>
      <c r="H130" s="258" t="s">
        <v>1739</v>
      </c>
      <c r="I130" s="252" t="s">
        <v>1269</v>
      </c>
    </row>
    <row r="131" spans="1:9" ht="26.4" x14ac:dyDescent="0.25">
      <c r="A131" s="421">
        <v>130</v>
      </c>
      <c r="B131" s="278">
        <v>130</v>
      </c>
      <c r="C131" s="258" t="s">
        <v>365</v>
      </c>
      <c r="D131" s="279">
        <v>42770</v>
      </c>
      <c r="E131" s="252" t="s">
        <v>1744</v>
      </c>
      <c r="F131" s="254" t="s">
        <v>1746</v>
      </c>
      <c r="G131" s="252">
        <v>191306367</v>
      </c>
      <c r="H131" s="258" t="s">
        <v>967</v>
      </c>
      <c r="I131" s="252" t="s">
        <v>1747</v>
      </c>
    </row>
    <row r="132" spans="1:9" x14ac:dyDescent="0.25">
      <c r="A132" s="421">
        <v>131</v>
      </c>
      <c r="B132" s="278">
        <v>131</v>
      </c>
      <c r="C132" s="258" t="s">
        <v>1784</v>
      </c>
      <c r="D132" s="279">
        <v>42772</v>
      </c>
      <c r="E132" s="252" t="s">
        <v>3088</v>
      </c>
      <c r="F132" s="254" t="s">
        <v>4119</v>
      </c>
      <c r="G132" s="252">
        <v>102299021</v>
      </c>
      <c r="H132" s="258" t="s">
        <v>4117</v>
      </c>
      <c r="I132" s="252" t="s">
        <v>4122</v>
      </c>
    </row>
    <row r="133" spans="1:9" x14ac:dyDescent="0.25">
      <c r="A133" s="421">
        <v>132</v>
      </c>
      <c r="B133" s="278">
        <v>132</v>
      </c>
      <c r="C133" s="258" t="s">
        <v>2870</v>
      </c>
      <c r="D133" s="279">
        <v>42772</v>
      </c>
      <c r="E133" s="252" t="s">
        <v>3267</v>
      </c>
      <c r="F133" s="254" t="s">
        <v>4125</v>
      </c>
      <c r="G133" s="252">
        <v>0</v>
      </c>
      <c r="H133" s="258" t="s">
        <v>4123</v>
      </c>
      <c r="I133" s="252" t="s">
        <v>4126</v>
      </c>
    </row>
    <row r="134" spans="1:9" x14ac:dyDescent="0.25">
      <c r="A134" s="421">
        <v>133</v>
      </c>
      <c r="B134" s="278">
        <v>133</v>
      </c>
      <c r="C134" s="258" t="s">
        <v>963</v>
      </c>
      <c r="D134" s="279">
        <v>42772</v>
      </c>
      <c r="E134" s="252" t="s">
        <v>4128</v>
      </c>
      <c r="F134" s="254" t="s">
        <v>4131</v>
      </c>
      <c r="G134" s="252">
        <v>190928302</v>
      </c>
      <c r="H134" s="258" t="s">
        <v>4129</v>
      </c>
      <c r="I134" s="252" t="s">
        <v>4132</v>
      </c>
    </row>
    <row r="135" spans="1:9" x14ac:dyDescent="0.25">
      <c r="A135" s="421">
        <v>134</v>
      </c>
      <c r="B135" s="278">
        <v>134</v>
      </c>
      <c r="C135" s="258" t="s">
        <v>1021</v>
      </c>
      <c r="D135" s="279">
        <v>42772</v>
      </c>
      <c r="E135" s="252" t="s">
        <v>1000</v>
      </c>
      <c r="F135" s="254" t="s">
        <v>2318</v>
      </c>
      <c r="G135" s="252">
        <v>808000410</v>
      </c>
      <c r="H135" s="258" t="s">
        <v>2316</v>
      </c>
      <c r="I135" s="252" t="s">
        <v>2319</v>
      </c>
    </row>
    <row r="136" spans="1:9" x14ac:dyDescent="0.25">
      <c r="A136" s="421">
        <v>135</v>
      </c>
      <c r="B136" s="278">
        <v>135</v>
      </c>
      <c r="C136" s="258" t="s">
        <v>2143</v>
      </c>
      <c r="D136" s="279">
        <v>42772</v>
      </c>
      <c r="E136" s="252" t="s">
        <v>447</v>
      </c>
      <c r="F136" s="254" t="s">
        <v>4137</v>
      </c>
      <c r="G136" s="252">
        <v>600004706</v>
      </c>
      <c r="H136" s="258" t="s">
        <v>4134</v>
      </c>
      <c r="I136" s="252" t="s">
        <v>4138</v>
      </c>
    </row>
    <row r="137" spans="1:9" x14ac:dyDescent="0.25">
      <c r="A137" s="421">
        <v>136</v>
      </c>
      <c r="B137" s="278">
        <v>136</v>
      </c>
      <c r="C137" s="258" t="s">
        <v>2709</v>
      </c>
      <c r="D137" s="279">
        <v>42773</v>
      </c>
      <c r="E137" s="252" t="s">
        <v>4143</v>
      </c>
      <c r="F137" s="254" t="s">
        <v>4141</v>
      </c>
      <c r="G137" s="252">
        <v>191069636</v>
      </c>
      <c r="H137" s="258" t="s">
        <v>4140</v>
      </c>
      <c r="I137" s="252" t="s">
        <v>4142</v>
      </c>
    </row>
    <row r="138" spans="1:9" x14ac:dyDescent="0.25">
      <c r="A138" s="421">
        <v>137</v>
      </c>
      <c r="B138" s="278">
        <v>137</v>
      </c>
      <c r="C138" s="258" t="s">
        <v>4150</v>
      </c>
      <c r="D138" s="279">
        <v>42774</v>
      </c>
      <c r="E138" s="252" t="s">
        <v>455</v>
      </c>
      <c r="F138" s="254" t="s">
        <v>4146</v>
      </c>
      <c r="G138" s="252">
        <v>190638152</v>
      </c>
      <c r="H138" s="258" t="s">
        <v>967</v>
      </c>
      <c r="I138" s="252" t="s">
        <v>4147</v>
      </c>
    </row>
    <row r="139" spans="1:9" x14ac:dyDescent="0.25">
      <c r="A139" s="421">
        <v>138</v>
      </c>
      <c r="B139" s="278">
        <v>138</v>
      </c>
      <c r="C139" s="258" t="s">
        <v>1113</v>
      </c>
      <c r="D139" s="279">
        <v>42774</v>
      </c>
      <c r="E139" s="252" t="s">
        <v>2379</v>
      </c>
      <c r="F139" s="254" t="s">
        <v>4152</v>
      </c>
      <c r="G139" s="252">
        <v>190664298</v>
      </c>
      <c r="H139" s="258" t="s">
        <v>967</v>
      </c>
      <c r="I139" s="252" t="s">
        <v>4153</v>
      </c>
    </row>
    <row r="140" spans="1:9" ht="26.4" x14ac:dyDescent="0.25">
      <c r="A140" s="421">
        <v>139</v>
      </c>
      <c r="B140" s="278">
        <v>139</v>
      </c>
      <c r="C140" s="258" t="s">
        <v>3100</v>
      </c>
      <c r="D140" s="279">
        <v>42774</v>
      </c>
      <c r="E140" s="252" t="s">
        <v>956</v>
      </c>
      <c r="F140" s="254" t="s">
        <v>1226</v>
      </c>
      <c r="G140" s="252">
        <v>190341033</v>
      </c>
      <c r="H140" s="258" t="s">
        <v>4155</v>
      </c>
      <c r="I140" s="252" t="s">
        <v>1227</v>
      </c>
    </row>
    <row r="141" spans="1:9" ht="26.4" x14ac:dyDescent="0.25">
      <c r="A141" s="421">
        <v>140</v>
      </c>
      <c r="B141" s="278">
        <v>140</v>
      </c>
      <c r="C141" s="258" t="s">
        <v>3628</v>
      </c>
      <c r="D141" s="279">
        <v>42775</v>
      </c>
      <c r="E141" s="252" t="s">
        <v>1230</v>
      </c>
      <c r="F141" s="254" t="s">
        <v>1232</v>
      </c>
      <c r="G141" s="252">
        <v>190511891</v>
      </c>
      <c r="H141" s="258" t="s">
        <v>967</v>
      </c>
      <c r="I141" s="252" t="s">
        <v>1233</v>
      </c>
    </row>
    <row r="142" spans="1:9" x14ac:dyDescent="0.25">
      <c r="A142" s="421">
        <v>141</v>
      </c>
      <c r="B142" s="278">
        <v>141</v>
      </c>
      <c r="C142" s="280" t="s">
        <v>3628</v>
      </c>
      <c r="D142" s="279">
        <v>42775</v>
      </c>
      <c r="E142" s="252" t="s">
        <v>1236</v>
      </c>
      <c r="F142" s="254" t="s">
        <v>1238</v>
      </c>
      <c r="G142" s="252">
        <v>100664075</v>
      </c>
      <c r="H142" s="258" t="s">
        <v>967</v>
      </c>
      <c r="I142" s="252" t="s">
        <v>1239</v>
      </c>
    </row>
    <row r="143" spans="1:9" x14ac:dyDescent="0.25">
      <c r="A143" s="421">
        <v>142</v>
      </c>
      <c r="B143" s="278">
        <v>142</v>
      </c>
      <c r="C143" s="258" t="s">
        <v>128</v>
      </c>
      <c r="D143" s="279">
        <v>42775</v>
      </c>
      <c r="E143" s="252" t="s">
        <v>2837</v>
      </c>
      <c r="F143" s="254" t="s">
        <v>1241</v>
      </c>
      <c r="G143" s="252">
        <v>100320487</v>
      </c>
      <c r="H143" s="258" t="s">
        <v>967</v>
      </c>
      <c r="I143" s="252" t="s">
        <v>1242</v>
      </c>
    </row>
    <row r="144" spans="1:9" x14ac:dyDescent="0.25">
      <c r="A144" s="421">
        <v>144</v>
      </c>
      <c r="B144" s="278">
        <v>144</v>
      </c>
      <c r="C144" s="258" t="s">
        <v>1109</v>
      </c>
      <c r="D144" s="279">
        <v>42775</v>
      </c>
      <c r="E144" s="252" t="s">
        <v>146</v>
      </c>
      <c r="F144" s="254" t="s">
        <v>1246</v>
      </c>
      <c r="G144" s="252">
        <v>100839215</v>
      </c>
      <c r="H144" s="258" t="s">
        <v>1244</v>
      </c>
      <c r="I144" s="252" t="s">
        <v>1247</v>
      </c>
    </row>
    <row r="145" spans="1:9" x14ac:dyDescent="0.25">
      <c r="A145" s="421">
        <v>145</v>
      </c>
      <c r="B145" s="278">
        <v>145</v>
      </c>
      <c r="C145" s="258" t="s">
        <v>211</v>
      </c>
      <c r="D145" s="279">
        <v>42775</v>
      </c>
      <c r="E145" s="252" t="s">
        <v>2426</v>
      </c>
      <c r="F145" s="254" t="s">
        <v>1250</v>
      </c>
      <c r="G145" s="252">
        <v>100025811</v>
      </c>
      <c r="H145" s="258" t="s">
        <v>1248</v>
      </c>
      <c r="I145" s="252" t="s">
        <v>1251</v>
      </c>
    </row>
    <row r="146" spans="1:9" x14ac:dyDescent="0.25">
      <c r="A146" s="421">
        <v>146</v>
      </c>
      <c r="B146" s="278">
        <v>146</v>
      </c>
      <c r="C146" s="258" t="s">
        <v>3549</v>
      </c>
      <c r="D146" s="279">
        <v>42775</v>
      </c>
      <c r="E146" s="252" t="s">
        <v>329</v>
      </c>
      <c r="F146" s="254" t="s">
        <v>1256</v>
      </c>
      <c r="G146" s="252">
        <v>190800080</v>
      </c>
      <c r="H146" s="258" t="s">
        <v>1253</v>
      </c>
      <c r="I146" s="252" t="s">
        <v>1257</v>
      </c>
    </row>
    <row r="147" spans="1:9" x14ac:dyDescent="0.25">
      <c r="A147" s="421">
        <v>147</v>
      </c>
      <c r="B147" s="278">
        <v>146</v>
      </c>
      <c r="C147" s="258" t="s">
        <v>190</v>
      </c>
      <c r="D147" s="279">
        <v>42776</v>
      </c>
      <c r="E147" s="252" t="s">
        <v>1951</v>
      </c>
      <c r="F147" s="254" t="s">
        <v>1262</v>
      </c>
      <c r="G147" s="252">
        <v>400424686</v>
      </c>
      <c r="H147" s="258" t="s">
        <v>967</v>
      </c>
      <c r="I147" s="252" t="s">
        <v>1263</v>
      </c>
    </row>
    <row r="148" spans="1:9" x14ac:dyDescent="0.25">
      <c r="A148" s="421">
        <v>148</v>
      </c>
      <c r="B148" s="278">
        <v>147</v>
      </c>
      <c r="C148" s="258" t="s">
        <v>462</v>
      </c>
      <c r="D148" s="279">
        <v>42776</v>
      </c>
      <c r="E148" s="252" t="s">
        <v>239</v>
      </c>
      <c r="F148" s="254" t="s">
        <v>1272</v>
      </c>
      <c r="G148" s="252">
        <v>101139097</v>
      </c>
      <c r="H148" s="258" t="s">
        <v>1270</v>
      </c>
      <c r="I148" s="252" t="s">
        <v>1273</v>
      </c>
    </row>
    <row r="149" spans="1:9" ht="26.4" x14ac:dyDescent="0.25">
      <c r="A149" s="421">
        <v>149</v>
      </c>
      <c r="B149" s="278">
        <v>148</v>
      </c>
      <c r="C149" s="258" t="s">
        <v>3658</v>
      </c>
      <c r="D149" s="279">
        <v>42776</v>
      </c>
      <c r="E149" s="252" t="s">
        <v>1638</v>
      </c>
      <c r="F149" s="254" t="s">
        <v>1277</v>
      </c>
      <c r="G149" s="252">
        <v>691584453</v>
      </c>
      <c r="H149" s="258" t="s">
        <v>1275</v>
      </c>
      <c r="I149" s="252" t="s">
        <v>1278</v>
      </c>
    </row>
    <row r="150" spans="1:9" ht="26.4" x14ac:dyDescent="0.25">
      <c r="A150" s="421">
        <v>150</v>
      </c>
      <c r="B150" s="278">
        <v>149</v>
      </c>
      <c r="C150" s="258" t="s">
        <v>3281</v>
      </c>
      <c r="D150" s="279">
        <v>42778</v>
      </c>
      <c r="E150" s="252" t="s">
        <v>1280</v>
      </c>
      <c r="F150" s="254" t="s">
        <v>2060</v>
      </c>
      <c r="G150" s="252">
        <v>191759737</v>
      </c>
      <c r="H150" s="258" t="s">
        <v>1281</v>
      </c>
      <c r="I150" s="252" t="s">
        <v>2061</v>
      </c>
    </row>
    <row r="151" spans="1:9" x14ac:dyDescent="0.25">
      <c r="A151" s="421">
        <v>151</v>
      </c>
      <c r="B151" s="278">
        <v>150</v>
      </c>
      <c r="C151" s="258" t="s">
        <v>1004</v>
      </c>
      <c r="D151" s="279">
        <v>42779</v>
      </c>
      <c r="E151" s="252" t="s">
        <v>2117</v>
      </c>
      <c r="F151" s="254" t="s">
        <v>2065</v>
      </c>
      <c r="G151" s="252">
        <v>190819886</v>
      </c>
      <c r="H151" s="258" t="s">
        <v>967</v>
      </c>
      <c r="I151" s="252" t="s">
        <v>2066</v>
      </c>
    </row>
    <row r="152" spans="1:9" x14ac:dyDescent="0.25">
      <c r="A152" s="421">
        <v>152</v>
      </c>
      <c r="B152" s="278">
        <v>151</v>
      </c>
      <c r="C152" s="258" t="s">
        <v>262</v>
      </c>
      <c r="D152" s="279">
        <v>42779</v>
      </c>
      <c r="E152" s="252" t="s">
        <v>863</v>
      </c>
      <c r="F152" s="254" t="s">
        <v>2069</v>
      </c>
      <c r="G152" s="252">
        <v>690849523</v>
      </c>
      <c r="H152" s="258" t="s">
        <v>967</v>
      </c>
      <c r="I152" s="252" t="s">
        <v>2070</v>
      </c>
    </row>
    <row r="153" spans="1:9" ht="26.4" x14ac:dyDescent="0.25">
      <c r="A153" s="421">
        <v>153</v>
      </c>
      <c r="B153" s="278">
        <v>152</v>
      </c>
      <c r="C153" s="258" t="s">
        <v>173</v>
      </c>
      <c r="D153" s="279">
        <v>42780</v>
      </c>
      <c r="E153" s="252" t="s">
        <v>998</v>
      </c>
      <c r="F153" s="254" t="s">
        <v>1751</v>
      </c>
      <c r="G153" s="252">
        <v>690820813</v>
      </c>
      <c r="H153" s="258" t="s">
        <v>1749</v>
      </c>
      <c r="I153" s="252" t="s">
        <v>1752</v>
      </c>
    </row>
    <row r="154" spans="1:9" x14ac:dyDescent="0.25">
      <c r="A154" s="421">
        <v>154</v>
      </c>
      <c r="B154" s="278">
        <v>153</v>
      </c>
      <c r="C154" s="258" t="s">
        <v>3105</v>
      </c>
      <c r="D154" s="279">
        <v>42780</v>
      </c>
      <c r="E154" s="252" t="s">
        <v>528</v>
      </c>
      <c r="F154" s="254" t="s">
        <v>1756</v>
      </c>
      <c r="G154" s="252">
        <v>100068356</v>
      </c>
      <c r="H154" s="258" t="s">
        <v>1754</v>
      </c>
      <c r="I154" s="252" t="s">
        <v>1757</v>
      </c>
    </row>
    <row r="155" spans="1:9" x14ac:dyDescent="0.25">
      <c r="A155" s="421">
        <v>155</v>
      </c>
      <c r="B155" s="278">
        <v>154</v>
      </c>
      <c r="C155" s="258" t="s">
        <v>2962</v>
      </c>
      <c r="D155" s="253">
        <v>42780</v>
      </c>
      <c r="E155" s="252" t="s">
        <v>1005</v>
      </c>
      <c r="F155" s="254" t="s">
        <v>1763</v>
      </c>
      <c r="G155" s="252">
        <v>101116081</v>
      </c>
      <c r="H155" s="258" t="s">
        <v>3486</v>
      </c>
      <c r="I155" s="252" t="s">
        <v>1764</v>
      </c>
    </row>
    <row r="156" spans="1:9" ht="26.4" x14ac:dyDescent="0.25">
      <c r="A156" s="421">
        <v>156</v>
      </c>
      <c r="B156" s="278">
        <v>155</v>
      </c>
      <c r="C156" s="258" t="s">
        <v>386</v>
      </c>
      <c r="D156" s="253">
        <v>42780</v>
      </c>
      <c r="E156" s="252" t="s">
        <v>1766</v>
      </c>
      <c r="F156" s="254" t="s">
        <v>3431</v>
      </c>
      <c r="G156" s="252">
        <v>192425076</v>
      </c>
      <c r="H156" s="258" t="s">
        <v>967</v>
      </c>
      <c r="I156" s="252" t="s">
        <v>3430</v>
      </c>
    </row>
    <row r="157" spans="1:9" x14ac:dyDescent="0.25">
      <c r="A157" s="421">
        <v>157</v>
      </c>
      <c r="B157" s="278">
        <v>156</v>
      </c>
      <c r="C157" s="258" t="s">
        <v>3261</v>
      </c>
      <c r="D157" s="253">
        <v>42780</v>
      </c>
      <c r="E157" s="252" t="s">
        <v>5</v>
      </c>
      <c r="F157" s="254" t="s">
        <v>3434</v>
      </c>
      <c r="G157" s="252">
        <v>100067717</v>
      </c>
      <c r="H157" s="258" t="s">
        <v>967</v>
      </c>
      <c r="I157" s="252" t="s">
        <v>3435</v>
      </c>
    </row>
    <row r="158" spans="1:9" ht="39.6" x14ac:dyDescent="0.25">
      <c r="A158" s="421">
        <v>158</v>
      </c>
      <c r="B158" s="278">
        <v>157</v>
      </c>
      <c r="C158" s="258" t="s">
        <v>1918</v>
      </c>
      <c r="D158" s="253">
        <v>42781</v>
      </c>
      <c r="E158" s="252" t="s">
        <v>3139</v>
      </c>
      <c r="F158" s="254" t="s">
        <v>3439</v>
      </c>
      <c r="G158" s="252">
        <v>800003702</v>
      </c>
      <c r="H158" s="258" t="s">
        <v>3437</v>
      </c>
      <c r="I158" s="252" t="s">
        <v>3440</v>
      </c>
    </row>
    <row r="159" spans="1:9" x14ac:dyDescent="0.25">
      <c r="A159" s="421">
        <v>159</v>
      </c>
      <c r="B159" s="278">
        <v>158</v>
      </c>
      <c r="C159" s="258" t="s">
        <v>3207</v>
      </c>
      <c r="D159" s="253">
        <v>42781</v>
      </c>
      <c r="E159" s="252" t="s">
        <v>3778</v>
      </c>
      <c r="F159" s="254" t="s">
        <v>3444</v>
      </c>
      <c r="G159" s="252">
        <v>191486288</v>
      </c>
      <c r="H159" s="258" t="s">
        <v>3442</v>
      </c>
      <c r="I159" s="252" t="s">
        <v>3445</v>
      </c>
    </row>
    <row r="160" spans="1:9" x14ac:dyDescent="0.25">
      <c r="A160" s="421">
        <v>160</v>
      </c>
      <c r="B160" s="278">
        <v>159</v>
      </c>
      <c r="C160" s="258" t="s">
        <v>2765</v>
      </c>
      <c r="D160" s="253">
        <v>42781</v>
      </c>
      <c r="E160" s="252" t="s">
        <v>1927</v>
      </c>
      <c r="F160" s="254" t="s">
        <v>3450</v>
      </c>
      <c r="G160" s="252">
        <v>190032958</v>
      </c>
      <c r="H160" s="258" t="s">
        <v>3447</v>
      </c>
      <c r="I160" s="252" t="s">
        <v>3453</v>
      </c>
    </row>
    <row r="161" spans="1:9" ht="26.4" x14ac:dyDescent="0.25">
      <c r="A161" s="421">
        <v>161</v>
      </c>
      <c r="B161" s="278">
        <v>160</v>
      </c>
      <c r="C161" s="258" t="s">
        <v>3572</v>
      </c>
      <c r="D161" s="253">
        <v>42782</v>
      </c>
      <c r="E161" s="252" t="s">
        <v>911</v>
      </c>
      <c r="F161" s="254" t="s">
        <v>3456</v>
      </c>
      <c r="G161" s="252">
        <v>191224163</v>
      </c>
      <c r="H161" s="258" t="s">
        <v>967</v>
      </c>
      <c r="I161" s="252" t="s">
        <v>3457</v>
      </c>
    </row>
    <row r="162" spans="1:9" x14ac:dyDescent="0.25">
      <c r="A162" s="421">
        <v>162</v>
      </c>
      <c r="B162" s="278">
        <v>161</v>
      </c>
      <c r="C162" s="258" t="s">
        <v>387</v>
      </c>
      <c r="D162" s="253">
        <v>42782</v>
      </c>
      <c r="E162" s="252" t="s">
        <v>3629</v>
      </c>
      <c r="F162" s="254" t="s">
        <v>3461</v>
      </c>
      <c r="G162" s="252">
        <v>100286955</v>
      </c>
      <c r="H162" s="258" t="s">
        <v>3459</v>
      </c>
      <c r="I162" s="252" t="s">
        <v>3462</v>
      </c>
    </row>
    <row r="163" spans="1:9" ht="26.4" x14ac:dyDescent="0.25">
      <c r="A163" s="421">
        <v>163</v>
      </c>
      <c r="B163" s="278">
        <v>162</v>
      </c>
      <c r="C163" s="258" t="s">
        <v>151</v>
      </c>
      <c r="D163" s="253">
        <v>42783</v>
      </c>
      <c r="E163" s="252" t="s">
        <v>2107</v>
      </c>
      <c r="F163" s="254" t="s">
        <v>3466</v>
      </c>
      <c r="G163" s="252">
        <v>691531787</v>
      </c>
      <c r="H163" s="258" t="s">
        <v>3464</v>
      </c>
      <c r="I163" s="252" t="s">
        <v>3467</v>
      </c>
    </row>
    <row r="164" spans="1:9" ht="39.6" x14ac:dyDescent="0.25">
      <c r="A164" s="421">
        <v>164</v>
      </c>
      <c r="B164" s="278">
        <v>163</v>
      </c>
      <c r="C164" s="258" t="s">
        <v>342</v>
      </c>
      <c r="D164" s="253">
        <v>42783</v>
      </c>
      <c r="E164" s="252" t="s">
        <v>2744</v>
      </c>
      <c r="F164" s="254" t="s">
        <v>3471</v>
      </c>
      <c r="G164" s="252">
        <v>691576283</v>
      </c>
      <c r="H164" s="258" t="s">
        <v>967</v>
      </c>
      <c r="I164" s="252" t="s">
        <v>3472</v>
      </c>
    </row>
    <row r="165" spans="1:9" x14ac:dyDescent="0.25">
      <c r="A165" s="421">
        <v>165</v>
      </c>
      <c r="B165" s="278">
        <v>164</v>
      </c>
      <c r="C165" s="258" t="s">
        <v>3550</v>
      </c>
      <c r="D165" s="253">
        <v>42783</v>
      </c>
      <c r="E165" s="252" t="s">
        <v>244</v>
      </c>
      <c r="F165" s="254" t="s">
        <v>3474</v>
      </c>
      <c r="G165" s="252">
        <v>100071593</v>
      </c>
      <c r="H165" s="258" t="s">
        <v>967</v>
      </c>
      <c r="I165" s="252" t="s">
        <v>3475</v>
      </c>
    </row>
    <row r="166" spans="1:9" ht="26.4" x14ac:dyDescent="0.25">
      <c r="A166" s="421">
        <v>166</v>
      </c>
      <c r="B166" s="278">
        <v>165</v>
      </c>
      <c r="C166" s="258" t="s">
        <v>494</v>
      </c>
      <c r="D166" s="253">
        <v>42783</v>
      </c>
      <c r="E166" s="252" t="s">
        <v>3477</v>
      </c>
      <c r="F166" s="254" t="s">
        <v>3480</v>
      </c>
      <c r="G166" s="252">
        <v>601058698</v>
      </c>
      <c r="H166" s="258" t="s">
        <v>3478</v>
      </c>
      <c r="I166" s="252" t="s">
        <v>3481</v>
      </c>
    </row>
    <row r="167" spans="1:9" x14ac:dyDescent="0.25">
      <c r="A167" s="421">
        <v>167</v>
      </c>
      <c r="B167" s="278">
        <v>166</v>
      </c>
      <c r="C167" s="258" t="s">
        <v>3839</v>
      </c>
      <c r="D167" s="253">
        <v>42786</v>
      </c>
      <c r="E167" s="252" t="s">
        <v>821</v>
      </c>
      <c r="F167" s="254" t="s">
        <v>3338</v>
      </c>
      <c r="G167" s="252">
        <v>191288011</v>
      </c>
      <c r="H167" s="258" t="s">
        <v>3336</v>
      </c>
      <c r="I167" s="252" t="s">
        <v>3339</v>
      </c>
    </row>
    <row r="168" spans="1:9" x14ac:dyDescent="0.25">
      <c r="A168" s="421">
        <v>168</v>
      </c>
      <c r="B168" s="278">
        <v>167</v>
      </c>
      <c r="C168" s="258" t="s">
        <v>3239</v>
      </c>
      <c r="D168" s="253">
        <v>42786</v>
      </c>
      <c r="E168" s="252" t="s">
        <v>3341</v>
      </c>
      <c r="F168" s="254" t="s">
        <v>3343</v>
      </c>
      <c r="G168" s="252">
        <v>690237156</v>
      </c>
      <c r="H168" s="258" t="s">
        <v>967</v>
      </c>
      <c r="I168" s="252" t="s">
        <v>3344</v>
      </c>
    </row>
    <row r="169" spans="1:9" x14ac:dyDescent="0.25">
      <c r="A169" s="421">
        <v>169</v>
      </c>
      <c r="B169" s="278">
        <v>168</v>
      </c>
      <c r="C169" s="258" t="s">
        <v>2784</v>
      </c>
      <c r="D169" s="253">
        <v>42788</v>
      </c>
      <c r="E169" s="252" t="s">
        <v>981</v>
      </c>
      <c r="F169" s="254" t="s">
        <v>3347</v>
      </c>
      <c r="G169" s="252">
        <v>101366890</v>
      </c>
      <c r="H169" s="258" t="s">
        <v>967</v>
      </c>
      <c r="I169" s="252" t="s">
        <v>3348</v>
      </c>
    </row>
    <row r="170" spans="1:9" ht="26.4" x14ac:dyDescent="0.25">
      <c r="A170" s="421">
        <v>170</v>
      </c>
      <c r="B170" s="278">
        <v>169</v>
      </c>
      <c r="C170" s="258" t="s">
        <v>1119</v>
      </c>
      <c r="D170" s="253">
        <v>42792</v>
      </c>
      <c r="E170" s="252" t="s">
        <v>3590</v>
      </c>
      <c r="F170" s="254" t="s">
        <v>3352</v>
      </c>
      <c r="G170" s="252">
        <v>691571317</v>
      </c>
      <c r="H170" s="258" t="s">
        <v>3350</v>
      </c>
      <c r="I170" s="252" t="s">
        <v>3353</v>
      </c>
    </row>
    <row r="171" spans="1:9" ht="26.4" x14ac:dyDescent="0.25">
      <c r="A171" s="421">
        <v>171</v>
      </c>
      <c r="B171" s="278">
        <v>170</v>
      </c>
      <c r="C171" s="258" t="s">
        <v>384</v>
      </c>
      <c r="D171" s="253">
        <v>42793</v>
      </c>
      <c r="E171" s="252" t="s">
        <v>3838</v>
      </c>
      <c r="F171" s="254" t="s">
        <v>3363</v>
      </c>
      <c r="G171" s="252">
        <v>191075936</v>
      </c>
      <c r="H171" s="258" t="s">
        <v>967</v>
      </c>
      <c r="I171" s="252" t="s">
        <v>3364</v>
      </c>
    </row>
    <row r="172" spans="1:9" ht="26.4" x14ac:dyDescent="0.25">
      <c r="A172" s="421">
        <v>172</v>
      </c>
      <c r="B172" s="278">
        <v>171</v>
      </c>
      <c r="C172" s="258" t="s">
        <v>3310</v>
      </c>
      <c r="D172" s="253">
        <v>42793</v>
      </c>
      <c r="E172" s="252" t="s">
        <v>224</v>
      </c>
      <c r="F172" s="254" t="s">
        <v>763</v>
      </c>
      <c r="G172" s="252">
        <v>190304908</v>
      </c>
      <c r="H172" s="258" t="s">
        <v>3366</v>
      </c>
      <c r="I172" s="252" t="s">
        <v>764</v>
      </c>
    </row>
    <row r="173" spans="1:9" x14ac:dyDescent="0.25">
      <c r="A173" s="421">
        <v>173</v>
      </c>
      <c r="B173" s="278">
        <v>172</v>
      </c>
      <c r="C173" s="258" t="s">
        <v>708</v>
      </c>
      <c r="D173" s="253">
        <v>42794</v>
      </c>
      <c r="E173" s="252" t="s">
        <v>767</v>
      </c>
      <c r="F173" s="254" t="s">
        <v>769</v>
      </c>
      <c r="G173" s="252">
        <v>190818729</v>
      </c>
      <c r="H173" s="258" t="s">
        <v>967</v>
      </c>
      <c r="I173" s="252" t="s">
        <v>770</v>
      </c>
    </row>
    <row r="174" spans="1:9" x14ac:dyDescent="0.25">
      <c r="A174" s="421">
        <v>174</v>
      </c>
      <c r="B174" s="278">
        <v>173</v>
      </c>
      <c r="C174" s="258" t="s">
        <v>241</v>
      </c>
      <c r="D174" s="253">
        <v>42794</v>
      </c>
      <c r="E174" s="252" t="s">
        <v>188</v>
      </c>
      <c r="F174" s="254" t="s">
        <v>774</v>
      </c>
      <c r="G174" s="252">
        <v>190270596</v>
      </c>
      <c r="H174" s="258" t="s">
        <v>772</v>
      </c>
      <c r="I174" s="252" t="s">
        <v>776</v>
      </c>
    </row>
    <row r="175" spans="1:9" x14ac:dyDescent="0.25">
      <c r="A175" s="421">
        <v>175</v>
      </c>
      <c r="B175" s="278">
        <v>174</v>
      </c>
      <c r="C175" s="258" t="s">
        <v>3507</v>
      </c>
      <c r="D175" s="253">
        <v>42794</v>
      </c>
      <c r="E175" s="252" t="s">
        <v>3220</v>
      </c>
      <c r="F175" s="254" t="s">
        <v>778</v>
      </c>
      <c r="G175" s="252">
        <v>101371967</v>
      </c>
      <c r="H175" s="258" t="s">
        <v>777</v>
      </c>
      <c r="I175" s="252" t="s">
        <v>779</v>
      </c>
    </row>
    <row r="176" spans="1:9" ht="26.4" x14ac:dyDescent="0.25">
      <c r="A176" s="421">
        <v>176</v>
      </c>
      <c r="B176" s="278">
        <v>175</v>
      </c>
      <c r="C176" s="258" t="s">
        <v>2399</v>
      </c>
      <c r="D176" s="253">
        <v>42795</v>
      </c>
      <c r="E176" s="252" t="s">
        <v>3650</v>
      </c>
      <c r="F176" s="254" t="s">
        <v>783</v>
      </c>
      <c r="G176" s="252">
        <v>600204179</v>
      </c>
      <c r="H176" s="258" t="s">
        <v>967</v>
      </c>
      <c r="I176" s="252" t="s">
        <v>784</v>
      </c>
    </row>
    <row r="177" spans="1:9" x14ac:dyDescent="0.25">
      <c r="A177" s="421">
        <v>177</v>
      </c>
      <c r="B177" s="278">
        <v>176</v>
      </c>
      <c r="C177" s="258" t="s">
        <v>3621</v>
      </c>
      <c r="D177" s="253">
        <v>42795</v>
      </c>
      <c r="E177" s="252" t="s">
        <v>1644</v>
      </c>
      <c r="F177" s="254" t="s">
        <v>787</v>
      </c>
      <c r="G177" s="252">
        <v>100315288</v>
      </c>
      <c r="H177" s="258" t="s">
        <v>786</v>
      </c>
      <c r="I177" s="252" t="s">
        <v>788</v>
      </c>
    </row>
    <row r="178" spans="1:9" x14ac:dyDescent="0.25">
      <c r="A178" s="421">
        <v>178</v>
      </c>
      <c r="B178" s="278">
        <v>177</v>
      </c>
      <c r="C178" s="258" t="s">
        <v>3607</v>
      </c>
      <c r="D178" s="253">
        <v>42795</v>
      </c>
      <c r="E178" s="252" t="s">
        <v>1656</v>
      </c>
      <c r="F178" s="254" t="s">
        <v>792</v>
      </c>
      <c r="G178" s="252">
        <v>101439397</v>
      </c>
      <c r="H178" s="258" t="s">
        <v>790</v>
      </c>
      <c r="I178" s="252" t="s">
        <v>793</v>
      </c>
    </row>
    <row r="179" spans="1:9" ht="26.4" x14ac:dyDescent="0.25">
      <c r="A179" s="421">
        <v>179</v>
      </c>
      <c r="B179" s="278">
        <v>178</v>
      </c>
      <c r="C179" s="258" t="s">
        <v>3607</v>
      </c>
      <c r="D179" s="253">
        <v>42795</v>
      </c>
      <c r="E179" s="252" t="s">
        <v>339</v>
      </c>
      <c r="F179" s="254" t="s">
        <v>796</v>
      </c>
      <c r="G179" s="252">
        <v>690629013</v>
      </c>
      <c r="H179" s="258" t="s">
        <v>967</v>
      </c>
      <c r="I179" s="252" t="s">
        <v>1368</v>
      </c>
    </row>
    <row r="180" spans="1:9" ht="26.4" x14ac:dyDescent="0.25">
      <c r="A180" s="421">
        <v>180</v>
      </c>
      <c r="B180" s="278">
        <v>179</v>
      </c>
      <c r="C180" s="258" t="s">
        <v>3865</v>
      </c>
      <c r="D180" s="253">
        <v>42796</v>
      </c>
      <c r="E180" s="252" t="s">
        <v>3627</v>
      </c>
      <c r="F180" s="254" t="s">
        <v>1371</v>
      </c>
      <c r="G180" s="252">
        <v>690027166</v>
      </c>
      <c r="H180" s="258" t="s">
        <v>1369</v>
      </c>
      <c r="I180" s="252" t="s">
        <v>1372</v>
      </c>
    </row>
    <row r="181" spans="1:9" x14ac:dyDescent="0.25">
      <c r="A181" s="421">
        <v>181</v>
      </c>
      <c r="B181" s="278">
        <v>180</v>
      </c>
      <c r="C181" s="258" t="s">
        <v>684</v>
      </c>
      <c r="D181" s="253">
        <v>42797</v>
      </c>
      <c r="E181" s="252" t="s">
        <v>1375</v>
      </c>
      <c r="F181" s="254" t="s">
        <v>1378</v>
      </c>
      <c r="G181" s="252">
        <v>191131834</v>
      </c>
      <c r="H181" s="258" t="s">
        <v>967</v>
      </c>
      <c r="I181" s="252" t="s">
        <v>1379</v>
      </c>
    </row>
    <row r="182" spans="1:9" x14ac:dyDescent="0.25">
      <c r="A182" s="421">
        <v>182</v>
      </c>
      <c r="B182" s="278">
        <v>181</v>
      </c>
      <c r="C182" s="258" t="s">
        <v>10</v>
      </c>
      <c r="D182" s="253">
        <v>42797</v>
      </c>
      <c r="E182" s="252" t="s">
        <v>1383</v>
      </c>
      <c r="F182" s="254" t="s">
        <v>1381</v>
      </c>
      <c r="G182" s="252">
        <v>100129695</v>
      </c>
      <c r="H182" s="258" t="s">
        <v>967</v>
      </c>
      <c r="I182" s="252" t="s">
        <v>1459</v>
      </c>
    </row>
    <row r="183" spans="1:9" x14ac:dyDescent="0.25">
      <c r="A183" s="421">
        <v>183</v>
      </c>
      <c r="B183" s="278">
        <v>182</v>
      </c>
      <c r="C183" s="258" t="s">
        <v>1121</v>
      </c>
      <c r="D183" s="253">
        <v>42797</v>
      </c>
      <c r="E183" s="252" t="s">
        <v>209</v>
      </c>
      <c r="F183" s="254" t="s">
        <v>1386</v>
      </c>
      <c r="G183" s="252">
        <v>191118996</v>
      </c>
      <c r="H183" s="258" t="s">
        <v>1384</v>
      </c>
      <c r="I183" s="252" t="s">
        <v>1387</v>
      </c>
    </row>
    <row r="184" spans="1:9" x14ac:dyDescent="0.25">
      <c r="A184" s="421">
        <v>184</v>
      </c>
      <c r="B184" s="278">
        <v>183</v>
      </c>
      <c r="C184" s="258" t="s">
        <v>3132</v>
      </c>
      <c r="D184" s="253">
        <v>42797</v>
      </c>
      <c r="E184" s="252" t="s">
        <v>1393</v>
      </c>
      <c r="F184" s="254" t="s">
        <v>1390</v>
      </c>
      <c r="G184" s="252">
        <v>101026338</v>
      </c>
      <c r="H184" s="258" t="s">
        <v>1388</v>
      </c>
      <c r="I184" s="252" t="s">
        <v>1391</v>
      </c>
    </row>
    <row r="185" spans="1:9" ht="26.4" x14ac:dyDescent="0.25">
      <c r="A185" s="421">
        <v>185</v>
      </c>
      <c r="B185" s="278">
        <v>184</v>
      </c>
      <c r="C185" s="258" t="s">
        <v>8</v>
      </c>
      <c r="D185" s="253">
        <v>42800</v>
      </c>
      <c r="E185" s="252" t="s">
        <v>1394</v>
      </c>
      <c r="F185" s="254" t="s">
        <v>1396</v>
      </c>
      <c r="G185" s="252">
        <v>691771928</v>
      </c>
      <c r="H185" s="258" t="s">
        <v>967</v>
      </c>
      <c r="I185" s="252" t="s">
        <v>1397</v>
      </c>
    </row>
    <row r="186" spans="1:9" ht="39.6" x14ac:dyDescent="0.25">
      <c r="A186" s="421">
        <v>186</v>
      </c>
      <c r="B186" s="278">
        <v>185</v>
      </c>
      <c r="C186" s="258" t="s">
        <v>3307</v>
      </c>
      <c r="D186" s="253">
        <v>42800</v>
      </c>
      <c r="E186" s="252" t="s">
        <v>1906</v>
      </c>
      <c r="F186" s="254" t="s">
        <v>1400</v>
      </c>
      <c r="G186" s="252">
        <v>690250660</v>
      </c>
      <c r="H186" s="258" t="s">
        <v>967</v>
      </c>
      <c r="I186" s="252" t="s">
        <v>1401</v>
      </c>
    </row>
    <row r="187" spans="1:9" x14ac:dyDescent="0.25">
      <c r="A187" s="421">
        <v>187</v>
      </c>
      <c r="B187" s="278">
        <v>186</v>
      </c>
      <c r="C187" s="258" t="s">
        <v>3858</v>
      </c>
      <c r="D187" s="253">
        <v>42801</v>
      </c>
      <c r="E187" s="252" t="s">
        <v>1919</v>
      </c>
      <c r="F187" s="254" t="s">
        <v>1404</v>
      </c>
      <c r="G187" s="252">
        <v>100179084</v>
      </c>
      <c r="H187" s="258" t="s">
        <v>967</v>
      </c>
      <c r="I187" s="252" t="s">
        <v>1405</v>
      </c>
    </row>
    <row r="188" spans="1:9" x14ac:dyDescent="0.25">
      <c r="A188" s="421">
        <v>188</v>
      </c>
      <c r="B188" s="278">
        <v>187</v>
      </c>
      <c r="C188" s="258" t="s">
        <v>2835</v>
      </c>
      <c r="D188" s="253">
        <v>42801</v>
      </c>
      <c r="E188" s="252" t="s">
        <v>2826</v>
      </c>
      <c r="F188" s="254" t="s">
        <v>1409</v>
      </c>
      <c r="G188" s="252">
        <v>101117856</v>
      </c>
      <c r="H188" s="258" t="s">
        <v>1407</v>
      </c>
      <c r="I188" s="252" t="s">
        <v>1410</v>
      </c>
    </row>
    <row r="189" spans="1:9" x14ac:dyDescent="0.25">
      <c r="A189" s="421">
        <v>189</v>
      </c>
      <c r="B189" s="278">
        <v>188</v>
      </c>
      <c r="C189" s="258" t="s">
        <v>2618</v>
      </c>
      <c r="D189" s="253">
        <v>42801</v>
      </c>
      <c r="E189" s="252" t="s">
        <v>1412</v>
      </c>
      <c r="F189" s="254" t="s">
        <v>1415</v>
      </c>
      <c r="G189" s="252">
        <v>191761646</v>
      </c>
      <c r="H189" s="258" t="s">
        <v>1413</v>
      </c>
      <c r="I189" s="252" t="s">
        <v>1416</v>
      </c>
    </row>
    <row r="190" spans="1:9" x14ac:dyDescent="0.25">
      <c r="A190" s="421">
        <v>190</v>
      </c>
      <c r="B190" s="278">
        <v>189</v>
      </c>
      <c r="C190" s="258" t="s">
        <v>1698</v>
      </c>
      <c r="D190" s="253">
        <v>42803</v>
      </c>
      <c r="E190" s="252" t="s">
        <v>1419</v>
      </c>
      <c r="F190" s="254" t="s">
        <v>1422</v>
      </c>
      <c r="G190" s="252">
        <v>192629271</v>
      </c>
      <c r="H190" s="258" t="s">
        <v>967</v>
      </c>
      <c r="I190" s="252" t="s">
        <v>1421</v>
      </c>
    </row>
    <row r="191" spans="1:9" ht="26.4" x14ac:dyDescent="0.25">
      <c r="A191" s="421">
        <v>191</v>
      </c>
      <c r="B191" s="278">
        <v>190</v>
      </c>
      <c r="C191" s="258" t="s">
        <v>420</v>
      </c>
      <c r="D191" s="253">
        <v>42803</v>
      </c>
      <c r="E191" s="252" t="s">
        <v>1424</v>
      </c>
      <c r="F191" s="254" t="s">
        <v>1427</v>
      </c>
      <c r="G191" s="252">
        <v>190819978</v>
      </c>
      <c r="H191" s="258" t="s">
        <v>1425</v>
      </c>
      <c r="I191" s="252" t="s">
        <v>1428</v>
      </c>
    </row>
    <row r="192" spans="1:9" x14ac:dyDescent="0.25">
      <c r="A192" s="421">
        <v>192</v>
      </c>
      <c r="B192" s="278">
        <v>191</v>
      </c>
      <c r="C192" s="258" t="s">
        <v>1540</v>
      </c>
      <c r="D192" s="253">
        <v>42804</v>
      </c>
      <c r="E192" s="252" t="s">
        <v>2668</v>
      </c>
      <c r="F192" s="254" t="s">
        <v>1433</v>
      </c>
      <c r="G192" s="252">
        <v>191428080</v>
      </c>
      <c r="H192" s="258" t="s">
        <v>967</v>
      </c>
      <c r="I192" s="252" t="s">
        <v>1431</v>
      </c>
    </row>
    <row r="193" spans="1:9" x14ac:dyDescent="0.25">
      <c r="A193" s="421">
        <v>193</v>
      </c>
      <c r="B193" s="278">
        <v>192</v>
      </c>
      <c r="C193" s="258" t="s">
        <v>318</v>
      </c>
      <c r="D193" s="253">
        <v>42804</v>
      </c>
      <c r="E193" s="252" t="s">
        <v>421</v>
      </c>
      <c r="F193" s="254" t="s">
        <v>1437</v>
      </c>
      <c r="G193" s="252">
        <v>808000701</v>
      </c>
      <c r="H193" s="258" t="s">
        <v>967</v>
      </c>
      <c r="I193" s="252" t="s">
        <v>1435</v>
      </c>
    </row>
    <row r="194" spans="1:9" x14ac:dyDescent="0.25">
      <c r="A194" s="421">
        <v>194</v>
      </c>
      <c r="B194" s="278">
        <v>193</v>
      </c>
      <c r="C194" s="258" t="s">
        <v>3211</v>
      </c>
      <c r="D194" s="253">
        <v>42807</v>
      </c>
      <c r="E194" s="252" t="s">
        <v>1438</v>
      </c>
      <c r="F194" s="254" t="s">
        <v>1441</v>
      </c>
      <c r="G194" s="252">
        <v>101309873</v>
      </c>
      <c r="H194" s="258" t="s">
        <v>967</v>
      </c>
      <c r="I194" s="252" t="s">
        <v>1442</v>
      </c>
    </row>
    <row r="195" spans="1:9" x14ac:dyDescent="0.25">
      <c r="A195" s="421">
        <v>195</v>
      </c>
      <c r="B195" s="278">
        <v>194</v>
      </c>
      <c r="C195" s="258" t="s">
        <v>1633</v>
      </c>
      <c r="D195" s="253">
        <v>42807</v>
      </c>
      <c r="E195" s="252" t="s">
        <v>1444</v>
      </c>
      <c r="F195" s="254" t="s">
        <v>1447</v>
      </c>
      <c r="G195" s="252">
        <v>191426884</v>
      </c>
      <c r="H195" s="258" t="s">
        <v>1445</v>
      </c>
      <c r="I195" s="252" t="s">
        <v>1449</v>
      </c>
    </row>
    <row r="196" spans="1:9" x14ac:dyDescent="0.25">
      <c r="A196" s="421">
        <v>196</v>
      </c>
      <c r="B196" s="278">
        <v>195</v>
      </c>
      <c r="C196" s="258" t="s">
        <v>2864</v>
      </c>
      <c r="D196" s="253">
        <v>42807</v>
      </c>
      <c r="E196" s="252" t="s">
        <v>892</v>
      </c>
      <c r="F196" s="254" t="s">
        <v>1453</v>
      </c>
      <c r="G196" s="252">
        <v>100390954</v>
      </c>
      <c r="H196" s="258" t="s">
        <v>1451</v>
      </c>
      <c r="I196" s="252" t="s">
        <v>1454</v>
      </c>
    </row>
    <row r="197" spans="1:9" ht="39.6" x14ac:dyDescent="0.25">
      <c r="A197" s="421">
        <v>197</v>
      </c>
      <c r="B197" s="278">
        <v>196</v>
      </c>
      <c r="C197" s="258" t="s">
        <v>2360</v>
      </c>
      <c r="D197" s="253">
        <v>42808</v>
      </c>
      <c r="E197" s="252" t="s">
        <v>3099</v>
      </c>
      <c r="F197" s="254" t="s">
        <v>1462</v>
      </c>
      <c r="G197" s="252">
        <v>690397548</v>
      </c>
      <c r="H197" s="258" t="s">
        <v>1460</v>
      </c>
      <c r="I197" s="252" t="s">
        <v>1463</v>
      </c>
    </row>
    <row r="198" spans="1:9" x14ac:dyDescent="0.25">
      <c r="A198" s="421">
        <v>198</v>
      </c>
      <c r="B198" s="278">
        <v>197</v>
      </c>
      <c r="C198" s="258" t="s">
        <v>1798</v>
      </c>
      <c r="D198" s="253">
        <v>42808</v>
      </c>
      <c r="E198" s="252" t="s">
        <v>1471</v>
      </c>
      <c r="F198" s="254" t="s">
        <v>1468</v>
      </c>
      <c r="G198" s="252">
        <v>100320382</v>
      </c>
      <c r="H198" s="258" t="s">
        <v>1465</v>
      </c>
      <c r="I198" s="252" t="s">
        <v>1469</v>
      </c>
    </row>
    <row r="199" spans="1:9" ht="26.4" x14ac:dyDescent="0.25">
      <c r="A199" s="421">
        <v>199</v>
      </c>
      <c r="B199" s="278">
        <v>198</v>
      </c>
      <c r="C199" s="258" t="s">
        <v>1928</v>
      </c>
      <c r="D199" s="253">
        <v>42808</v>
      </c>
      <c r="E199" s="252" t="s">
        <v>3582</v>
      </c>
      <c r="F199" s="254" t="s">
        <v>1474</v>
      </c>
      <c r="G199" s="252">
        <v>100338635</v>
      </c>
      <c r="H199" s="258" t="s">
        <v>1472</v>
      </c>
      <c r="I199" s="252" t="s">
        <v>1476</v>
      </c>
    </row>
    <row r="200" spans="1:9" x14ac:dyDescent="0.25">
      <c r="A200" s="421">
        <v>200</v>
      </c>
      <c r="B200" s="278">
        <v>199</v>
      </c>
      <c r="C200" s="258" t="s">
        <v>2829</v>
      </c>
      <c r="D200" s="253">
        <v>42809</v>
      </c>
      <c r="E200" s="252" t="s">
        <v>226</v>
      </c>
      <c r="F200" s="254" t="s">
        <v>1477</v>
      </c>
      <c r="G200" s="252">
        <v>190654467</v>
      </c>
      <c r="H200" s="258" t="s">
        <v>967</v>
      </c>
      <c r="I200" s="252" t="s">
        <v>1478</v>
      </c>
    </row>
    <row r="201" spans="1:9" x14ac:dyDescent="0.25">
      <c r="A201" s="421">
        <v>201</v>
      </c>
      <c r="B201" s="278">
        <v>200</v>
      </c>
      <c r="C201" s="258" t="s">
        <v>1806</v>
      </c>
      <c r="D201" s="253">
        <v>42809</v>
      </c>
      <c r="E201" s="252" t="s">
        <v>3605</v>
      </c>
      <c r="F201" s="254" t="s">
        <v>1485</v>
      </c>
      <c r="G201" s="252">
        <v>190398861</v>
      </c>
      <c r="H201" s="258" t="s">
        <v>1483</v>
      </c>
      <c r="I201" s="252" t="s">
        <v>1486</v>
      </c>
    </row>
    <row r="202" spans="1:9" ht="26.4" x14ac:dyDescent="0.25">
      <c r="A202" s="421">
        <v>202</v>
      </c>
      <c r="B202" s="278">
        <v>201</v>
      </c>
      <c r="C202" s="258" t="s">
        <v>1624</v>
      </c>
      <c r="D202" s="253">
        <v>42809</v>
      </c>
      <c r="E202" s="252" t="s">
        <v>893</v>
      </c>
      <c r="F202" s="254" t="s">
        <v>1490</v>
      </c>
      <c r="G202" s="252">
        <v>691535129</v>
      </c>
      <c r="H202" s="258" t="s">
        <v>1488</v>
      </c>
      <c r="I202" s="252" t="s">
        <v>1491</v>
      </c>
    </row>
    <row r="203" spans="1:9" x14ac:dyDescent="0.25">
      <c r="A203" s="421">
        <v>203</v>
      </c>
      <c r="B203" s="278">
        <v>202</v>
      </c>
      <c r="C203" s="258" t="s">
        <v>341</v>
      </c>
      <c r="D203" s="253">
        <v>42809</v>
      </c>
      <c r="E203" s="252" t="s">
        <v>815</v>
      </c>
      <c r="F203" s="254" t="s">
        <v>1494</v>
      </c>
      <c r="G203" s="252">
        <v>100115154</v>
      </c>
      <c r="H203" s="258" t="s">
        <v>1493</v>
      </c>
      <c r="I203" s="252" t="s">
        <v>1520</v>
      </c>
    </row>
    <row r="204" spans="1:9" ht="26.4" x14ac:dyDescent="0.25">
      <c r="A204" s="421">
        <v>204</v>
      </c>
      <c r="B204" s="278">
        <v>203</v>
      </c>
      <c r="C204" s="258" t="s">
        <v>3776</v>
      </c>
      <c r="D204" s="253">
        <v>42809</v>
      </c>
      <c r="E204" s="252" t="s">
        <v>1623</v>
      </c>
      <c r="F204" s="254" t="s">
        <v>1512</v>
      </c>
      <c r="G204" s="252">
        <v>691422903</v>
      </c>
      <c r="H204" s="258" t="s">
        <v>967</v>
      </c>
      <c r="I204" s="252" t="s">
        <v>1498</v>
      </c>
    </row>
    <row r="205" spans="1:9" x14ac:dyDescent="0.25">
      <c r="A205" s="421">
        <v>205</v>
      </c>
      <c r="B205" s="278">
        <v>204</v>
      </c>
      <c r="C205" s="258" t="s">
        <v>1819</v>
      </c>
      <c r="D205" s="253">
        <v>42809</v>
      </c>
      <c r="E205" s="252" t="s">
        <v>1499</v>
      </c>
      <c r="F205" s="254" t="s">
        <v>1501</v>
      </c>
      <c r="G205" s="252">
        <v>190288096</v>
      </c>
      <c r="H205" s="258" t="s">
        <v>967</v>
      </c>
      <c r="I205" s="252" t="s">
        <v>1502</v>
      </c>
    </row>
    <row r="206" spans="1:9" x14ac:dyDescent="0.25">
      <c r="A206" s="421">
        <v>206</v>
      </c>
      <c r="B206" s="278">
        <v>205</v>
      </c>
      <c r="C206" s="258" t="s">
        <v>2959</v>
      </c>
      <c r="D206" s="253">
        <v>42809</v>
      </c>
      <c r="E206" s="252" t="s">
        <v>1503</v>
      </c>
      <c r="F206" s="254" t="s">
        <v>1505</v>
      </c>
      <c r="G206" s="252">
        <v>690655067</v>
      </c>
      <c r="H206" s="258" t="s">
        <v>1504</v>
      </c>
      <c r="I206" s="252" t="s">
        <v>1506</v>
      </c>
    </row>
    <row r="207" spans="1:9" ht="26.4" x14ac:dyDescent="0.25">
      <c r="A207" s="421">
        <v>207</v>
      </c>
      <c r="B207" s="278">
        <v>206</v>
      </c>
      <c r="C207" s="258" t="s">
        <v>4222</v>
      </c>
      <c r="D207" s="253">
        <v>42810</v>
      </c>
      <c r="E207" s="252" t="s">
        <v>70</v>
      </c>
      <c r="F207" s="254" t="s">
        <v>1515</v>
      </c>
      <c r="G207" s="252">
        <v>600048566</v>
      </c>
      <c r="H207" s="258" t="s">
        <v>1513</v>
      </c>
      <c r="I207" s="252" t="s">
        <v>1516</v>
      </c>
    </row>
    <row r="208" spans="1:9" x14ac:dyDescent="0.25">
      <c r="A208" s="421">
        <v>208</v>
      </c>
      <c r="B208" s="278">
        <v>207</v>
      </c>
      <c r="C208" s="258" t="s">
        <v>1664</v>
      </c>
      <c r="D208" s="253">
        <v>42810</v>
      </c>
      <c r="E208" s="252" t="s">
        <v>1310</v>
      </c>
      <c r="F208" s="254" t="s">
        <v>1522</v>
      </c>
      <c r="G208" s="252">
        <v>100008077</v>
      </c>
      <c r="H208" s="258" t="s">
        <v>1521</v>
      </c>
      <c r="I208" s="252" t="s">
        <v>1523</v>
      </c>
    </row>
    <row r="209" spans="1:9" x14ac:dyDescent="0.25">
      <c r="A209" s="421">
        <v>209</v>
      </c>
      <c r="B209" s="278">
        <v>208</v>
      </c>
      <c r="C209" s="258" t="s">
        <v>145</v>
      </c>
      <c r="D209" s="253">
        <v>42814</v>
      </c>
      <c r="E209" s="252" t="s">
        <v>3862</v>
      </c>
      <c r="F209" s="254" t="s">
        <v>1862</v>
      </c>
      <c r="G209" s="252">
        <v>601058802</v>
      </c>
      <c r="H209" s="258" t="s">
        <v>1860</v>
      </c>
      <c r="I209" s="252" t="s">
        <v>1863</v>
      </c>
    </row>
    <row r="210" spans="1:9" ht="26.4" x14ac:dyDescent="0.25">
      <c r="A210" s="421">
        <v>210</v>
      </c>
      <c r="B210" s="278">
        <v>209</v>
      </c>
      <c r="C210" s="258" t="s">
        <v>2880</v>
      </c>
      <c r="D210" s="253">
        <v>42815</v>
      </c>
      <c r="E210" s="252" t="s">
        <v>1868</v>
      </c>
      <c r="F210" s="254" t="s">
        <v>1870</v>
      </c>
      <c r="G210" s="252">
        <v>192320449</v>
      </c>
      <c r="H210" s="258" t="s">
        <v>967</v>
      </c>
      <c r="I210" s="252" t="s">
        <v>1871</v>
      </c>
    </row>
    <row r="211" spans="1:9" x14ac:dyDescent="0.25">
      <c r="A211" s="421">
        <v>211</v>
      </c>
      <c r="B211" s="278">
        <v>210</v>
      </c>
      <c r="C211" s="258" t="s">
        <v>1910</v>
      </c>
      <c r="D211" s="253">
        <v>42815</v>
      </c>
      <c r="E211" s="252" t="s">
        <v>1873</v>
      </c>
      <c r="F211" s="254" t="s">
        <v>1876</v>
      </c>
      <c r="G211" s="252">
        <v>192643343</v>
      </c>
      <c r="H211" s="258" t="s">
        <v>1874</v>
      </c>
      <c r="I211" s="252" t="s">
        <v>1877</v>
      </c>
    </row>
    <row r="212" spans="1:9" ht="26.4" x14ac:dyDescent="0.25">
      <c r="A212" s="421">
        <v>212</v>
      </c>
      <c r="B212" s="278">
        <v>211</v>
      </c>
      <c r="C212" s="258" t="s">
        <v>3302</v>
      </c>
      <c r="D212" s="253">
        <v>42815</v>
      </c>
      <c r="E212" s="252" t="s">
        <v>1879</v>
      </c>
      <c r="F212" s="254" t="s">
        <v>1881</v>
      </c>
      <c r="G212" s="252">
        <v>291232873</v>
      </c>
      <c r="H212" s="258" t="s">
        <v>967</v>
      </c>
      <c r="I212" s="252" t="s">
        <v>1882</v>
      </c>
    </row>
    <row r="213" spans="1:9" ht="26.4" x14ac:dyDescent="0.25">
      <c r="A213" s="421">
        <v>213</v>
      </c>
      <c r="B213" s="278">
        <v>212</v>
      </c>
      <c r="C213" s="258" t="s">
        <v>888</v>
      </c>
      <c r="D213" s="253">
        <v>42816</v>
      </c>
      <c r="E213" s="252" t="s">
        <v>1889</v>
      </c>
      <c r="F213" s="254" t="s">
        <v>1885</v>
      </c>
      <c r="G213" s="252">
        <v>191750982</v>
      </c>
      <c r="H213" s="258" t="s">
        <v>1884</v>
      </c>
      <c r="I213" s="252" t="s">
        <v>1886</v>
      </c>
    </row>
    <row r="214" spans="1:9" ht="26.4" x14ac:dyDescent="0.25">
      <c r="A214" s="421">
        <v>214</v>
      </c>
      <c r="B214" s="278">
        <v>213</v>
      </c>
      <c r="C214" s="258" t="s">
        <v>2362</v>
      </c>
      <c r="D214" s="253">
        <v>42816</v>
      </c>
      <c r="E214" s="252" t="s">
        <v>1890</v>
      </c>
      <c r="F214" s="254" t="s">
        <v>1895</v>
      </c>
      <c r="G214" s="252">
        <v>100953229</v>
      </c>
      <c r="H214" s="258" t="s">
        <v>1891</v>
      </c>
      <c r="I214" s="252" t="s">
        <v>1893</v>
      </c>
    </row>
    <row r="215" spans="1:9" x14ac:dyDescent="0.25">
      <c r="A215" s="421">
        <v>215</v>
      </c>
      <c r="B215" s="278">
        <v>214</v>
      </c>
      <c r="C215" s="258" t="s">
        <v>451</v>
      </c>
      <c r="D215" s="253">
        <v>42817</v>
      </c>
      <c r="E215" s="252" t="s">
        <v>980</v>
      </c>
      <c r="F215" s="254" t="s">
        <v>1897</v>
      </c>
      <c r="G215" s="252">
        <v>100015784</v>
      </c>
      <c r="H215" s="258" t="s">
        <v>1896</v>
      </c>
      <c r="I215" s="252" t="s">
        <v>1898</v>
      </c>
    </row>
    <row r="216" spans="1:9" ht="39.6" x14ac:dyDescent="0.25">
      <c r="A216" s="421">
        <v>216</v>
      </c>
      <c r="B216" s="278">
        <v>215</v>
      </c>
      <c r="C216" s="258" t="s">
        <v>2162</v>
      </c>
      <c r="D216" s="253">
        <v>42817</v>
      </c>
      <c r="E216" s="252" t="s">
        <v>2851</v>
      </c>
      <c r="F216" s="254" t="s">
        <v>747</v>
      </c>
      <c r="G216" s="252">
        <v>691463537</v>
      </c>
      <c r="H216" s="258" t="s">
        <v>745</v>
      </c>
      <c r="I216" s="252" t="s">
        <v>748</v>
      </c>
    </row>
    <row r="217" spans="1:9" x14ac:dyDescent="0.25">
      <c r="A217" s="421">
        <v>217</v>
      </c>
      <c r="B217" s="278">
        <v>216</v>
      </c>
      <c r="C217" s="258" t="s">
        <v>3534</v>
      </c>
      <c r="D217" s="253">
        <v>42818</v>
      </c>
      <c r="E217" s="252" t="s">
        <v>1640</v>
      </c>
      <c r="F217" s="254" t="s">
        <v>753</v>
      </c>
      <c r="G217" s="252">
        <v>100262573</v>
      </c>
      <c r="H217" s="258" t="s">
        <v>751</v>
      </c>
      <c r="I217" s="252" t="s">
        <v>754</v>
      </c>
    </row>
    <row r="218" spans="1:9" ht="26.4" x14ac:dyDescent="0.25">
      <c r="A218" s="421">
        <v>218</v>
      </c>
      <c r="B218" s="278">
        <v>217</v>
      </c>
      <c r="C218" s="258" t="s">
        <v>1855</v>
      </c>
      <c r="D218" s="253">
        <v>42821</v>
      </c>
      <c r="E218" s="252" t="s">
        <v>1840</v>
      </c>
      <c r="F218" s="254" t="s">
        <v>759</v>
      </c>
      <c r="G218" s="252">
        <v>600068399</v>
      </c>
      <c r="H218" s="258" t="s">
        <v>756</v>
      </c>
      <c r="I218" s="252" t="s">
        <v>760</v>
      </c>
    </row>
    <row r="219" spans="1:9" ht="39.6" x14ac:dyDescent="0.25">
      <c r="A219" s="421">
        <v>219</v>
      </c>
      <c r="B219" s="278">
        <v>218</v>
      </c>
      <c r="C219" s="258" t="s">
        <v>1775</v>
      </c>
      <c r="D219" s="253">
        <v>42821</v>
      </c>
      <c r="E219" s="252" t="s">
        <v>4183</v>
      </c>
      <c r="F219" s="254" t="s">
        <v>1194</v>
      </c>
      <c r="G219" s="252">
        <v>691061027</v>
      </c>
      <c r="H219" s="258" t="s">
        <v>761</v>
      </c>
      <c r="I219" s="252" t="s">
        <v>1195</v>
      </c>
    </row>
    <row r="220" spans="1:9" ht="26.4" x14ac:dyDescent="0.25">
      <c r="A220" s="421">
        <v>220</v>
      </c>
      <c r="B220" s="278">
        <v>219</v>
      </c>
      <c r="C220" s="258" t="s">
        <v>134</v>
      </c>
      <c r="D220" s="253">
        <v>42821</v>
      </c>
      <c r="E220" s="252" t="s">
        <v>2676</v>
      </c>
      <c r="F220" s="254" t="s">
        <v>1199</v>
      </c>
      <c r="G220" s="252">
        <v>690594220</v>
      </c>
      <c r="H220" s="258" t="s">
        <v>1197</v>
      </c>
      <c r="I220" s="252" t="s">
        <v>1200</v>
      </c>
    </row>
    <row r="221" spans="1:9" ht="26.4" x14ac:dyDescent="0.25">
      <c r="A221" s="421">
        <v>221</v>
      </c>
      <c r="B221" s="278">
        <v>220</v>
      </c>
      <c r="C221" s="258" t="s">
        <v>1208</v>
      </c>
      <c r="D221" s="253">
        <v>42821</v>
      </c>
      <c r="E221" s="252" t="s">
        <v>1202</v>
      </c>
      <c r="F221" s="254" t="s">
        <v>1207</v>
      </c>
      <c r="G221" s="252">
        <v>191209942</v>
      </c>
      <c r="H221" s="258" t="s">
        <v>1203</v>
      </c>
      <c r="I221" s="252" t="s">
        <v>1205</v>
      </c>
    </row>
    <row r="222" spans="1:9" x14ac:dyDescent="0.25">
      <c r="A222" s="421">
        <v>222</v>
      </c>
      <c r="B222" s="278">
        <v>221</v>
      </c>
      <c r="C222" s="258" t="s">
        <v>334</v>
      </c>
      <c r="D222" s="253">
        <v>42821</v>
      </c>
      <c r="E222" s="252" t="s">
        <v>3324</v>
      </c>
      <c r="F222" s="254" t="s">
        <v>1211</v>
      </c>
      <c r="G222" s="252">
        <v>190253060</v>
      </c>
      <c r="H222" s="258" t="s">
        <v>1209</v>
      </c>
      <c r="I222" s="252" t="s">
        <v>1212</v>
      </c>
    </row>
    <row r="223" spans="1:9" x14ac:dyDescent="0.25">
      <c r="A223" s="421">
        <v>223</v>
      </c>
      <c r="B223" s="278">
        <v>222</v>
      </c>
      <c r="C223" s="258" t="s">
        <v>3280</v>
      </c>
      <c r="D223" s="253">
        <v>42822</v>
      </c>
      <c r="E223" s="252" t="s">
        <v>4223</v>
      </c>
      <c r="F223" s="254" t="s">
        <v>1215</v>
      </c>
      <c r="G223" s="252">
        <v>192212697</v>
      </c>
      <c r="H223" s="258" t="s">
        <v>967</v>
      </c>
      <c r="I223" s="252" t="s">
        <v>1216</v>
      </c>
    </row>
    <row r="224" spans="1:9" ht="26.4" x14ac:dyDescent="0.25">
      <c r="A224" s="421">
        <v>224</v>
      </c>
      <c r="B224" s="278">
        <v>223</v>
      </c>
      <c r="C224" s="258" t="s">
        <v>1124</v>
      </c>
      <c r="D224" s="253">
        <v>42822</v>
      </c>
      <c r="E224" s="252" t="s">
        <v>19</v>
      </c>
      <c r="F224" s="254" t="s">
        <v>1219</v>
      </c>
      <c r="G224" s="252">
        <v>100955538</v>
      </c>
      <c r="H224" s="258" t="s">
        <v>967</v>
      </c>
      <c r="I224" s="252" t="s">
        <v>1220</v>
      </c>
    </row>
    <row r="225" spans="1:9" ht="26.4" x14ac:dyDescent="0.25">
      <c r="A225" s="421">
        <v>225</v>
      </c>
      <c r="B225" s="278">
        <v>224</v>
      </c>
      <c r="C225" s="258" t="s">
        <v>3661</v>
      </c>
      <c r="D225" s="253">
        <v>42822</v>
      </c>
      <c r="E225" s="252" t="s">
        <v>1222</v>
      </c>
      <c r="F225" s="254" t="s">
        <v>3779</v>
      </c>
      <c r="G225" s="252">
        <v>691364780</v>
      </c>
      <c r="H225" s="258" t="s">
        <v>967</v>
      </c>
      <c r="I225" s="252" t="s">
        <v>3780</v>
      </c>
    </row>
    <row r="226" spans="1:9" x14ac:dyDescent="0.25">
      <c r="A226" s="421">
        <v>226</v>
      </c>
      <c r="B226" s="278">
        <v>225</v>
      </c>
      <c r="C226" s="258" t="s">
        <v>2753</v>
      </c>
      <c r="D226" s="253">
        <v>42823</v>
      </c>
      <c r="E226" s="252" t="s">
        <v>3783</v>
      </c>
      <c r="F226" s="254" t="s">
        <v>3785</v>
      </c>
      <c r="G226" s="252">
        <v>691072066</v>
      </c>
      <c r="H226" s="258" t="s">
        <v>967</v>
      </c>
      <c r="I226" s="252" t="s">
        <v>3786</v>
      </c>
    </row>
    <row r="227" spans="1:9" ht="26.4" x14ac:dyDescent="0.25">
      <c r="A227" s="421">
        <v>227</v>
      </c>
      <c r="B227" s="278">
        <v>226</v>
      </c>
      <c r="C227" s="258" t="s">
        <v>1102</v>
      </c>
      <c r="D227" s="253">
        <v>42823</v>
      </c>
      <c r="E227" s="252" t="s">
        <v>2609</v>
      </c>
      <c r="F227" s="254" t="s">
        <v>3789</v>
      </c>
      <c r="G227" s="252">
        <v>190549048</v>
      </c>
      <c r="H227" s="258" t="s">
        <v>3787</v>
      </c>
      <c r="I227" s="252" t="s">
        <v>3790</v>
      </c>
    </row>
    <row r="228" spans="1:9" x14ac:dyDescent="0.25">
      <c r="A228" s="421">
        <v>228</v>
      </c>
      <c r="B228" s="278">
        <v>227</v>
      </c>
      <c r="C228" s="258" t="s">
        <v>732</v>
      </c>
      <c r="D228" s="253">
        <v>42823</v>
      </c>
      <c r="E228" s="252" t="s">
        <v>3793</v>
      </c>
      <c r="F228" s="254" t="s">
        <v>3796</v>
      </c>
      <c r="G228" s="252">
        <v>100349659</v>
      </c>
      <c r="H228" s="258" t="s">
        <v>3794</v>
      </c>
      <c r="I228" s="252" t="s">
        <v>3797</v>
      </c>
    </row>
    <row r="229" spans="1:9" ht="26.4" x14ac:dyDescent="0.25">
      <c r="A229" s="421">
        <v>229</v>
      </c>
      <c r="B229" s="278">
        <v>228</v>
      </c>
      <c r="C229" s="258" t="s">
        <v>2794</v>
      </c>
      <c r="D229" s="253">
        <v>42823</v>
      </c>
      <c r="E229" s="252" t="s">
        <v>3799</v>
      </c>
      <c r="F229" s="254" t="s">
        <v>3802</v>
      </c>
      <c r="G229" s="252">
        <v>191124219</v>
      </c>
      <c r="H229" s="258" t="s">
        <v>3800</v>
      </c>
      <c r="I229" s="252" t="s">
        <v>3803</v>
      </c>
    </row>
    <row r="230" spans="1:9" ht="26.4" x14ac:dyDescent="0.25">
      <c r="A230" s="421">
        <v>230</v>
      </c>
      <c r="B230" s="278">
        <v>229</v>
      </c>
      <c r="C230" s="258" t="s">
        <v>1917</v>
      </c>
      <c r="D230" s="253">
        <v>42824</v>
      </c>
      <c r="E230" s="252" t="s">
        <v>1607</v>
      </c>
      <c r="F230" s="254" t="s">
        <v>3805</v>
      </c>
      <c r="G230" s="252">
        <v>690643672</v>
      </c>
      <c r="H230" s="258" t="s">
        <v>3804</v>
      </c>
      <c r="I230" s="252" t="s">
        <v>3806</v>
      </c>
    </row>
    <row r="231" spans="1:9" x14ac:dyDescent="0.25">
      <c r="A231" s="421">
        <v>231</v>
      </c>
      <c r="B231" s="278">
        <v>230</v>
      </c>
      <c r="C231" s="258" t="s">
        <v>135</v>
      </c>
      <c r="D231" s="253">
        <v>42824</v>
      </c>
      <c r="E231" s="252" t="s">
        <v>3548</v>
      </c>
      <c r="F231" s="254" t="s">
        <v>3812</v>
      </c>
      <c r="G231" s="252">
        <v>100192928</v>
      </c>
      <c r="H231" s="258" t="s">
        <v>3808</v>
      </c>
      <c r="I231" s="252" t="s">
        <v>3810</v>
      </c>
    </row>
    <row r="232" spans="1:9" ht="26.4" x14ac:dyDescent="0.25">
      <c r="A232" s="421">
        <v>232</v>
      </c>
      <c r="B232" s="278">
        <v>231</v>
      </c>
      <c r="C232" s="258" t="s">
        <v>2822</v>
      </c>
      <c r="D232" s="253">
        <v>42824</v>
      </c>
      <c r="E232" s="252" t="s">
        <v>2795</v>
      </c>
      <c r="F232" s="254" t="s">
        <v>3817</v>
      </c>
      <c r="G232" s="252">
        <v>691536707</v>
      </c>
      <c r="H232" s="258" t="s">
        <v>3814</v>
      </c>
      <c r="I232" s="252" t="s">
        <v>3815</v>
      </c>
    </row>
    <row r="233" spans="1:9" x14ac:dyDescent="0.25">
      <c r="A233" s="421">
        <v>233</v>
      </c>
      <c r="B233" s="278">
        <v>232</v>
      </c>
      <c r="C233" s="258" t="s">
        <v>129</v>
      </c>
      <c r="D233" s="253">
        <v>42824</v>
      </c>
      <c r="E233" s="252" t="s">
        <v>3819</v>
      </c>
      <c r="F233" s="254" t="s">
        <v>3823</v>
      </c>
      <c r="G233" s="252">
        <v>101528843</v>
      </c>
      <c r="H233" s="258" t="s">
        <v>3820</v>
      </c>
      <c r="I233" s="252" t="s">
        <v>3824</v>
      </c>
    </row>
    <row r="234" spans="1:9" ht="26.4" x14ac:dyDescent="0.25">
      <c r="A234" s="421">
        <v>234</v>
      </c>
      <c r="B234" s="278">
        <v>233</v>
      </c>
      <c r="C234" s="258" t="s">
        <v>319</v>
      </c>
      <c r="D234" s="253" t="s">
        <v>3833</v>
      </c>
      <c r="E234" s="252" t="s">
        <v>168</v>
      </c>
      <c r="F234" s="254" t="s">
        <v>3831</v>
      </c>
      <c r="G234" s="252">
        <v>192566948</v>
      </c>
      <c r="H234" s="258" t="s">
        <v>967</v>
      </c>
      <c r="I234" s="252" t="s">
        <v>3832</v>
      </c>
    </row>
    <row r="235" spans="1:9" ht="26.4" x14ac:dyDescent="0.25">
      <c r="A235" s="421">
        <v>235</v>
      </c>
      <c r="B235" s="278">
        <v>234</v>
      </c>
      <c r="C235" s="258" t="s">
        <v>4239</v>
      </c>
      <c r="D235" s="253" t="s">
        <v>3833</v>
      </c>
      <c r="E235" s="252" t="s">
        <v>2757</v>
      </c>
      <c r="F235" s="254" t="s">
        <v>531</v>
      </c>
      <c r="G235" s="252">
        <v>691523351</v>
      </c>
      <c r="H235" s="258" t="s">
        <v>967</v>
      </c>
      <c r="I235" s="252" t="s">
        <v>532</v>
      </c>
    </row>
    <row r="236" spans="1:9" x14ac:dyDescent="0.25">
      <c r="A236" s="421">
        <v>236</v>
      </c>
      <c r="B236" s="278">
        <v>235</v>
      </c>
      <c r="C236" s="258" t="s">
        <v>686</v>
      </c>
      <c r="D236" s="253" t="s">
        <v>3833</v>
      </c>
      <c r="E236" s="252" t="s">
        <v>3611</v>
      </c>
      <c r="F236" s="254" t="s">
        <v>536</v>
      </c>
      <c r="G236" s="252">
        <v>190098681</v>
      </c>
      <c r="H236" s="258" t="s">
        <v>534</v>
      </c>
      <c r="I236" s="252" t="s">
        <v>1283</v>
      </c>
    </row>
    <row r="237" spans="1:9" x14ac:dyDescent="0.25">
      <c r="A237" s="421">
        <v>237</v>
      </c>
      <c r="B237" s="278">
        <v>236</v>
      </c>
      <c r="C237" s="258" t="s">
        <v>3618</v>
      </c>
      <c r="D237" s="253" t="s">
        <v>3833</v>
      </c>
      <c r="E237" s="252" t="s">
        <v>4232</v>
      </c>
      <c r="F237" s="254" t="s">
        <v>1285</v>
      </c>
      <c r="G237" s="252">
        <v>690616954</v>
      </c>
      <c r="H237" s="258" t="s">
        <v>967</v>
      </c>
      <c r="I237" s="252" t="s">
        <v>1286</v>
      </c>
    </row>
    <row r="238" spans="1:9" x14ac:dyDescent="0.25">
      <c r="A238" s="421">
        <v>238</v>
      </c>
      <c r="B238" s="278">
        <v>237</v>
      </c>
      <c r="C238" s="258" t="s">
        <v>1028</v>
      </c>
      <c r="D238" s="253" t="s">
        <v>1292</v>
      </c>
      <c r="E238" s="252" t="s">
        <v>2072</v>
      </c>
      <c r="F238" s="254" t="s">
        <v>1289</v>
      </c>
      <c r="G238" s="252">
        <v>191251634</v>
      </c>
      <c r="H238" s="258" t="s">
        <v>967</v>
      </c>
      <c r="I238" s="252" t="s">
        <v>1290</v>
      </c>
    </row>
    <row r="239" spans="1:9" x14ac:dyDescent="0.25">
      <c r="A239" s="421">
        <v>239</v>
      </c>
      <c r="B239" s="278">
        <v>238</v>
      </c>
      <c r="C239" s="258" t="s">
        <v>2734</v>
      </c>
      <c r="D239" s="253" t="s">
        <v>1292</v>
      </c>
      <c r="E239" s="252" t="s">
        <v>449</v>
      </c>
      <c r="F239" s="254" t="s">
        <v>1295</v>
      </c>
      <c r="G239" s="252">
        <v>100025732</v>
      </c>
      <c r="H239" s="258" t="s">
        <v>1293</v>
      </c>
      <c r="I239" s="252" t="s">
        <v>1296</v>
      </c>
    </row>
    <row r="240" spans="1:9" x14ac:dyDescent="0.25">
      <c r="A240" s="421">
        <v>240</v>
      </c>
      <c r="B240" s="278">
        <v>239</v>
      </c>
      <c r="C240" s="258" t="s">
        <v>2432</v>
      </c>
      <c r="D240" s="253" t="s">
        <v>1292</v>
      </c>
      <c r="E240" s="252" t="s">
        <v>1298</v>
      </c>
      <c r="F240" s="254" t="s">
        <v>1300</v>
      </c>
      <c r="G240" s="252">
        <v>691425532</v>
      </c>
      <c r="H240" s="258" t="s">
        <v>967</v>
      </c>
      <c r="I240" s="252" t="s">
        <v>1301</v>
      </c>
    </row>
    <row r="241" spans="1:9" ht="39.6" x14ac:dyDescent="0.25">
      <c r="A241" s="421">
        <v>241</v>
      </c>
      <c r="B241" s="278">
        <v>240</v>
      </c>
      <c r="C241" s="258" t="s">
        <v>3093</v>
      </c>
      <c r="D241" s="253" t="s">
        <v>1292</v>
      </c>
      <c r="E241" s="252" t="s">
        <v>1306</v>
      </c>
      <c r="F241" s="254" t="s">
        <v>1304</v>
      </c>
      <c r="G241" s="252">
        <v>691452633</v>
      </c>
      <c r="H241" s="258" t="s">
        <v>967</v>
      </c>
      <c r="I241" s="252" t="s">
        <v>1305</v>
      </c>
    </row>
    <row r="242" spans="1:9" x14ac:dyDescent="0.25">
      <c r="A242" s="421">
        <v>242</v>
      </c>
      <c r="B242" s="278">
        <v>241</v>
      </c>
      <c r="C242" s="258" t="s">
        <v>3599</v>
      </c>
      <c r="D242" s="253" t="s">
        <v>1315</v>
      </c>
      <c r="E242" s="252" t="s">
        <v>906</v>
      </c>
      <c r="F242" s="254" t="s">
        <v>1313</v>
      </c>
      <c r="G242" s="252">
        <v>100348119</v>
      </c>
      <c r="H242" s="258" t="s">
        <v>1311</v>
      </c>
      <c r="I242" s="252" t="s">
        <v>1316</v>
      </c>
    </row>
    <row r="243" spans="1:9" x14ac:dyDescent="0.25">
      <c r="A243" s="421">
        <v>243</v>
      </c>
      <c r="B243" s="278">
        <v>242</v>
      </c>
      <c r="C243" s="258" t="s">
        <v>457</v>
      </c>
      <c r="D243" s="253" t="s">
        <v>1315</v>
      </c>
      <c r="E243" s="252" t="s">
        <v>1321</v>
      </c>
      <c r="F243" s="254" t="s">
        <v>1318</v>
      </c>
      <c r="G243" s="252">
        <v>190729471</v>
      </c>
      <c r="H243" s="258" t="s">
        <v>1317</v>
      </c>
      <c r="I243" s="252" t="s">
        <v>1319</v>
      </c>
    </row>
    <row r="244" spans="1:9" x14ac:dyDescent="0.25">
      <c r="A244" s="421">
        <v>244</v>
      </c>
      <c r="B244" s="278">
        <v>243</v>
      </c>
      <c r="C244" s="258" t="s">
        <v>3766</v>
      </c>
      <c r="D244" s="253" t="s">
        <v>1315</v>
      </c>
      <c r="E244" s="252" t="s">
        <v>813</v>
      </c>
      <c r="F244" s="254" t="s">
        <v>1323</v>
      </c>
      <c r="G244" s="252">
        <v>100648873</v>
      </c>
      <c r="H244" s="258" t="s">
        <v>967</v>
      </c>
      <c r="I244" s="252" t="s">
        <v>1324</v>
      </c>
    </row>
    <row r="245" spans="1:9" x14ac:dyDescent="0.25">
      <c r="A245" s="421">
        <v>245</v>
      </c>
      <c r="B245" s="278">
        <v>244</v>
      </c>
      <c r="C245" s="258" t="s">
        <v>411</v>
      </c>
      <c r="D245" s="253" t="s">
        <v>1315</v>
      </c>
      <c r="E245" s="252" t="s">
        <v>3228</v>
      </c>
      <c r="F245" s="254" t="s">
        <v>1328</v>
      </c>
      <c r="G245" s="252">
        <v>100025653</v>
      </c>
      <c r="H245" s="258" t="s">
        <v>1326</v>
      </c>
      <c r="I245" s="252" t="s">
        <v>1330</v>
      </c>
    </row>
    <row r="246" spans="1:9" ht="26.4" x14ac:dyDescent="0.25">
      <c r="A246" s="421">
        <v>246</v>
      </c>
      <c r="B246" s="278">
        <v>245</v>
      </c>
      <c r="C246" s="258" t="s">
        <v>895</v>
      </c>
      <c r="D246" s="253" t="s">
        <v>1315</v>
      </c>
      <c r="E246" s="252" t="s">
        <v>516</v>
      </c>
      <c r="F246" s="254" t="s">
        <v>1332</v>
      </c>
      <c r="G246" s="252">
        <v>691591762</v>
      </c>
      <c r="H246" s="258" t="s">
        <v>967</v>
      </c>
      <c r="I246" s="252" t="s">
        <v>1333</v>
      </c>
    </row>
    <row r="247" spans="1:9" x14ac:dyDescent="0.25">
      <c r="A247" s="421">
        <v>247</v>
      </c>
      <c r="B247" s="278">
        <v>246</v>
      </c>
      <c r="C247" s="258" t="s">
        <v>2722</v>
      </c>
      <c r="D247" s="253" t="s">
        <v>1315</v>
      </c>
      <c r="E247" s="252" t="s">
        <v>1335</v>
      </c>
      <c r="F247" s="254" t="s">
        <v>1337</v>
      </c>
      <c r="G247" s="252">
        <v>101489130</v>
      </c>
      <c r="H247" s="258" t="s">
        <v>967</v>
      </c>
      <c r="I247" s="252" t="s">
        <v>1338</v>
      </c>
    </row>
    <row r="248" spans="1:9" ht="26.4" x14ac:dyDescent="0.25">
      <c r="A248" s="421">
        <v>248</v>
      </c>
      <c r="B248" s="278">
        <v>247</v>
      </c>
      <c r="C248" s="258" t="s">
        <v>2722</v>
      </c>
      <c r="D248" s="253">
        <v>42830</v>
      </c>
      <c r="E248" s="252" t="s">
        <v>1340</v>
      </c>
      <c r="F248" s="254" t="s">
        <v>2384</v>
      </c>
      <c r="G248" s="252">
        <v>691131810</v>
      </c>
      <c r="H248" s="258" t="s">
        <v>2385</v>
      </c>
      <c r="I248" s="252" t="s">
        <v>2387</v>
      </c>
    </row>
    <row r="249" spans="1:9" ht="26.4" x14ac:dyDescent="0.25">
      <c r="A249" s="421">
        <v>249</v>
      </c>
      <c r="B249" s="278">
        <v>248</v>
      </c>
      <c r="C249" s="258" t="s">
        <v>196</v>
      </c>
      <c r="D249" s="253">
        <v>42830</v>
      </c>
      <c r="E249" s="252" t="s">
        <v>2389</v>
      </c>
      <c r="F249" s="254" t="s">
        <v>2393</v>
      </c>
      <c r="G249" s="252">
        <v>190919588</v>
      </c>
      <c r="H249" s="258" t="s">
        <v>2390</v>
      </c>
      <c r="I249" s="252" t="s">
        <v>2392</v>
      </c>
    </row>
    <row r="250" spans="1:9" x14ac:dyDescent="0.25">
      <c r="A250" s="421">
        <v>250</v>
      </c>
      <c r="B250" s="278">
        <v>249</v>
      </c>
      <c r="C250" s="258" t="s">
        <v>2637</v>
      </c>
      <c r="D250" s="253">
        <v>42830</v>
      </c>
      <c r="E250" s="252" t="s">
        <v>2760</v>
      </c>
      <c r="F250" s="254" t="s">
        <v>2397</v>
      </c>
      <c r="G250" s="252">
        <v>100801936</v>
      </c>
      <c r="H250" s="258" t="s">
        <v>967</v>
      </c>
      <c r="I250" s="252" t="s">
        <v>2395</v>
      </c>
    </row>
    <row r="251" spans="1:9" x14ac:dyDescent="0.25">
      <c r="A251" s="421">
        <v>251</v>
      </c>
      <c r="B251" s="278">
        <v>250</v>
      </c>
      <c r="C251" s="258" t="s">
        <v>53</v>
      </c>
      <c r="D251" s="253">
        <v>42832</v>
      </c>
      <c r="E251" s="252" t="s">
        <v>1341</v>
      </c>
      <c r="F251" s="254" t="s">
        <v>1343</v>
      </c>
      <c r="G251" s="252">
        <v>191593564</v>
      </c>
      <c r="H251" s="258" t="s">
        <v>967</v>
      </c>
      <c r="I251" s="252" t="s">
        <v>1342</v>
      </c>
    </row>
    <row r="252" spans="1:9" ht="26.4" x14ac:dyDescent="0.25">
      <c r="A252" s="421">
        <v>252</v>
      </c>
      <c r="B252" s="278">
        <v>251</v>
      </c>
      <c r="C252" s="258" t="s">
        <v>950</v>
      </c>
      <c r="D252" s="253">
        <v>42832</v>
      </c>
      <c r="E252" s="252" t="s">
        <v>4226</v>
      </c>
      <c r="F252" s="254" t="s">
        <v>1347</v>
      </c>
      <c r="G252" s="252">
        <v>191112043</v>
      </c>
      <c r="H252" s="258" t="s">
        <v>1345</v>
      </c>
      <c r="I252" s="252" t="s">
        <v>1348</v>
      </c>
    </row>
    <row r="253" spans="1:9" x14ac:dyDescent="0.25">
      <c r="A253" s="421">
        <v>253</v>
      </c>
      <c r="B253" s="278">
        <v>252</v>
      </c>
      <c r="C253" s="258" t="s">
        <v>934</v>
      </c>
      <c r="D253" s="253">
        <v>42835</v>
      </c>
      <c r="E253" s="252" t="s">
        <v>172</v>
      </c>
      <c r="F253" s="254" t="s">
        <v>1354</v>
      </c>
      <c r="G253" s="252">
        <v>100025985</v>
      </c>
      <c r="H253" s="258" t="s">
        <v>1351</v>
      </c>
      <c r="I253" s="252" t="s">
        <v>1353</v>
      </c>
    </row>
    <row r="254" spans="1:9" x14ac:dyDescent="0.25">
      <c r="A254" s="421">
        <v>254</v>
      </c>
      <c r="B254" s="278">
        <v>253</v>
      </c>
      <c r="C254" s="258" t="s">
        <v>396</v>
      </c>
      <c r="D254" s="253">
        <v>42835</v>
      </c>
      <c r="E254" s="252" t="s">
        <v>1361</v>
      </c>
      <c r="F254" s="254" t="s">
        <v>1357</v>
      </c>
      <c r="G254" s="252">
        <v>101497699</v>
      </c>
      <c r="H254" s="258" t="s">
        <v>967</v>
      </c>
      <c r="I254" s="252" t="s">
        <v>1358</v>
      </c>
    </row>
    <row r="255" spans="1:9" ht="39.6" x14ac:dyDescent="0.25">
      <c r="A255" s="421">
        <v>255</v>
      </c>
      <c r="B255" s="278">
        <v>254</v>
      </c>
      <c r="C255" s="258" t="s">
        <v>408</v>
      </c>
      <c r="D255" s="253">
        <v>42835</v>
      </c>
      <c r="E255" s="252" t="s">
        <v>320</v>
      </c>
      <c r="F255" s="254" t="s">
        <v>1364</v>
      </c>
      <c r="G255" s="252">
        <v>690831296</v>
      </c>
      <c r="H255" s="258" t="s">
        <v>1362</v>
      </c>
      <c r="I255" s="252" t="s">
        <v>1010</v>
      </c>
    </row>
    <row r="256" spans="1:9" ht="39.6" x14ac:dyDescent="0.25">
      <c r="A256" s="421">
        <v>256</v>
      </c>
      <c r="B256" s="278">
        <v>255</v>
      </c>
      <c r="C256" s="258" t="s">
        <v>429</v>
      </c>
      <c r="D256" s="253">
        <v>42836</v>
      </c>
      <c r="E256" s="252" t="s">
        <v>3622</v>
      </c>
      <c r="F256" s="254" t="s">
        <v>1014</v>
      </c>
      <c r="G256" s="252">
        <v>190787319</v>
      </c>
      <c r="H256" s="258" t="s">
        <v>1012</v>
      </c>
      <c r="I256" s="252" t="s">
        <v>1015</v>
      </c>
    </row>
    <row r="257" spans="1:9" x14ac:dyDescent="0.25">
      <c r="A257" s="421">
        <v>257</v>
      </c>
      <c r="B257" s="278">
        <v>256</v>
      </c>
      <c r="C257" s="258" t="s">
        <v>422</v>
      </c>
      <c r="D257" s="253">
        <v>42836</v>
      </c>
      <c r="E257" s="252" t="s">
        <v>3238</v>
      </c>
      <c r="F257" s="254" t="s">
        <v>1018</v>
      </c>
      <c r="G257" s="252">
        <v>191870208</v>
      </c>
      <c r="H257" s="258" t="s">
        <v>967</v>
      </c>
      <c r="I257" s="252" t="s">
        <v>1019</v>
      </c>
    </row>
    <row r="258" spans="1:9" x14ac:dyDescent="0.25">
      <c r="A258" s="421">
        <v>258</v>
      </c>
      <c r="B258" s="278">
        <v>257</v>
      </c>
      <c r="C258" s="258" t="s">
        <v>3286</v>
      </c>
      <c r="D258" s="253">
        <v>42836</v>
      </c>
      <c r="E258" s="252" t="s">
        <v>270</v>
      </c>
      <c r="F258" s="254" t="s">
        <v>273</v>
      </c>
      <c r="G258" s="252">
        <v>190672348</v>
      </c>
      <c r="H258" s="258" t="s">
        <v>271</v>
      </c>
      <c r="I258" s="252" t="s">
        <v>274</v>
      </c>
    </row>
    <row r="259" spans="1:9" ht="26.4" x14ac:dyDescent="0.25">
      <c r="A259" s="421">
        <v>259</v>
      </c>
      <c r="B259" s="278">
        <v>258</v>
      </c>
      <c r="C259" s="258" t="s">
        <v>717</v>
      </c>
      <c r="D259" s="253">
        <v>42836</v>
      </c>
      <c r="E259" s="252" t="s">
        <v>1801</v>
      </c>
      <c r="F259" s="254" t="s">
        <v>278</v>
      </c>
      <c r="G259" s="252">
        <v>690230682</v>
      </c>
      <c r="H259" s="258" t="s">
        <v>276</v>
      </c>
      <c r="I259" s="252" t="s">
        <v>279</v>
      </c>
    </row>
    <row r="260" spans="1:9" ht="26.4" x14ac:dyDescent="0.25">
      <c r="A260" s="421">
        <v>260</v>
      </c>
      <c r="B260" s="278">
        <v>259</v>
      </c>
      <c r="C260" s="258" t="s">
        <v>1802</v>
      </c>
      <c r="D260" s="253">
        <v>42837</v>
      </c>
      <c r="E260" s="252" t="s">
        <v>3289</v>
      </c>
      <c r="F260" s="254" t="s">
        <v>286</v>
      </c>
      <c r="G260" s="252">
        <v>691459653</v>
      </c>
      <c r="H260" s="258" t="s">
        <v>281</v>
      </c>
      <c r="I260" s="252" t="s">
        <v>285</v>
      </c>
    </row>
    <row r="261" spans="1:9" x14ac:dyDescent="0.25">
      <c r="A261" s="421">
        <v>261</v>
      </c>
      <c r="B261" s="278">
        <v>260</v>
      </c>
      <c r="C261" s="258" t="s">
        <v>2730</v>
      </c>
      <c r="D261" s="253">
        <v>42837</v>
      </c>
      <c r="E261" s="252" t="s">
        <v>287</v>
      </c>
      <c r="F261" s="254" t="s">
        <v>290</v>
      </c>
      <c r="G261" s="252">
        <v>100233681</v>
      </c>
      <c r="H261" s="258" t="s">
        <v>288</v>
      </c>
      <c r="I261" s="252" t="s">
        <v>291</v>
      </c>
    </row>
    <row r="262" spans="1:9" x14ac:dyDescent="0.25">
      <c r="A262" s="421">
        <v>262</v>
      </c>
      <c r="B262" s="278">
        <v>261</v>
      </c>
      <c r="C262" s="258" t="s">
        <v>3256</v>
      </c>
      <c r="D262" s="253">
        <v>42837</v>
      </c>
      <c r="E262" s="252" t="s">
        <v>293</v>
      </c>
      <c r="F262" s="254" t="s">
        <v>295</v>
      </c>
      <c r="G262" s="252">
        <v>691533075</v>
      </c>
      <c r="H262" s="258" t="s">
        <v>967</v>
      </c>
      <c r="I262" s="252" t="s">
        <v>296</v>
      </c>
    </row>
    <row r="263" spans="1:9" x14ac:dyDescent="0.25">
      <c r="A263" s="421">
        <v>263</v>
      </c>
      <c r="B263" s="278">
        <v>262</v>
      </c>
      <c r="C263" s="258" t="s">
        <v>2683</v>
      </c>
      <c r="D263" s="253">
        <v>42838</v>
      </c>
      <c r="E263" s="252" t="s">
        <v>298</v>
      </c>
      <c r="F263" s="254" t="s">
        <v>305</v>
      </c>
      <c r="G263" s="252">
        <v>100315395</v>
      </c>
      <c r="H263" s="258" t="s">
        <v>299</v>
      </c>
      <c r="I263" s="252" t="s">
        <v>302</v>
      </c>
    </row>
    <row r="264" spans="1:9" ht="26.4" x14ac:dyDescent="0.25">
      <c r="A264" s="421">
        <v>264</v>
      </c>
      <c r="B264" s="278">
        <v>263</v>
      </c>
      <c r="C264" s="258" t="s">
        <v>3554</v>
      </c>
      <c r="D264" s="253">
        <v>42838</v>
      </c>
      <c r="E264" s="252" t="s">
        <v>39</v>
      </c>
      <c r="F264" s="254" t="s">
        <v>3230</v>
      </c>
      <c r="G264" s="252">
        <v>691428702</v>
      </c>
      <c r="H264" s="258" t="s">
        <v>967</v>
      </c>
      <c r="I264" s="252" t="s">
        <v>3231</v>
      </c>
    </row>
    <row r="265" spans="1:9" ht="26.4" x14ac:dyDescent="0.25">
      <c r="A265" s="421">
        <v>265</v>
      </c>
      <c r="B265" s="278">
        <v>264</v>
      </c>
      <c r="C265" s="258" t="s">
        <v>71</v>
      </c>
      <c r="D265" s="253">
        <v>42839</v>
      </c>
      <c r="E265" s="252" t="s">
        <v>2409</v>
      </c>
      <c r="F265" s="254" t="s">
        <v>3234</v>
      </c>
      <c r="G265" s="252">
        <v>691464441</v>
      </c>
      <c r="H265" s="258" t="s">
        <v>967</v>
      </c>
      <c r="I265" s="252" t="s">
        <v>3235</v>
      </c>
    </row>
    <row r="266" spans="1:9" x14ac:dyDescent="0.25">
      <c r="A266" s="421">
        <v>266</v>
      </c>
      <c r="B266" s="278">
        <v>265</v>
      </c>
      <c r="C266" s="258" t="s">
        <v>2416</v>
      </c>
      <c r="D266" s="253">
        <v>42839</v>
      </c>
      <c r="E266" s="252" t="s">
        <v>1703</v>
      </c>
      <c r="F266" s="254" t="s">
        <v>77</v>
      </c>
      <c r="G266" s="252">
        <v>100826028</v>
      </c>
      <c r="H266" s="258" t="s">
        <v>75</v>
      </c>
      <c r="I266" s="252" t="s">
        <v>78</v>
      </c>
    </row>
    <row r="267" spans="1:9" ht="26.4" x14ac:dyDescent="0.25">
      <c r="A267" s="421">
        <v>267</v>
      </c>
      <c r="B267" s="278">
        <v>266</v>
      </c>
      <c r="C267" s="258" t="s">
        <v>84</v>
      </c>
      <c r="D267" s="253">
        <v>42840</v>
      </c>
      <c r="E267" s="252" t="s">
        <v>80</v>
      </c>
      <c r="F267" s="254" t="s">
        <v>81</v>
      </c>
      <c r="G267" s="252">
        <v>691433424</v>
      </c>
      <c r="H267" s="258" t="s">
        <v>967</v>
      </c>
      <c r="I267" s="252" t="s">
        <v>82</v>
      </c>
    </row>
    <row r="268" spans="1:9" ht="26.4" x14ac:dyDescent="0.25">
      <c r="A268" s="421">
        <v>268</v>
      </c>
      <c r="B268" s="278">
        <v>267</v>
      </c>
      <c r="C268" s="258" t="s">
        <v>1110</v>
      </c>
      <c r="D268" s="253">
        <v>42842</v>
      </c>
      <c r="E268" s="252" t="s">
        <v>85</v>
      </c>
      <c r="F268" s="254" t="s">
        <v>87</v>
      </c>
      <c r="G268" s="252">
        <v>192199251</v>
      </c>
      <c r="H268" s="258" t="s">
        <v>967</v>
      </c>
      <c r="I268" s="252" t="s">
        <v>88</v>
      </c>
    </row>
    <row r="269" spans="1:9" x14ac:dyDescent="0.25">
      <c r="A269" s="421">
        <v>269</v>
      </c>
      <c r="B269" s="278">
        <v>268</v>
      </c>
      <c r="C269" s="258" t="s">
        <v>343</v>
      </c>
      <c r="D269" s="253">
        <v>42842</v>
      </c>
      <c r="E269" s="252" t="s">
        <v>428</v>
      </c>
      <c r="F269" s="254" t="s">
        <v>92</v>
      </c>
      <c r="G269" s="252">
        <v>100783448</v>
      </c>
      <c r="H269" s="258" t="s">
        <v>90</v>
      </c>
      <c r="I269" s="252" t="s">
        <v>93</v>
      </c>
    </row>
    <row r="270" spans="1:9" ht="26.4" x14ac:dyDescent="0.25">
      <c r="A270" s="421">
        <v>270</v>
      </c>
      <c r="B270" s="278">
        <v>269</v>
      </c>
      <c r="C270" s="258" t="s">
        <v>1817</v>
      </c>
      <c r="D270" s="253">
        <v>42842</v>
      </c>
      <c r="E270" s="252" t="s">
        <v>95</v>
      </c>
      <c r="F270" s="254" t="s">
        <v>99</v>
      </c>
      <c r="G270" s="252">
        <v>690622445</v>
      </c>
      <c r="H270" s="258" t="s">
        <v>967</v>
      </c>
      <c r="I270" s="252" t="s">
        <v>97</v>
      </c>
    </row>
    <row r="271" spans="1:9" ht="26.4" x14ac:dyDescent="0.25">
      <c r="A271" s="421">
        <v>271</v>
      </c>
      <c r="B271" s="278">
        <v>270</v>
      </c>
      <c r="C271" s="258" t="s">
        <v>423</v>
      </c>
      <c r="D271" s="253">
        <v>42842</v>
      </c>
      <c r="E271" s="252" t="s">
        <v>100</v>
      </c>
      <c r="F271" s="254" t="s">
        <v>102</v>
      </c>
      <c r="G271" s="252">
        <v>691317872</v>
      </c>
      <c r="H271" s="258" t="s">
        <v>967</v>
      </c>
      <c r="I271" s="252" t="s">
        <v>101</v>
      </c>
    </row>
    <row r="272" spans="1:9" ht="26.4" x14ac:dyDescent="0.25">
      <c r="A272" s="421">
        <v>272</v>
      </c>
      <c r="B272" s="278">
        <v>271</v>
      </c>
      <c r="C272" s="258" t="s">
        <v>390</v>
      </c>
      <c r="D272" s="253">
        <v>42843</v>
      </c>
      <c r="E272" s="252" t="s">
        <v>940</v>
      </c>
      <c r="F272" s="254" t="s">
        <v>105</v>
      </c>
      <c r="G272" s="252">
        <v>690024195</v>
      </c>
      <c r="H272" s="258" t="s">
        <v>103</v>
      </c>
      <c r="I272" s="252" t="s">
        <v>106</v>
      </c>
    </row>
    <row r="273" spans="1:9" x14ac:dyDescent="0.25">
      <c r="A273" s="421">
        <v>273</v>
      </c>
      <c r="B273" s="278">
        <v>272</v>
      </c>
      <c r="C273" s="258" t="s">
        <v>3619</v>
      </c>
      <c r="D273" s="253">
        <v>42843</v>
      </c>
      <c r="E273" s="252" t="s">
        <v>108</v>
      </c>
      <c r="F273" s="254" t="s">
        <v>111</v>
      </c>
      <c r="G273" s="252">
        <v>100051189</v>
      </c>
      <c r="H273" s="258" t="s">
        <v>109</v>
      </c>
      <c r="I273" s="252" t="s">
        <v>112</v>
      </c>
    </row>
    <row r="274" spans="1:9" x14ac:dyDescent="0.25">
      <c r="A274" s="421">
        <v>274</v>
      </c>
      <c r="B274" s="278">
        <v>273</v>
      </c>
      <c r="C274" s="258" t="s">
        <v>1704</v>
      </c>
      <c r="D274" s="253">
        <v>42843</v>
      </c>
      <c r="E274" s="252" t="s">
        <v>2719</v>
      </c>
      <c r="F274" s="254" t="s">
        <v>121</v>
      </c>
      <c r="G274" s="252">
        <v>191116406</v>
      </c>
      <c r="H274" s="258" t="s">
        <v>119</v>
      </c>
      <c r="I274" s="252" t="s">
        <v>122</v>
      </c>
    </row>
    <row r="275" spans="1:9" ht="26.4" x14ac:dyDescent="0.25">
      <c r="A275" s="421">
        <v>275</v>
      </c>
      <c r="B275" s="278">
        <v>274</v>
      </c>
      <c r="C275" s="258" t="s">
        <v>375</v>
      </c>
      <c r="D275" s="253">
        <v>42844</v>
      </c>
      <c r="E275" s="252" t="s">
        <v>124</v>
      </c>
      <c r="F275" s="254" t="s">
        <v>126</v>
      </c>
      <c r="G275" s="252">
        <v>690636470</v>
      </c>
      <c r="H275" s="258" t="s">
        <v>967</v>
      </c>
      <c r="I275" s="252">
        <v>0</v>
      </c>
    </row>
    <row r="276" spans="1:9" x14ac:dyDescent="0.25">
      <c r="A276" s="421">
        <v>276</v>
      </c>
      <c r="B276" s="278">
        <v>275</v>
      </c>
      <c r="C276" s="258" t="s">
        <v>57</v>
      </c>
      <c r="D276" s="253">
        <v>42844</v>
      </c>
      <c r="E276" s="252" t="s">
        <v>537</v>
      </c>
      <c r="F276" s="254" t="s">
        <v>540</v>
      </c>
      <c r="G276" s="252">
        <v>800002060</v>
      </c>
      <c r="H276" s="258" t="s">
        <v>538</v>
      </c>
      <c r="I276" s="252" t="s">
        <v>541</v>
      </c>
    </row>
    <row r="277" spans="1:9" x14ac:dyDescent="0.25">
      <c r="A277" s="421">
        <v>277</v>
      </c>
      <c r="B277" s="278">
        <v>276</v>
      </c>
      <c r="C277" s="258" t="s">
        <v>456</v>
      </c>
      <c r="D277" s="253">
        <v>42845</v>
      </c>
      <c r="E277" s="252" t="s">
        <v>938</v>
      </c>
      <c r="F277" s="254" t="s">
        <v>545</v>
      </c>
      <c r="G277" s="252">
        <v>100429530</v>
      </c>
      <c r="H277" s="258" t="s">
        <v>543</v>
      </c>
      <c r="I277" s="252" t="s">
        <v>546</v>
      </c>
    </row>
    <row r="278" spans="1:9" x14ac:dyDescent="0.25">
      <c r="A278" s="421">
        <v>278</v>
      </c>
      <c r="B278" s="278">
        <v>277</v>
      </c>
      <c r="C278" s="258" t="s">
        <v>850</v>
      </c>
      <c r="D278" s="253">
        <v>42851</v>
      </c>
      <c r="E278" s="252" t="s">
        <v>548</v>
      </c>
      <c r="F278" s="254" t="s">
        <v>550</v>
      </c>
      <c r="G278" s="252">
        <v>192599529</v>
      </c>
      <c r="H278" s="258" t="s">
        <v>967</v>
      </c>
      <c r="I278" s="252" t="s">
        <v>549</v>
      </c>
    </row>
    <row r="279" spans="1:9" x14ac:dyDescent="0.25">
      <c r="A279" s="421">
        <v>279</v>
      </c>
      <c r="B279" s="278">
        <v>278</v>
      </c>
      <c r="C279" s="258" t="s">
        <v>1857</v>
      </c>
      <c r="D279" s="253">
        <v>42851</v>
      </c>
      <c r="E279" s="252" t="s">
        <v>2707</v>
      </c>
      <c r="F279" s="254" t="s">
        <v>555</v>
      </c>
      <c r="G279" s="252">
        <v>100667855</v>
      </c>
      <c r="H279" s="258" t="s">
        <v>552</v>
      </c>
      <c r="I279" s="252" t="s">
        <v>556</v>
      </c>
    </row>
    <row r="280" spans="1:9" ht="26.4" x14ac:dyDescent="0.25">
      <c r="A280" s="421">
        <v>280</v>
      </c>
      <c r="B280" s="278">
        <v>279</v>
      </c>
      <c r="C280" s="258" t="s">
        <v>1663</v>
      </c>
      <c r="D280" s="253">
        <v>42851</v>
      </c>
      <c r="E280" s="252" t="s">
        <v>3600</v>
      </c>
      <c r="F280" s="254" t="s">
        <v>559</v>
      </c>
      <c r="G280" s="252">
        <v>690628627</v>
      </c>
      <c r="H280" s="258" t="s">
        <v>967</v>
      </c>
      <c r="I280" s="252" t="s">
        <v>560</v>
      </c>
    </row>
    <row r="281" spans="1:9" x14ac:dyDescent="0.25">
      <c r="A281" s="421">
        <v>281</v>
      </c>
      <c r="B281" s="278">
        <v>280</v>
      </c>
      <c r="C281" s="258" t="s">
        <v>1057</v>
      </c>
      <c r="D281" s="253">
        <v>42852</v>
      </c>
      <c r="E281" s="252" t="s">
        <v>2169</v>
      </c>
      <c r="F281" s="254" t="s">
        <v>2172</v>
      </c>
      <c r="G281" s="252">
        <v>100103346</v>
      </c>
      <c r="H281" s="258" t="s">
        <v>2170</v>
      </c>
      <c r="I281" s="252" t="s">
        <v>2174</v>
      </c>
    </row>
    <row r="282" spans="1:9" ht="26.4" x14ac:dyDescent="0.25">
      <c r="A282" s="421">
        <v>282</v>
      </c>
      <c r="B282" s="278">
        <v>281</v>
      </c>
      <c r="C282" s="258" t="s">
        <v>1815</v>
      </c>
      <c r="D282" s="253">
        <v>42852</v>
      </c>
      <c r="E282" s="252" t="s">
        <v>2875</v>
      </c>
      <c r="F282" s="254" t="s">
        <v>2176</v>
      </c>
      <c r="G282" s="252">
        <v>190996805</v>
      </c>
      <c r="H282" s="258" t="s">
        <v>967</v>
      </c>
      <c r="I282" s="252" t="s">
        <v>2177</v>
      </c>
    </row>
    <row r="283" spans="1:9" x14ac:dyDescent="0.25">
      <c r="A283" s="421">
        <v>283</v>
      </c>
      <c r="B283" s="278">
        <v>282</v>
      </c>
      <c r="C283" s="258" t="s">
        <v>2636</v>
      </c>
      <c r="D283" s="253">
        <v>42852</v>
      </c>
      <c r="E283" s="252" t="s">
        <v>1002</v>
      </c>
      <c r="F283" s="254" t="s">
        <v>2180</v>
      </c>
      <c r="G283" s="252">
        <v>690033956</v>
      </c>
      <c r="H283" s="258" t="s">
        <v>967</v>
      </c>
      <c r="I283" s="252" t="s">
        <v>2181</v>
      </c>
    </row>
    <row r="284" spans="1:9" ht="26.4" x14ac:dyDescent="0.25">
      <c r="A284" s="421">
        <v>284</v>
      </c>
      <c r="B284" s="278">
        <v>283</v>
      </c>
      <c r="C284" s="258" t="s">
        <v>389</v>
      </c>
      <c r="D284" s="253">
        <v>42852</v>
      </c>
      <c r="E284" s="252" t="s">
        <v>2183</v>
      </c>
      <c r="F284" s="254" t="s">
        <v>2185</v>
      </c>
      <c r="G284" s="252">
        <v>500404755</v>
      </c>
      <c r="H284" s="258" t="s">
        <v>967</v>
      </c>
      <c r="I284" s="252" t="s">
        <v>2186</v>
      </c>
    </row>
    <row r="285" spans="1:9" ht="26.4" x14ac:dyDescent="0.25">
      <c r="A285" s="421">
        <v>285</v>
      </c>
      <c r="B285" s="278">
        <v>284</v>
      </c>
      <c r="C285" s="258" t="s">
        <v>3642</v>
      </c>
      <c r="D285" s="253">
        <v>42852</v>
      </c>
      <c r="E285" s="252" t="s">
        <v>1668</v>
      </c>
      <c r="F285" s="254" t="s">
        <v>2190</v>
      </c>
      <c r="G285" s="252">
        <v>600049639</v>
      </c>
      <c r="H285" s="258" t="s">
        <v>2188</v>
      </c>
      <c r="I285" s="252" t="s">
        <v>2191</v>
      </c>
    </row>
    <row r="286" spans="1:9" ht="26.4" x14ac:dyDescent="0.25">
      <c r="A286" s="421">
        <v>286</v>
      </c>
      <c r="B286" s="278">
        <v>285</v>
      </c>
      <c r="C286" s="258" t="s">
        <v>2966</v>
      </c>
      <c r="D286" s="253">
        <v>42852</v>
      </c>
      <c r="E286" s="252" t="s">
        <v>2111</v>
      </c>
      <c r="F286" s="254" t="s">
        <v>2195</v>
      </c>
      <c r="G286" s="252">
        <v>101129360</v>
      </c>
      <c r="H286" s="258" t="s">
        <v>2193</v>
      </c>
      <c r="I286" s="252" t="s">
        <v>2196</v>
      </c>
    </row>
    <row r="287" spans="1:9" x14ac:dyDescent="0.25">
      <c r="A287" s="421">
        <v>287</v>
      </c>
      <c r="B287" s="278">
        <v>286</v>
      </c>
      <c r="C287" s="258" t="s">
        <v>828</v>
      </c>
      <c r="D287" s="253">
        <v>42853</v>
      </c>
      <c r="E287" s="252" t="s">
        <v>2199</v>
      </c>
      <c r="F287" s="254" t="s">
        <v>2208</v>
      </c>
      <c r="G287" s="252">
        <v>191602169</v>
      </c>
      <c r="H287" s="258" t="s">
        <v>967</v>
      </c>
      <c r="I287" s="252" t="s">
        <v>2201</v>
      </c>
    </row>
    <row r="288" spans="1:9" ht="26.4" x14ac:dyDescent="0.25">
      <c r="A288" s="421">
        <v>288</v>
      </c>
      <c r="B288" s="278">
        <v>287</v>
      </c>
      <c r="C288" s="258" t="s">
        <v>1845</v>
      </c>
      <c r="D288" s="253">
        <v>42853</v>
      </c>
      <c r="E288" s="252" t="s">
        <v>2205</v>
      </c>
      <c r="F288" s="254" t="s">
        <v>2209</v>
      </c>
      <c r="G288" s="252">
        <v>812004321</v>
      </c>
      <c r="H288" s="258" t="s">
        <v>967</v>
      </c>
      <c r="I288" s="252" t="s">
        <v>2210</v>
      </c>
    </row>
    <row r="289" spans="1:9" ht="26.4" x14ac:dyDescent="0.25">
      <c r="A289" s="421">
        <v>289</v>
      </c>
      <c r="B289" s="278">
        <v>288</v>
      </c>
      <c r="C289" s="258" t="s">
        <v>202</v>
      </c>
      <c r="D289" s="253">
        <v>42853</v>
      </c>
      <c r="E289" s="252" t="s">
        <v>393</v>
      </c>
      <c r="F289" s="254" t="s">
        <v>2213</v>
      </c>
      <c r="G289" s="252">
        <v>191487825</v>
      </c>
      <c r="H289" s="258" t="s">
        <v>967</v>
      </c>
      <c r="I289" s="252" t="s">
        <v>2214</v>
      </c>
    </row>
    <row r="290" spans="1:9" ht="26.4" x14ac:dyDescent="0.25">
      <c r="A290" s="421">
        <v>290</v>
      </c>
      <c r="B290" s="278">
        <v>289</v>
      </c>
      <c r="C290" s="258" t="s">
        <v>61</v>
      </c>
      <c r="D290" s="253">
        <v>42853</v>
      </c>
      <c r="E290" s="252" t="s">
        <v>2216</v>
      </c>
      <c r="F290" s="254" t="s">
        <v>2218</v>
      </c>
      <c r="G290" s="252">
        <v>191449767</v>
      </c>
      <c r="H290" s="258" t="s">
        <v>967</v>
      </c>
      <c r="I290" s="252" t="s">
        <v>2219</v>
      </c>
    </row>
    <row r="291" spans="1:9" x14ac:dyDescent="0.25">
      <c r="A291" s="421">
        <v>291</v>
      </c>
      <c r="B291" s="278">
        <v>290</v>
      </c>
      <c r="C291" s="258" t="s">
        <v>2604</v>
      </c>
      <c r="D291" s="253">
        <v>42857</v>
      </c>
      <c r="E291" s="252" t="s">
        <v>3303</v>
      </c>
      <c r="F291" s="254" t="s">
        <v>2223</v>
      </c>
      <c r="G291" s="252">
        <v>100297103</v>
      </c>
      <c r="H291" s="258" t="s">
        <v>2221</v>
      </c>
      <c r="I291" s="252" t="s">
        <v>2224</v>
      </c>
    </row>
    <row r="292" spans="1:9" ht="26.4" x14ac:dyDescent="0.25">
      <c r="A292" s="421">
        <v>292</v>
      </c>
      <c r="B292" s="278">
        <v>291</v>
      </c>
      <c r="C292" s="258" t="s">
        <v>3284</v>
      </c>
      <c r="D292" s="253">
        <v>42857</v>
      </c>
      <c r="E292" s="252" t="s">
        <v>3260</v>
      </c>
      <c r="F292" s="254" t="s">
        <v>2229</v>
      </c>
      <c r="G292" s="252">
        <v>690606064</v>
      </c>
      <c r="H292" s="258" t="s">
        <v>2227</v>
      </c>
      <c r="I292" s="252" t="s">
        <v>2230</v>
      </c>
    </row>
    <row r="293" spans="1:9" ht="26.4" x14ac:dyDescent="0.25">
      <c r="A293" s="421">
        <v>293</v>
      </c>
      <c r="B293" s="278">
        <v>292</v>
      </c>
      <c r="C293" s="258" t="s">
        <v>2359</v>
      </c>
      <c r="D293" s="253">
        <v>42857</v>
      </c>
      <c r="E293" s="252" t="s">
        <v>3492</v>
      </c>
      <c r="F293" s="254" t="s">
        <v>2235</v>
      </c>
      <c r="G293" s="252">
        <v>102345778</v>
      </c>
      <c r="H293" s="258" t="s">
        <v>2232</v>
      </c>
      <c r="I293" s="252" t="s">
        <v>2236</v>
      </c>
    </row>
    <row r="294" spans="1:9" ht="26.4" x14ac:dyDescent="0.25">
      <c r="A294" s="421">
        <v>294</v>
      </c>
      <c r="B294" s="278">
        <v>293</v>
      </c>
      <c r="C294" s="258" t="s">
        <v>3538</v>
      </c>
      <c r="D294" s="253">
        <v>42887</v>
      </c>
      <c r="E294" s="252" t="s">
        <v>2243</v>
      </c>
      <c r="F294" s="254" t="s">
        <v>2240</v>
      </c>
      <c r="G294" s="252">
        <v>691574211</v>
      </c>
      <c r="H294" s="258" t="s">
        <v>967</v>
      </c>
      <c r="I294" s="252" t="s">
        <v>2168</v>
      </c>
    </row>
    <row r="295" spans="1:9" x14ac:dyDescent="0.25">
      <c r="A295" s="421">
        <v>295</v>
      </c>
      <c r="B295" s="278">
        <v>294</v>
      </c>
      <c r="C295" s="258" t="s">
        <v>520</v>
      </c>
      <c r="D295" s="253">
        <v>42858</v>
      </c>
      <c r="E295" s="252" t="s">
        <v>3107</v>
      </c>
      <c r="F295" s="254" t="s">
        <v>1241</v>
      </c>
      <c r="G295" s="252">
        <v>100320487</v>
      </c>
      <c r="H295" s="258" t="s">
        <v>967</v>
      </c>
      <c r="I295" s="252" t="s">
        <v>1242</v>
      </c>
    </row>
    <row r="296" spans="1:9" ht="26.4" x14ac:dyDescent="0.25">
      <c r="A296" s="421">
        <v>296</v>
      </c>
      <c r="B296" s="278">
        <v>295</v>
      </c>
      <c r="C296" s="258" t="s">
        <v>2974</v>
      </c>
      <c r="D296" s="253">
        <v>42858</v>
      </c>
      <c r="E296" s="252" t="s">
        <v>2247</v>
      </c>
      <c r="F296" s="254" t="s">
        <v>2249</v>
      </c>
      <c r="G296" s="252">
        <v>692588221</v>
      </c>
      <c r="H296" s="258" t="s">
        <v>967</v>
      </c>
      <c r="I296" s="252" t="s">
        <v>2250</v>
      </c>
    </row>
    <row r="297" spans="1:9" x14ac:dyDescent="0.25">
      <c r="A297" s="421">
        <v>297</v>
      </c>
      <c r="B297" s="278">
        <v>296</v>
      </c>
      <c r="C297" s="258" t="s">
        <v>855</v>
      </c>
      <c r="D297" s="253">
        <v>42859</v>
      </c>
      <c r="E297" s="252" t="s">
        <v>2654</v>
      </c>
      <c r="F297" s="254" t="s">
        <v>2253</v>
      </c>
      <c r="G297" s="252">
        <v>800015299</v>
      </c>
      <c r="H297" s="258" t="s">
        <v>967</v>
      </c>
      <c r="I297" s="252" t="s">
        <v>2254</v>
      </c>
    </row>
    <row r="298" spans="1:9" ht="26.4" x14ac:dyDescent="0.25">
      <c r="A298" s="421">
        <v>298</v>
      </c>
      <c r="B298" s="278">
        <v>297</v>
      </c>
      <c r="C298" s="258" t="s">
        <v>2363</v>
      </c>
      <c r="D298" s="253">
        <v>42859</v>
      </c>
      <c r="E298" s="252" t="s">
        <v>2256</v>
      </c>
      <c r="F298" s="254" t="s">
        <v>2258</v>
      </c>
      <c r="G298" s="252">
        <v>190883306</v>
      </c>
      <c r="H298" s="258" t="s">
        <v>967</v>
      </c>
      <c r="I298" s="252" t="s">
        <v>2259</v>
      </c>
    </row>
    <row r="299" spans="1:9" ht="26.4" x14ac:dyDescent="0.25">
      <c r="A299" s="421">
        <v>299</v>
      </c>
      <c r="B299" s="278">
        <v>298</v>
      </c>
      <c r="C299" s="258" t="s">
        <v>925</v>
      </c>
      <c r="D299" s="253">
        <v>42880</v>
      </c>
      <c r="E299" s="252" t="s">
        <v>1541</v>
      </c>
      <c r="F299" s="254" t="s">
        <v>2498</v>
      </c>
      <c r="G299" s="252">
        <v>808001218</v>
      </c>
      <c r="H299" s="258" t="s">
        <v>967</v>
      </c>
      <c r="I299" s="252" t="s">
        <v>2499</v>
      </c>
    </row>
    <row r="300" spans="1:9" x14ac:dyDescent="0.25">
      <c r="A300" s="421">
        <v>300</v>
      </c>
      <c r="B300" s="278">
        <v>299</v>
      </c>
      <c r="C300" s="258" t="s">
        <v>2620</v>
      </c>
      <c r="D300" s="253">
        <v>42859</v>
      </c>
      <c r="E300" s="252" t="s">
        <v>2266</v>
      </c>
      <c r="F300" s="254" t="s">
        <v>2267</v>
      </c>
      <c r="G300" s="252">
        <v>101492947</v>
      </c>
      <c r="H300" s="258" t="s">
        <v>967</v>
      </c>
      <c r="I300" s="252" t="s">
        <v>2268</v>
      </c>
    </row>
    <row r="301" spans="1:9" ht="26.4" x14ac:dyDescent="0.25">
      <c r="A301" s="421">
        <v>301</v>
      </c>
      <c r="B301" s="278">
        <v>300</v>
      </c>
      <c r="C301" s="258" t="s">
        <v>943</v>
      </c>
      <c r="D301" s="253">
        <v>42860</v>
      </c>
      <c r="E301" s="252" t="s">
        <v>3843</v>
      </c>
      <c r="F301" s="254" t="s">
        <v>2273</v>
      </c>
      <c r="G301" s="252">
        <v>190771653</v>
      </c>
      <c r="H301" s="258" t="s">
        <v>2271</v>
      </c>
      <c r="I301" s="252" t="s">
        <v>2274</v>
      </c>
    </row>
    <row r="302" spans="1:9" ht="26.4" x14ac:dyDescent="0.25">
      <c r="A302" s="421">
        <v>302</v>
      </c>
      <c r="B302" s="278">
        <v>301</v>
      </c>
      <c r="C302" s="258" t="s">
        <v>2613</v>
      </c>
      <c r="D302" s="253">
        <v>42860</v>
      </c>
      <c r="E302" s="252" t="s">
        <v>2276</v>
      </c>
      <c r="F302" s="254" t="s">
        <v>2281</v>
      </c>
      <c r="G302" s="252">
        <v>600231572</v>
      </c>
      <c r="H302" s="258" t="s">
        <v>2277</v>
      </c>
      <c r="I302" s="252" t="s">
        <v>2280</v>
      </c>
    </row>
    <row r="303" spans="1:9" x14ac:dyDescent="0.25">
      <c r="A303" s="421">
        <v>303</v>
      </c>
      <c r="B303" s="278">
        <v>302</v>
      </c>
      <c r="C303" s="258" t="s">
        <v>2288</v>
      </c>
      <c r="D303" s="253">
        <v>42860</v>
      </c>
      <c r="E303" s="252" t="s">
        <v>382</v>
      </c>
      <c r="F303" s="254" t="s">
        <v>2285</v>
      </c>
      <c r="G303" s="252">
        <v>100265715</v>
      </c>
      <c r="H303" s="258" t="s">
        <v>2283</v>
      </c>
      <c r="I303" s="252" t="s">
        <v>2286</v>
      </c>
    </row>
    <row r="304" spans="1:9" x14ac:dyDescent="0.25">
      <c r="A304" s="421">
        <v>304</v>
      </c>
      <c r="B304" s="278">
        <v>303</v>
      </c>
      <c r="C304" s="258" t="s">
        <v>2848</v>
      </c>
      <c r="D304" s="253">
        <v>42860</v>
      </c>
      <c r="E304" s="252" t="s">
        <v>4210</v>
      </c>
      <c r="F304" s="254" t="s">
        <v>2290</v>
      </c>
      <c r="G304" s="252">
        <v>100093319</v>
      </c>
      <c r="H304" s="258" t="s">
        <v>967</v>
      </c>
      <c r="I304" s="252" t="s">
        <v>2291</v>
      </c>
    </row>
    <row r="305" spans="1:9" x14ac:dyDescent="0.25">
      <c r="A305" s="421">
        <v>305</v>
      </c>
      <c r="B305" s="278">
        <v>304</v>
      </c>
      <c r="C305" s="258" t="s">
        <v>2436</v>
      </c>
      <c r="D305" s="253">
        <v>42865</v>
      </c>
      <c r="E305" s="252" t="s">
        <v>2293</v>
      </c>
      <c r="F305" s="254" t="s">
        <v>2295</v>
      </c>
      <c r="G305" s="252">
        <v>691346672</v>
      </c>
      <c r="H305" s="258" t="s">
        <v>967</v>
      </c>
      <c r="I305" s="252" t="s">
        <v>2296</v>
      </c>
    </row>
    <row r="306" spans="1:9" ht="26.4" x14ac:dyDescent="0.25">
      <c r="A306" s="421">
        <v>306</v>
      </c>
      <c r="B306" s="278">
        <v>305</v>
      </c>
      <c r="C306" s="258" t="s">
        <v>1810</v>
      </c>
      <c r="D306" s="253">
        <v>42865</v>
      </c>
      <c r="E306" s="252" t="s">
        <v>955</v>
      </c>
      <c r="F306" s="254" t="s">
        <v>2300</v>
      </c>
      <c r="G306" s="252">
        <v>191835639</v>
      </c>
      <c r="H306" s="258" t="s">
        <v>967</v>
      </c>
      <c r="I306" s="252" t="s">
        <v>2299</v>
      </c>
    </row>
    <row r="307" spans="1:9" ht="26.4" x14ac:dyDescent="0.25">
      <c r="A307" s="421">
        <v>307</v>
      </c>
      <c r="B307" s="278">
        <v>306</v>
      </c>
      <c r="C307" s="258" t="s">
        <v>3274</v>
      </c>
      <c r="D307" s="253">
        <v>42865</v>
      </c>
      <c r="E307" s="252" t="s">
        <v>309</v>
      </c>
      <c r="F307" s="254" t="s">
        <v>2303</v>
      </c>
      <c r="G307" s="252">
        <v>691072211</v>
      </c>
      <c r="H307" s="258" t="s">
        <v>967</v>
      </c>
      <c r="I307" s="252" t="s">
        <v>2304</v>
      </c>
    </row>
    <row r="308" spans="1:9" x14ac:dyDescent="0.25">
      <c r="A308" s="421">
        <v>308</v>
      </c>
      <c r="B308" s="278">
        <v>307</v>
      </c>
      <c r="C308" s="258" t="s">
        <v>3570</v>
      </c>
      <c r="D308" s="253">
        <v>42865</v>
      </c>
      <c r="E308" s="252" t="s">
        <v>2420</v>
      </c>
      <c r="F308" s="254" t="s">
        <v>2307</v>
      </c>
      <c r="G308" s="252">
        <v>100315367</v>
      </c>
      <c r="H308" s="258" t="s">
        <v>2309</v>
      </c>
      <c r="I308" s="252" t="s">
        <v>2308</v>
      </c>
    </row>
    <row r="309" spans="1:9" x14ac:dyDescent="0.25">
      <c r="A309" s="421">
        <v>309</v>
      </c>
      <c r="B309" s="278">
        <v>308</v>
      </c>
      <c r="C309" s="258" t="s">
        <v>706</v>
      </c>
      <c r="D309" s="346">
        <v>42866</v>
      </c>
      <c r="E309" s="252" t="s">
        <v>859</v>
      </c>
      <c r="F309" s="254" t="s">
        <v>4158</v>
      </c>
      <c r="G309" s="252">
        <v>191564325</v>
      </c>
      <c r="H309" s="258" t="s">
        <v>4156</v>
      </c>
      <c r="I309" s="252" t="s">
        <v>4159</v>
      </c>
    </row>
    <row r="310" spans="1:9" ht="26.4" x14ac:dyDescent="0.25">
      <c r="A310" s="421">
        <v>310</v>
      </c>
      <c r="B310" s="278">
        <v>309</v>
      </c>
      <c r="C310" s="258" t="s">
        <v>2653</v>
      </c>
      <c r="D310" s="253">
        <v>42866</v>
      </c>
      <c r="E310" s="252" t="s">
        <v>4161</v>
      </c>
      <c r="F310" s="254" t="s">
        <v>4163</v>
      </c>
      <c r="G310" s="252">
        <v>690653858</v>
      </c>
      <c r="H310" s="258" t="s">
        <v>967</v>
      </c>
      <c r="I310" s="252" t="s">
        <v>4164</v>
      </c>
    </row>
    <row r="311" spans="1:9" x14ac:dyDescent="0.25">
      <c r="A311" s="421">
        <v>311</v>
      </c>
      <c r="B311" s="278">
        <v>310</v>
      </c>
      <c r="C311" s="258" t="s">
        <v>3141</v>
      </c>
      <c r="D311" s="253">
        <v>42866</v>
      </c>
      <c r="E311" s="252" t="s">
        <v>3744</v>
      </c>
      <c r="F311" s="254" t="s">
        <v>4168</v>
      </c>
      <c r="G311" s="252">
        <v>100512805</v>
      </c>
      <c r="H311" s="258" t="s">
        <v>4166</v>
      </c>
      <c r="I311" s="252" t="s">
        <v>4170</v>
      </c>
    </row>
    <row r="312" spans="1:9" x14ac:dyDescent="0.25">
      <c r="A312" s="421">
        <v>312</v>
      </c>
      <c r="B312" s="278">
        <v>311</v>
      </c>
      <c r="C312" s="258" t="s">
        <v>2373</v>
      </c>
      <c r="D312" s="253">
        <v>42867</v>
      </c>
      <c r="E312" s="252" t="s">
        <v>2802</v>
      </c>
      <c r="F312" s="254" t="s">
        <v>4173</v>
      </c>
      <c r="G312" s="252">
        <v>0</v>
      </c>
      <c r="H312" s="258" t="s">
        <v>967</v>
      </c>
      <c r="I312" s="252" t="s">
        <v>4174</v>
      </c>
    </row>
    <row r="313" spans="1:9" ht="26.4" x14ac:dyDescent="0.25">
      <c r="A313" s="421">
        <v>313</v>
      </c>
      <c r="B313" s="278">
        <v>312</v>
      </c>
      <c r="C313" s="258" t="s">
        <v>325</v>
      </c>
      <c r="D313" s="253">
        <v>42867</v>
      </c>
      <c r="E313" s="252" t="s">
        <v>4176</v>
      </c>
      <c r="F313" s="254" t="s">
        <v>4178</v>
      </c>
      <c r="G313" s="252">
        <v>690835419</v>
      </c>
      <c r="H313" s="258" t="s">
        <v>967</v>
      </c>
      <c r="I313" s="252" t="s">
        <v>4179</v>
      </c>
    </row>
    <row r="314" spans="1:9" ht="26.4" x14ac:dyDescent="0.25">
      <c r="A314" s="421">
        <v>314</v>
      </c>
      <c r="B314" s="278">
        <v>313</v>
      </c>
      <c r="C314" s="258" t="s">
        <v>2865</v>
      </c>
      <c r="D314" s="253">
        <v>42870</v>
      </c>
      <c r="E314" s="252" t="s">
        <v>263</v>
      </c>
      <c r="F314" s="254" t="s">
        <v>3385</v>
      </c>
      <c r="G314" s="252">
        <v>600182119</v>
      </c>
      <c r="H314" s="258" t="s">
        <v>3383</v>
      </c>
      <c r="I314" s="252" t="s">
        <v>3386</v>
      </c>
    </row>
    <row r="315" spans="1:9" x14ac:dyDescent="0.25">
      <c r="A315" s="421">
        <v>315</v>
      </c>
      <c r="B315" s="278">
        <v>314</v>
      </c>
      <c r="C315" s="258" t="s">
        <v>3294</v>
      </c>
      <c r="D315" s="253">
        <v>42870</v>
      </c>
      <c r="E315" s="252" t="s">
        <v>3623</v>
      </c>
      <c r="F315" s="254" t="s">
        <v>3390</v>
      </c>
      <c r="G315" s="252">
        <v>100265026</v>
      </c>
      <c r="H315" s="258" t="s">
        <v>3389</v>
      </c>
      <c r="I315" s="252" t="s">
        <v>3391</v>
      </c>
    </row>
    <row r="316" spans="1:9" x14ac:dyDescent="0.25">
      <c r="A316" s="421">
        <v>316</v>
      </c>
      <c r="B316" s="278">
        <v>315</v>
      </c>
      <c r="C316" s="258" t="s">
        <v>3625</v>
      </c>
      <c r="D316" s="253">
        <v>42870</v>
      </c>
      <c r="E316" s="252" t="s">
        <v>3396</v>
      </c>
      <c r="F316" s="254" t="s">
        <v>3397</v>
      </c>
      <c r="G316" s="252">
        <v>191475330</v>
      </c>
      <c r="H316" s="258" t="s">
        <v>967</v>
      </c>
      <c r="I316" s="252" t="s">
        <v>3398</v>
      </c>
    </row>
    <row r="317" spans="1:9" x14ac:dyDescent="0.25">
      <c r="A317" s="421">
        <v>317</v>
      </c>
      <c r="B317" s="278">
        <v>316</v>
      </c>
      <c r="C317" s="258" t="s">
        <v>887</v>
      </c>
      <c r="D317" s="253">
        <v>42871</v>
      </c>
      <c r="E317" s="252" t="s">
        <v>3774</v>
      </c>
      <c r="F317" s="254" t="s">
        <v>3401</v>
      </c>
      <c r="G317" s="252">
        <v>690019524</v>
      </c>
      <c r="H317" s="258" t="s">
        <v>967</v>
      </c>
      <c r="I317" s="252" t="s">
        <v>3402</v>
      </c>
    </row>
    <row r="318" spans="1:9" ht="26.4" x14ac:dyDescent="0.25">
      <c r="A318" s="421">
        <v>318</v>
      </c>
      <c r="B318" s="278">
        <v>317</v>
      </c>
      <c r="C318" s="258" t="s">
        <v>3408</v>
      </c>
      <c r="D318" s="253">
        <v>42872</v>
      </c>
      <c r="E318" s="252" t="s">
        <v>2656</v>
      </c>
      <c r="F318" s="254" t="s">
        <v>3407</v>
      </c>
      <c r="G318" s="252">
        <v>691580100</v>
      </c>
      <c r="H318" s="258" t="s">
        <v>967</v>
      </c>
      <c r="I318" s="252" t="s">
        <v>3405</v>
      </c>
    </row>
    <row r="319" spans="1:9" x14ac:dyDescent="0.25">
      <c r="A319" s="421">
        <v>319</v>
      </c>
      <c r="B319" s="278">
        <v>318</v>
      </c>
      <c r="C319" s="258" t="s">
        <v>2751</v>
      </c>
      <c r="D319" s="253">
        <v>42872</v>
      </c>
      <c r="E319" s="252" t="s">
        <v>2415</v>
      </c>
      <c r="F319" s="254" t="s">
        <v>3411</v>
      </c>
      <c r="G319" s="252">
        <v>100315341</v>
      </c>
      <c r="H319" s="258" t="s">
        <v>967</v>
      </c>
      <c r="I319" s="252" t="s">
        <v>3412</v>
      </c>
    </row>
    <row r="320" spans="1:9" ht="26.4" x14ac:dyDescent="0.25">
      <c r="A320" s="421">
        <v>320</v>
      </c>
      <c r="B320" s="278">
        <v>319</v>
      </c>
      <c r="C320" s="258" t="s">
        <v>1666</v>
      </c>
      <c r="D320" s="253">
        <v>42872</v>
      </c>
      <c r="E320" s="252" t="s">
        <v>3414</v>
      </c>
      <c r="F320" s="254" t="s">
        <v>3417</v>
      </c>
      <c r="G320" s="252">
        <v>691525196</v>
      </c>
      <c r="H320" s="258" t="s">
        <v>967</v>
      </c>
      <c r="I320" s="252" t="s">
        <v>3416</v>
      </c>
    </row>
    <row r="321" spans="1:9" x14ac:dyDescent="0.25">
      <c r="A321" s="421">
        <v>321</v>
      </c>
      <c r="B321" s="278">
        <v>320</v>
      </c>
      <c r="C321" s="258" t="s">
        <v>949</v>
      </c>
      <c r="D321" s="253">
        <v>42872</v>
      </c>
      <c r="E321" s="252" t="s">
        <v>50</v>
      </c>
      <c r="F321" s="254" t="s">
        <v>3418</v>
      </c>
      <c r="G321" s="252">
        <v>690325966</v>
      </c>
      <c r="H321" s="258" t="s">
        <v>967</v>
      </c>
      <c r="I321" s="252" t="s">
        <v>3720</v>
      </c>
    </row>
    <row r="322" spans="1:9" x14ac:dyDescent="0.25">
      <c r="A322" s="421">
        <v>322</v>
      </c>
      <c r="B322" s="278">
        <v>321</v>
      </c>
      <c r="C322" s="258" t="s">
        <v>923</v>
      </c>
      <c r="D322" s="253">
        <v>42873</v>
      </c>
      <c r="E322" s="252" t="s">
        <v>3420</v>
      </c>
      <c r="F322" s="254" t="s">
        <v>3422</v>
      </c>
      <c r="G322" s="252">
        <v>191156245</v>
      </c>
      <c r="H322" s="258" t="s">
        <v>967</v>
      </c>
      <c r="I322" s="252" t="s">
        <v>3423</v>
      </c>
    </row>
    <row r="323" spans="1:9" x14ac:dyDescent="0.25">
      <c r="A323" s="421">
        <v>323</v>
      </c>
      <c r="B323" s="278">
        <v>322</v>
      </c>
      <c r="C323" s="258" t="s">
        <v>1535</v>
      </c>
      <c r="D323" s="253">
        <v>42873</v>
      </c>
      <c r="E323" s="252" t="s">
        <v>2791</v>
      </c>
      <c r="F323" s="254" t="s">
        <v>3426</v>
      </c>
      <c r="G323" s="252">
        <v>100099572</v>
      </c>
      <c r="H323" s="258" t="s">
        <v>3424</v>
      </c>
      <c r="I323" s="252" t="s">
        <v>3427</v>
      </c>
    </row>
    <row r="324" spans="1:9" ht="26.4" x14ac:dyDescent="0.25">
      <c r="A324" s="421">
        <v>324</v>
      </c>
      <c r="B324" s="278">
        <v>323</v>
      </c>
      <c r="C324" s="258" t="s">
        <v>4234</v>
      </c>
      <c r="D324" s="253">
        <v>42874</v>
      </c>
      <c r="E324" s="252" t="s">
        <v>1007</v>
      </c>
      <c r="F324" s="254" t="s">
        <v>1009</v>
      </c>
      <c r="G324" s="252">
        <v>192814863</v>
      </c>
      <c r="H324" s="258" t="s">
        <v>967</v>
      </c>
      <c r="I324" s="252" t="s">
        <v>1008</v>
      </c>
    </row>
    <row r="325" spans="1:9" ht="26.4" x14ac:dyDescent="0.25">
      <c r="A325" s="421">
        <v>325</v>
      </c>
      <c r="B325" s="278">
        <v>324</v>
      </c>
      <c r="C325" s="258" t="s">
        <v>1805</v>
      </c>
      <c r="D325" s="253">
        <v>42877</v>
      </c>
      <c r="E325" s="252" t="s">
        <v>2462</v>
      </c>
      <c r="F325" s="254" t="s">
        <v>2464</v>
      </c>
      <c r="G325" s="252">
        <v>691763321</v>
      </c>
      <c r="H325" s="258" t="s">
        <v>967</v>
      </c>
      <c r="I325" s="252" t="s">
        <v>2465</v>
      </c>
    </row>
    <row r="326" spans="1:9" ht="26.4" x14ac:dyDescent="0.25">
      <c r="A326" s="421">
        <v>326</v>
      </c>
      <c r="B326" s="278">
        <v>325</v>
      </c>
      <c r="C326" s="258" t="s">
        <v>2750</v>
      </c>
      <c r="D326" s="253">
        <v>42877</v>
      </c>
      <c r="E326" s="252" t="s">
        <v>2467</v>
      </c>
      <c r="F326" s="254" t="s">
        <v>2470</v>
      </c>
      <c r="G326" s="252">
        <v>192046273</v>
      </c>
      <c r="H326" s="258" t="s">
        <v>967</v>
      </c>
      <c r="I326" s="252" t="s">
        <v>2469</v>
      </c>
    </row>
    <row r="327" spans="1:9" ht="26.4" x14ac:dyDescent="0.25">
      <c r="A327" s="421">
        <v>327</v>
      </c>
      <c r="B327" s="278">
        <v>326</v>
      </c>
      <c r="C327" s="258" t="s">
        <v>1628</v>
      </c>
      <c r="D327" s="253">
        <v>42877</v>
      </c>
      <c r="E327" s="252" t="s">
        <v>2472</v>
      </c>
      <c r="F327" s="254" t="s">
        <v>2474</v>
      </c>
      <c r="G327" s="252">
        <v>691797999</v>
      </c>
      <c r="H327" s="258" t="s">
        <v>967</v>
      </c>
      <c r="I327" s="252" t="s">
        <v>2475</v>
      </c>
    </row>
    <row r="328" spans="1:9" ht="26.4" x14ac:dyDescent="0.25">
      <c r="A328" s="421">
        <v>328</v>
      </c>
      <c r="B328" s="278">
        <v>327</v>
      </c>
      <c r="C328" s="258" t="s">
        <v>409</v>
      </c>
      <c r="D328" s="253">
        <v>42878</v>
      </c>
      <c r="E328" s="252" t="s">
        <v>903</v>
      </c>
      <c r="F328" s="254" t="s">
        <v>2479</v>
      </c>
      <c r="G328" s="252">
        <v>191764339</v>
      </c>
      <c r="H328" s="258" t="s">
        <v>967</v>
      </c>
      <c r="I328" s="252" t="s">
        <v>2480</v>
      </c>
    </row>
    <row r="329" spans="1:9" x14ac:dyDescent="0.25">
      <c r="A329" s="421">
        <v>329</v>
      </c>
      <c r="B329" s="278">
        <v>328</v>
      </c>
      <c r="C329" s="258" t="s">
        <v>2821</v>
      </c>
      <c r="D329" s="253">
        <v>42879</v>
      </c>
      <c r="E329" s="252" t="s">
        <v>1792</v>
      </c>
      <c r="F329" s="254" t="s">
        <v>2484</v>
      </c>
      <c r="G329" s="252">
        <v>190542533</v>
      </c>
      <c r="H329" s="258" t="s">
        <v>2482</v>
      </c>
      <c r="I329" s="252" t="s">
        <v>2485</v>
      </c>
    </row>
    <row r="330" spans="1:9" x14ac:dyDescent="0.25">
      <c r="A330" s="421">
        <v>330</v>
      </c>
      <c r="B330" s="278">
        <v>329</v>
      </c>
      <c r="C330" s="258" t="s">
        <v>3252</v>
      </c>
      <c r="D330" s="253">
        <v>42879</v>
      </c>
      <c r="E330" s="252" t="s">
        <v>2487</v>
      </c>
      <c r="F330" s="254" t="s">
        <v>2491</v>
      </c>
      <c r="G330" s="252">
        <v>690610359</v>
      </c>
      <c r="H330" s="258" t="s">
        <v>967</v>
      </c>
      <c r="I330" s="252" t="s">
        <v>2489</v>
      </c>
    </row>
    <row r="331" spans="1:9" x14ac:dyDescent="0.25">
      <c r="A331" s="421">
        <v>331</v>
      </c>
      <c r="B331" s="278">
        <v>330</v>
      </c>
      <c r="C331" s="258" t="s">
        <v>3253</v>
      </c>
      <c r="D331" s="346">
        <v>42879</v>
      </c>
      <c r="E331" s="252" t="s">
        <v>2492</v>
      </c>
      <c r="F331" s="254" t="s">
        <v>2494</v>
      </c>
      <c r="G331" s="252">
        <v>190431647</v>
      </c>
      <c r="H331" s="258" t="s">
        <v>967</v>
      </c>
      <c r="I331" s="252" t="s">
        <v>2496</v>
      </c>
    </row>
    <row r="332" spans="1:9" x14ac:dyDescent="0.25">
      <c r="A332" s="421">
        <v>332</v>
      </c>
      <c r="B332" s="278">
        <v>331</v>
      </c>
      <c r="C332" s="258" t="s">
        <v>1111</v>
      </c>
      <c r="D332" s="253">
        <v>42879</v>
      </c>
      <c r="E332" s="252" t="s">
        <v>2261</v>
      </c>
      <c r="F332" s="254" t="s">
        <v>2263</v>
      </c>
      <c r="G332" s="252">
        <v>190247475</v>
      </c>
      <c r="H332" s="258" t="s">
        <v>967</v>
      </c>
      <c r="I332" s="252" t="s">
        <v>2264</v>
      </c>
    </row>
    <row r="333" spans="1:9" ht="26.4" x14ac:dyDescent="0.25">
      <c r="A333" s="421">
        <v>333</v>
      </c>
      <c r="B333" s="278">
        <v>332</v>
      </c>
      <c r="C333" s="258" t="s">
        <v>925</v>
      </c>
      <c r="D333" s="253">
        <v>42880</v>
      </c>
      <c r="E333" s="252" t="s">
        <v>1541</v>
      </c>
      <c r="F333" s="254" t="s">
        <v>2498</v>
      </c>
      <c r="G333" s="252">
        <v>808001218</v>
      </c>
      <c r="H333" s="258" t="s">
        <v>967</v>
      </c>
      <c r="I333" s="252" t="s">
        <v>2499</v>
      </c>
    </row>
    <row r="334" spans="1:9" ht="26.4" x14ac:dyDescent="0.25">
      <c r="A334" s="421">
        <v>334</v>
      </c>
      <c r="B334" s="278">
        <v>333</v>
      </c>
      <c r="C334" s="258" t="s">
        <v>1950</v>
      </c>
      <c r="D334" s="253">
        <v>42880</v>
      </c>
      <c r="E334" s="252" t="s">
        <v>2501</v>
      </c>
      <c r="F334" s="254" t="s">
        <v>2502</v>
      </c>
      <c r="G334" s="252">
        <v>690786661</v>
      </c>
      <c r="H334" s="258" t="s">
        <v>967</v>
      </c>
      <c r="I334" s="252" t="s">
        <v>2503</v>
      </c>
    </row>
    <row r="335" spans="1:9" ht="26.4" x14ac:dyDescent="0.25">
      <c r="A335" s="421">
        <v>335</v>
      </c>
      <c r="B335" s="278">
        <v>334</v>
      </c>
      <c r="C335" s="258" t="s">
        <v>2838</v>
      </c>
      <c r="D335" s="253">
        <v>42880</v>
      </c>
      <c r="E335" s="252" t="s">
        <v>1625</v>
      </c>
      <c r="F335" s="254" t="s">
        <v>2504</v>
      </c>
      <c r="G335" s="252">
        <v>190729456</v>
      </c>
      <c r="H335" s="258" t="s">
        <v>967</v>
      </c>
      <c r="I335" s="252" t="s">
        <v>2505</v>
      </c>
    </row>
    <row r="336" spans="1:9" ht="26.4" x14ac:dyDescent="0.25">
      <c r="A336" s="421">
        <v>336</v>
      </c>
      <c r="B336" s="278">
        <v>335</v>
      </c>
      <c r="C336" s="258" t="s">
        <v>3759</v>
      </c>
      <c r="D336" s="253">
        <v>42881</v>
      </c>
      <c r="E336" s="252" t="s">
        <v>2507</v>
      </c>
      <c r="F336" s="254" t="s">
        <v>2509</v>
      </c>
      <c r="G336" s="252">
        <v>600068835</v>
      </c>
      <c r="H336" s="258" t="s">
        <v>967</v>
      </c>
      <c r="I336" s="252" t="s">
        <v>2510</v>
      </c>
    </row>
    <row r="337" spans="1:9" ht="26.4" x14ac:dyDescent="0.25">
      <c r="A337" s="421">
        <v>337</v>
      </c>
      <c r="B337" s="278">
        <v>336</v>
      </c>
      <c r="C337" s="258" t="s">
        <v>337</v>
      </c>
      <c r="D337" s="253">
        <v>42881</v>
      </c>
      <c r="E337" s="252" t="s">
        <v>2513</v>
      </c>
      <c r="F337" s="254" t="s">
        <v>2515</v>
      </c>
      <c r="G337" s="252">
        <v>491262432</v>
      </c>
      <c r="H337" s="258" t="s">
        <v>967</v>
      </c>
      <c r="I337" s="252" t="s">
        <v>2516</v>
      </c>
    </row>
    <row r="338" spans="1:9" x14ac:dyDescent="0.25">
      <c r="A338" s="421">
        <v>338</v>
      </c>
      <c r="B338" s="278">
        <v>337</v>
      </c>
      <c r="C338" s="258" t="s">
        <v>3496</v>
      </c>
      <c r="D338" s="253">
        <v>42881</v>
      </c>
      <c r="E338" s="252" t="s">
        <v>2519</v>
      </c>
      <c r="F338" s="254" t="s">
        <v>2521</v>
      </c>
      <c r="G338" s="252">
        <v>190916377</v>
      </c>
      <c r="H338" s="258" t="s">
        <v>967</v>
      </c>
      <c r="I338" s="252" t="s">
        <v>2523</v>
      </c>
    </row>
    <row r="339" spans="1:9" ht="26.4" x14ac:dyDescent="0.25">
      <c r="A339" s="421">
        <v>339</v>
      </c>
      <c r="B339" s="278">
        <v>338</v>
      </c>
      <c r="C339" s="258" t="s">
        <v>2597</v>
      </c>
      <c r="D339" s="253">
        <v>42884</v>
      </c>
      <c r="E339" s="252" t="s">
        <v>2354</v>
      </c>
      <c r="F339" s="254" t="s">
        <v>2526</v>
      </c>
      <c r="G339" s="252">
        <v>691593313</v>
      </c>
      <c r="H339" s="258" t="s">
        <v>967</v>
      </c>
      <c r="I339" s="252" t="s">
        <v>2527</v>
      </c>
    </row>
    <row r="340" spans="1:9" ht="26.4" x14ac:dyDescent="0.25">
      <c r="A340" s="421">
        <v>340</v>
      </c>
      <c r="B340" s="278">
        <v>339</v>
      </c>
      <c r="C340" s="258" t="s">
        <v>232</v>
      </c>
      <c r="D340" s="253">
        <v>42884</v>
      </c>
      <c r="E340" s="252" t="s">
        <v>1112</v>
      </c>
      <c r="F340" s="254" t="s">
        <v>2530</v>
      </c>
      <c r="G340" s="252">
        <v>691535754</v>
      </c>
      <c r="H340" s="258" t="s">
        <v>967</v>
      </c>
      <c r="I340" s="252" t="s">
        <v>2022</v>
      </c>
    </row>
    <row r="341" spans="1:9" x14ac:dyDescent="0.25">
      <c r="A341" s="421">
        <v>341</v>
      </c>
      <c r="B341" s="278">
        <v>340</v>
      </c>
      <c r="C341" s="258" t="s">
        <v>3273</v>
      </c>
      <c r="D341" s="253">
        <v>42885</v>
      </c>
      <c r="E341" s="252" t="s">
        <v>2532</v>
      </c>
      <c r="F341" s="254" t="s">
        <v>2535</v>
      </c>
      <c r="G341" s="252">
        <v>192192308</v>
      </c>
      <c r="H341" s="258" t="s">
        <v>967</v>
      </c>
      <c r="I341" s="252" t="s">
        <v>2536</v>
      </c>
    </row>
    <row r="342" spans="1:9" ht="26.4" x14ac:dyDescent="0.25">
      <c r="A342" s="421">
        <v>342</v>
      </c>
      <c r="B342" s="278">
        <v>341</v>
      </c>
      <c r="C342" s="258" t="s">
        <v>3320</v>
      </c>
      <c r="D342" s="253">
        <v>42885</v>
      </c>
      <c r="E342" s="252" t="s">
        <v>2759</v>
      </c>
      <c r="F342" s="254" t="s">
        <v>2540</v>
      </c>
      <c r="G342" s="252">
        <v>691784176</v>
      </c>
      <c r="H342" s="258" t="s">
        <v>2538</v>
      </c>
      <c r="I342" s="252" t="s">
        <v>2541</v>
      </c>
    </row>
    <row r="343" spans="1:9" x14ac:dyDescent="0.25">
      <c r="A343" s="421">
        <v>343</v>
      </c>
      <c r="B343" s="278">
        <v>342</v>
      </c>
      <c r="C343" s="258" t="s">
        <v>1131</v>
      </c>
      <c r="D343" s="253">
        <v>42885</v>
      </c>
      <c r="E343" s="252" t="s">
        <v>840</v>
      </c>
      <c r="F343" s="254" t="s">
        <v>2544</v>
      </c>
      <c r="G343" s="252">
        <v>191648960</v>
      </c>
      <c r="H343" s="258" t="s">
        <v>967</v>
      </c>
      <c r="I343" s="252" t="s">
        <v>2545</v>
      </c>
    </row>
    <row r="344" spans="1:9" x14ac:dyDescent="0.25">
      <c r="A344" s="421">
        <v>344</v>
      </c>
      <c r="B344" s="278">
        <v>343</v>
      </c>
      <c r="C344" s="258" t="s">
        <v>73</v>
      </c>
      <c r="D344" s="253">
        <v>42885</v>
      </c>
      <c r="E344" s="252" t="s">
        <v>453</v>
      </c>
      <c r="F344" s="254" t="s">
        <v>2548</v>
      </c>
      <c r="G344" s="252">
        <v>6915330341</v>
      </c>
      <c r="H344" s="258" t="s">
        <v>967</v>
      </c>
      <c r="I344" s="252" t="s">
        <v>2549</v>
      </c>
    </row>
    <row r="345" spans="1:9" x14ac:dyDescent="0.25">
      <c r="A345" s="421">
        <v>345</v>
      </c>
      <c r="B345" s="278">
        <v>344</v>
      </c>
      <c r="C345" s="258" t="s">
        <v>965</v>
      </c>
      <c r="D345" s="253">
        <v>42886</v>
      </c>
      <c r="E345" s="252" t="s">
        <v>2550</v>
      </c>
      <c r="F345" s="254" t="s">
        <v>2553</v>
      </c>
      <c r="G345" s="252">
        <v>100377503</v>
      </c>
      <c r="H345" s="258" t="s">
        <v>2551</v>
      </c>
      <c r="I345" s="252" t="s">
        <v>2554</v>
      </c>
    </row>
    <row r="346" spans="1:9" ht="26.4" x14ac:dyDescent="0.25">
      <c r="A346" s="421">
        <v>346</v>
      </c>
      <c r="B346" s="278">
        <v>345</v>
      </c>
      <c r="C346" s="258" t="s">
        <v>904</v>
      </c>
      <c r="D346" s="253">
        <v>42886</v>
      </c>
      <c r="E346" s="252" t="s">
        <v>526</v>
      </c>
      <c r="F346" s="254" t="s">
        <v>2557</v>
      </c>
      <c r="G346" s="252">
        <v>691536906</v>
      </c>
      <c r="H346" s="258" t="s">
        <v>2555</v>
      </c>
      <c r="I346" s="252" t="s">
        <v>2558</v>
      </c>
    </row>
    <row r="347" spans="1:9" ht="39.6" x14ac:dyDescent="0.25">
      <c r="A347" s="421">
        <v>347</v>
      </c>
      <c r="B347" s="278">
        <v>346</v>
      </c>
      <c r="C347" s="258" t="s">
        <v>973</v>
      </c>
      <c r="D347" s="253">
        <v>42886</v>
      </c>
      <c r="E347" s="252" t="s">
        <v>2560</v>
      </c>
      <c r="F347" s="254" t="s">
        <v>2563</v>
      </c>
      <c r="G347" s="252">
        <v>691133734</v>
      </c>
      <c r="H347" s="258" t="s">
        <v>2561</v>
      </c>
      <c r="I347" s="252" t="s">
        <v>2564</v>
      </c>
    </row>
    <row r="348" spans="1:9" ht="26.4" x14ac:dyDescent="0.25">
      <c r="A348" s="421">
        <v>348</v>
      </c>
      <c r="B348" s="278">
        <v>347</v>
      </c>
      <c r="C348" s="258" t="s">
        <v>716</v>
      </c>
      <c r="D348" s="253">
        <v>42887</v>
      </c>
      <c r="E348" s="252" t="s">
        <v>1953</v>
      </c>
      <c r="F348" s="254" t="s">
        <v>1958</v>
      </c>
      <c r="G348" s="252">
        <v>691901186</v>
      </c>
      <c r="H348" s="258" t="s">
        <v>967</v>
      </c>
      <c r="I348" s="252" t="s">
        <v>1956</v>
      </c>
    </row>
    <row r="349" spans="1:9" ht="26.4" x14ac:dyDescent="0.25">
      <c r="A349" s="421">
        <v>349</v>
      </c>
      <c r="B349" s="278">
        <v>348</v>
      </c>
      <c r="C349" s="258" t="s">
        <v>2425</v>
      </c>
      <c r="D349" s="253">
        <v>42887</v>
      </c>
      <c r="E349" s="252" t="s">
        <v>1959</v>
      </c>
      <c r="F349" s="254" t="s">
        <v>1961</v>
      </c>
      <c r="G349" s="252">
        <v>191083139</v>
      </c>
      <c r="H349" s="258" t="s">
        <v>967</v>
      </c>
      <c r="I349" s="252" t="s">
        <v>1962</v>
      </c>
    </row>
    <row r="350" spans="1:9" ht="26.4" x14ac:dyDescent="0.25">
      <c r="A350" s="421">
        <v>350</v>
      </c>
      <c r="B350" s="278">
        <v>349</v>
      </c>
      <c r="C350" s="258" t="s">
        <v>1842</v>
      </c>
      <c r="D350" s="253">
        <v>42887</v>
      </c>
      <c r="E350" s="252" t="s">
        <v>1964</v>
      </c>
      <c r="F350" s="254" t="s">
        <v>1966</v>
      </c>
      <c r="G350" s="252">
        <v>192483549</v>
      </c>
      <c r="H350" s="258" t="s">
        <v>967</v>
      </c>
      <c r="I350" s="252" t="s">
        <v>1967</v>
      </c>
    </row>
    <row r="351" spans="1:9" x14ac:dyDescent="0.25">
      <c r="A351" s="421">
        <v>351</v>
      </c>
      <c r="B351" s="278">
        <v>350</v>
      </c>
      <c r="C351" s="258" t="s">
        <v>3226</v>
      </c>
      <c r="D351" s="346">
        <v>42887</v>
      </c>
      <c r="E351" s="252" t="s">
        <v>1969</v>
      </c>
      <c r="F351" s="254" t="s">
        <v>1971</v>
      </c>
      <c r="G351" s="252">
        <v>192762175</v>
      </c>
      <c r="H351" s="258" t="s">
        <v>967</v>
      </c>
      <c r="I351" s="252" t="s">
        <v>1972</v>
      </c>
    </row>
    <row r="352" spans="1:9" x14ac:dyDescent="0.25">
      <c r="A352" s="421">
        <v>352</v>
      </c>
      <c r="B352" s="278">
        <v>351</v>
      </c>
      <c r="C352" s="258" t="s">
        <v>1696</v>
      </c>
      <c r="D352" s="253">
        <v>42888</v>
      </c>
      <c r="E352" s="252" t="s">
        <v>445</v>
      </c>
      <c r="F352" s="254" t="s">
        <v>1978</v>
      </c>
      <c r="G352" s="252">
        <v>190696505</v>
      </c>
      <c r="H352" s="258" t="s">
        <v>1976</v>
      </c>
      <c r="I352" s="252" t="s">
        <v>1979</v>
      </c>
    </row>
    <row r="353" spans="1:9" ht="26.4" x14ac:dyDescent="0.25">
      <c r="A353" s="421">
        <v>353</v>
      </c>
      <c r="B353" s="278">
        <v>352</v>
      </c>
      <c r="C353" s="258" t="s">
        <v>3278</v>
      </c>
      <c r="D353" s="253">
        <v>42888</v>
      </c>
      <c r="E353" s="252" t="s">
        <v>1981</v>
      </c>
      <c r="F353" s="254" t="s">
        <v>1983</v>
      </c>
      <c r="G353" s="252">
        <v>100955538</v>
      </c>
      <c r="H353" s="258" t="s">
        <v>967</v>
      </c>
      <c r="I353" s="252" t="s">
        <v>1220</v>
      </c>
    </row>
    <row r="354" spans="1:9" x14ac:dyDescent="0.25">
      <c r="A354" s="421">
        <v>354</v>
      </c>
      <c r="B354" s="278">
        <v>353</v>
      </c>
      <c r="C354" s="258" t="s">
        <v>3095</v>
      </c>
      <c r="D354" s="253">
        <v>42888</v>
      </c>
      <c r="E354" s="252" t="s">
        <v>1985</v>
      </c>
      <c r="F354" s="254" t="s">
        <v>1988</v>
      </c>
      <c r="G354" s="252">
        <v>190533525</v>
      </c>
      <c r="H354" s="258" t="s">
        <v>1986</v>
      </c>
      <c r="I354" s="252" t="s">
        <v>1989</v>
      </c>
    </row>
    <row r="355" spans="1:9" x14ac:dyDescent="0.25">
      <c r="A355" s="421">
        <v>355</v>
      </c>
      <c r="B355" s="278">
        <v>354</v>
      </c>
      <c r="C355" s="258" t="s">
        <v>2810</v>
      </c>
      <c r="D355" s="253">
        <v>42888</v>
      </c>
      <c r="E355" s="252" t="s">
        <v>2881</v>
      </c>
      <c r="F355" s="254" t="s">
        <v>1993</v>
      </c>
      <c r="G355" s="252">
        <v>691600964</v>
      </c>
      <c r="H355" s="258" t="s">
        <v>967</v>
      </c>
      <c r="I355" s="252" t="s">
        <v>1994</v>
      </c>
    </row>
    <row r="356" spans="1:9" ht="52.8" x14ac:dyDescent="0.25">
      <c r="A356" s="421">
        <v>356</v>
      </c>
      <c r="B356" s="278">
        <v>355</v>
      </c>
      <c r="C356" s="258" t="s">
        <v>2104</v>
      </c>
      <c r="D356" s="253">
        <v>42891</v>
      </c>
      <c r="E356" s="252" t="s">
        <v>523</v>
      </c>
      <c r="F356" s="254" t="s">
        <v>1996</v>
      </c>
      <c r="G356" s="252">
        <v>691539111</v>
      </c>
      <c r="H356" s="258" t="s">
        <v>967</v>
      </c>
      <c r="I356" s="252" t="s">
        <v>1997</v>
      </c>
    </row>
    <row r="357" spans="1:9" x14ac:dyDescent="0.25">
      <c r="A357" s="421">
        <v>357</v>
      </c>
      <c r="B357" s="278">
        <v>356</v>
      </c>
      <c r="C357" s="258" t="s">
        <v>2762</v>
      </c>
      <c r="D357" s="253">
        <v>42891</v>
      </c>
      <c r="E357" s="252" t="s">
        <v>3760</v>
      </c>
      <c r="F357" s="254" t="s">
        <v>2000</v>
      </c>
      <c r="G357" s="252">
        <v>190615318</v>
      </c>
      <c r="H357" s="258" t="s">
        <v>967</v>
      </c>
      <c r="I357" s="252" t="s">
        <v>2001</v>
      </c>
    </row>
    <row r="358" spans="1:9" ht="26.4" x14ac:dyDescent="0.25">
      <c r="A358" s="421">
        <v>358</v>
      </c>
      <c r="B358" s="278">
        <v>357</v>
      </c>
      <c r="C358" s="258" t="s">
        <v>477</v>
      </c>
      <c r="D358" s="253">
        <v>42891</v>
      </c>
      <c r="E358" s="252" t="s">
        <v>2885</v>
      </c>
      <c r="F358" s="254" t="s">
        <v>2004</v>
      </c>
      <c r="G358" s="252">
        <v>691132355</v>
      </c>
      <c r="H358" s="258" t="s">
        <v>967</v>
      </c>
      <c r="I358" s="252" t="s">
        <v>2005</v>
      </c>
    </row>
    <row r="359" spans="1:9" ht="26.4" x14ac:dyDescent="0.25">
      <c r="A359" s="421">
        <v>359</v>
      </c>
      <c r="B359" s="278">
        <v>358</v>
      </c>
      <c r="C359" s="258" t="s">
        <v>522</v>
      </c>
      <c r="D359" s="253">
        <v>42891</v>
      </c>
      <c r="E359" s="252" t="s">
        <v>1115</v>
      </c>
      <c r="F359" s="254" t="s">
        <v>2007</v>
      </c>
      <c r="G359" s="252">
        <v>101392173</v>
      </c>
      <c r="H359" s="258" t="s">
        <v>967</v>
      </c>
      <c r="I359" s="252" t="s">
        <v>2008</v>
      </c>
    </row>
    <row r="360" spans="1:9" x14ac:dyDescent="0.25">
      <c r="A360" s="421">
        <v>360</v>
      </c>
      <c r="B360" s="278">
        <v>359</v>
      </c>
      <c r="C360" s="258" t="s">
        <v>3327</v>
      </c>
      <c r="D360" s="253">
        <v>42892</v>
      </c>
      <c r="E360" s="252" t="s">
        <v>4193</v>
      </c>
      <c r="F360" s="254" t="s">
        <v>2013</v>
      </c>
      <c r="G360" s="252">
        <v>100387745</v>
      </c>
      <c r="H360" s="258" t="s">
        <v>2011</v>
      </c>
      <c r="I360" s="252" t="s">
        <v>2027</v>
      </c>
    </row>
    <row r="361" spans="1:9" x14ac:dyDescent="0.25">
      <c r="A361" s="421">
        <v>361</v>
      </c>
      <c r="B361" s="278">
        <v>360</v>
      </c>
      <c r="C361" s="258" t="s">
        <v>221</v>
      </c>
      <c r="D361" s="253">
        <v>42892</v>
      </c>
      <c r="E361" s="252" t="s">
        <v>498</v>
      </c>
      <c r="F361" s="254" t="s">
        <v>2016</v>
      </c>
      <c r="G361" s="252">
        <v>190970908</v>
      </c>
      <c r="H361" s="258" t="s">
        <v>967</v>
      </c>
      <c r="I361" s="252" t="s">
        <v>2017</v>
      </c>
    </row>
    <row r="362" spans="1:9" ht="26.4" x14ac:dyDescent="0.25">
      <c r="A362" s="421">
        <v>362</v>
      </c>
      <c r="B362" s="278">
        <v>361</v>
      </c>
      <c r="C362" s="258" t="s">
        <v>189</v>
      </c>
      <c r="D362" s="253">
        <v>42892</v>
      </c>
      <c r="E362" s="252" t="s">
        <v>2018</v>
      </c>
      <c r="F362" s="254" t="s">
        <v>2020</v>
      </c>
      <c r="G362" s="252">
        <v>190811857</v>
      </c>
      <c r="H362" s="258" t="s">
        <v>967</v>
      </c>
      <c r="I362" s="252" t="s">
        <v>2021</v>
      </c>
    </row>
    <row r="363" spans="1:9" x14ac:dyDescent="0.25">
      <c r="A363" s="421">
        <v>363</v>
      </c>
      <c r="B363" s="278">
        <v>362</v>
      </c>
      <c r="C363" s="258" t="s">
        <v>2449</v>
      </c>
      <c r="D363" s="253">
        <v>42892</v>
      </c>
      <c r="E363" s="252" t="s">
        <v>2023</v>
      </c>
      <c r="F363" s="254" t="s">
        <v>2026</v>
      </c>
      <c r="G363" s="252">
        <v>600545750</v>
      </c>
      <c r="H363" s="258" t="s">
        <v>967</v>
      </c>
      <c r="I363" s="252" t="s">
        <v>576</v>
      </c>
    </row>
    <row r="364" spans="1:9" ht="26.4" x14ac:dyDescent="0.25">
      <c r="A364" s="421">
        <v>364</v>
      </c>
      <c r="B364" s="278">
        <v>363</v>
      </c>
      <c r="C364" s="258" t="s">
        <v>265</v>
      </c>
      <c r="D364" s="253">
        <v>42892</v>
      </c>
      <c r="E364" s="252" t="s">
        <v>3546</v>
      </c>
      <c r="F364" s="254" t="s">
        <v>2030</v>
      </c>
      <c r="G364" s="252">
        <v>190991829</v>
      </c>
      <c r="H364" s="258" t="s">
        <v>2029</v>
      </c>
      <c r="I364" s="252" t="s">
        <v>2032</v>
      </c>
    </row>
    <row r="365" spans="1:9" x14ac:dyDescent="0.25">
      <c r="A365" s="421">
        <v>365</v>
      </c>
      <c r="B365" s="278">
        <v>364</v>
      </c>
      <c r="C365" s="258" t="s">
        <v>2434</v>
      </c>
      <c r="D365" s="253">
        <v>42895</v>
      </c>
      <c r="E365" s="252" t="s">
        <v>1537</v>
      </c>
      <c r="F365" s="254" t="s">
        <v>563</v>
      </c>
      <c r="G365" s="252">
        <v>800014157</v>
      </c>
      <c r="H365" s="258" t="s">
        <v>562</v>
      </c>
      <c r="I365" s="252" t="s">
        <v>564</v>
      </c>
    </row>
    <row r="366" spans="1:9" ht="26.4" x14ac:dyDescent="0.25">
      <c r="A366" s="421">
        <v>366</v>
      </c>
      <c r="B366" s="278">
        <v>365</v>
      </c>
      <c r="C366" s="258" t="s">
        <v>3645</v>
      </c>
      <c r="D366" s="253">
        <v>42895</v>
      </c>
      <c r="E366" s="252" t="s">
        <v>3525</v>
      </c>
      <c r="F366" s="254" t="s">
        <v>570</v>
      </c>
      <c r="G366" s="252">
        <v>691525089</v>
      </c>
      <c r="H366" s="258" t="s">
        <v>566</v>
      </c>
      <c r="I366" s="252" t="s">
        <v>568</v>
      </c>
    </row>
    <row r="367" spans="1:9" x14ac:dyDescent="0.25">
      <c r="A367" s="421">
        <v>367</v>
      </c>
      <c r="B367" s="278">
        <v>366</v>
      </c>
      <c r="C367" s="258" t="s">
        <v>1524</v>
      </c>
      <c r="D367" s="253">
        <v>42895</v>
      </c>
      <c r="E367" s="252" t="s">
        <v>3318</v>
      </c>
      <c r="F367" s="254" t="s">
        <v>573</v>
      </c>
      <c r="G367" s="252">
        <v>190583578</v>
      </c>
      <c r="H367" s="258" t="s">
        <v>571</v>
      </c>
      <c r="I367" s="252" t="s">
        <v>574</v>
      </c>
    </row>
    <row r="368" spans="1:9" x14ac:dyDescent="0.25">
      <c r="A368" s="421">
        <v>368</v>
      </c>
      <c r="B368" s="278">
        <v>367</v>
      </c>
      <c r="C368" s="258" t="s">
        <v>2078</v>
      </c>
      <c r="D368" s="253">
        <v>42895</v>
      </c>
      <c r="E368" s="410" t="s">
        <v>577</v>
      </c>
      <c r="F368" s="254" t="s">
        <v>580</v>
      </c>
      <c r="G368" s="412">
        <v>192151373</v>
      </c>
      <c r="H368" s="258" t="s">
        <v>967</v>
      </c>
      <c r="I368" s="252" t="s">
        <v>581</v>
      </c>
    </row>
    <row r="369" spans="1:9" x14ac:dyDescent="0.25">
      <c r="A369" s="421">
        <v>369</v>
      </c>
      <c r="B369" s="278">
        <v>368</v>
      </c>
      <c r="C369" s="258" t="s">
        <v>307</v>
      </c>
      <c r="D369" s="253">
        <v>42898</v>
      </c>
      <c r="E369" s="410" t="s">
        <v>4235</v>
      </c>
      <c r="F369" s="254" t="s">
        <v>585</v>
      </c>
      <c r="G369" s="252">
        <v>101185261</v>
      </c>
      <c r="H369" s="258" t="s">
        <v>967</v>
      </c>
      <c r="I369" s="252" t="s">
        <v>586</v>
      </c>
    </row>
    <row r="370" spans="1:9" ht="26.4" x14ac:dyDescent="0.25">
      <c r="A370" s="421">
        <v>370</v>
      </c>
      <c r="B370" s="278">
        <v>369</v>
      </c>
      <c r="C370" s="258" t="s">
        <v>1782</v>
      </c>
      <c r="D370" s="253">
        <v>42898</v>
      </c>
      <c r="E370" s="252" t="s">
        <v>588</v>
      </c>
      <c r="F370" s="254" t="s">
        <v>591</v>
      </c>
      <c r="G370" s="252">
        <v>691797654</v>
      </c>
      <c r="H370" s="258" t="s">
        <v>967</v>
      </c>
      <c r="I370" s="252" t="s">
        <v>592</v>
      </c>
    </row>
    <row r="371" spans="1:9" ht="26.4" x14ac:dyDescent="0.25">
      <c r="A371" s="421">
        <v>371</v>
      </c>
      <c r="B371" s="278">
        <v>370</v>
      </c>
      <c r="C371" s="258" t="s">
        <v>2382</v>
      </c>
      <c r="D371" s="253">
        <v>42898</v>
      </c>
      <c r="E371" s="252" t="s">
        <v>594</v>
      </c>
      <c r="F371" s="254" t="s">
        <v>597</v>
      </c>
      <c r="G371" s="252">
        <v>690848859</v>
      </c>
      <c r="H371" s="258" t="s">
        <v>967</v>
      </c>
      <c r="I371" s="252" t="s">
        <v>2325</v>
      </c>
    </row>
    <row r="372" spans="1:9" x14ac:dyDescent="0.25">
      <c r="A372" s="421">
        <v>372</v>
      </c>
      <c r="B372" s="278">
        <v>371</v>
      </c>
      <c r="C372" s="258" t="s">
        <v>345</v>
      </c>
      <c r="D372" s="253">
        <v>42898</v>
      </c>
      <c r="E372" s="252" t="s">
        <v>599</v>
      </c>
      <c r="F372" s="254" t="s">
        <v>602</v>
      </c>
      <c r="G372" s="252">
        <v>190287990</v>
      </c>
      <c r="H372" s="258" t="s">
        <v>600</v>
      </c>
      <c r="I372" s="252" t="s">
        <v>603</v>
      </c>
    </row>
    <row r="373" spans="1:9" x14ac:dyDescent="0.25">
      <c r="A373" s="421">
        <v>373</v>
      </c>
      <c r="B373" s="278">
        <v>372</v>
      </c>
      <c r="C373" s="258" t="s">
        <v>212</v>
      </c>
      <c r="D373" s="253">
        <v>42898</v>
      </c>
      <c r="E373" s="252" t="s">
        <v>183</v>
      </c>
      <c r="F373" s="254" t="s">
        <v>607</v>
      </c>
      <c r="G373" s="252">
        <v>190905167</v>
      </c>
      <c r="H373" s="258" t="s">
        <v>605</v>
      </c>
      <c r="I373" s="252" t="s">
        <v>608</v>
      </c>
    </row>
    <row r="374" spans="1:9" ht="26.4" x14ac:dyDescent="0.25">
      <c r="A374" s="421">
        <v>374</v>
      </c>
      <c r="B374" s="278">
        <v>373</v>
      </c>
      <c r="C374" s="258" t="s">
        <v>2971</v>
      </c>
      <c r="D374" s="253">
        <v>42899</v>
      </c>
      <c r="E374" s="252" t="s">
        <v>610</v>
      </c>
      <c r="F374" s="254" t="s">
        <v>613</v>
      </c>
      <c r="G374" s="252">
        <v>192171099</v>
      </c>
      <c r="H374" s="258" t="s">
        <v>967</v>
      </c>
      <c r="I374" s="252" t="s">
        <v>614</v>
      </c>
    </row>
    <row r="375" spans="1:9" x14ac:dyDescent="0.25">
      <c r="A375" s="421">
        <v>375</v>
      </c>
      <c r="B375" s="278">
        <v>374</v>
      </c>
      <c r="C375" s="258" t="s">
        <v>889</v>
      </c>
      <c r="D375" s="253">
        <v>42900</v>
      </c>
      <c r="E375" s="252" t="s">
        <v>617</v>
      </c>
      <c r="F375" s="254" t="s">
        <v>620</v>
      </c>
      <c r="G375" s="252">
        <v>100230654</v>
      </c>
      <c r="H375" s="258" t="s">
        <v>967</v>
      </c>
      <c r="I375" s="252" t="s">
        <v>621</v>
      </c>
    </row>
    <row r="376" spans="1:9" x14ac:dyDescent="0.25">
      <c r="A376" s="421">
        <v>376</v>
      </c>
      <c r="B376" s="278">
        <v>375</v>
      </c>
      <c r="C376" s="258" t="s">
        <v>3586</v>
      </c>
      <c r="D376" s="253">
        <v>42901</v>
      </c>
      <c r="E376" s="252" t="s">
        <v>623</v>
      </c>
      <c r="F376" s="254" t="s">
        <v>627</v>
      </c>
      <c r="G376" s="252">
        <v>100140783</v>
      </c>
      <c r="H376" s="258" t="s">
        <v>967</v>
      </c>
      <c r="I376" s="252" t="s">
        <v>628</v>
      </c>
    </row>
    <row r="377" spans="1:9" x14ac:dyDescent="0.25">
      <c r="A377" s="421">
        <v>377</v>
      </c>
      <c r="B377" s="278">
        <v>376</v>
      </c>
      <c r="C377" s="258" t="s">
        <v>3836</v>
      </c>
      <c r="D377" s="253">
        <v>42902</v>
      </c>
      <c r="E377" s="252" t="s">
        <v>2970</v>
      </c>
      <c r="F377" s="254" t="s">
        <v>632</v>
      </c>
      <c r="G377" s="252">
        <v>691313083</v>
      </c>
      <c r="H377" s="258" t="s">
        <v>967</v>
      </c>
      <c r="I377" s="252" t="s">
        <v>631</v>
      </c>
    </row>
    <row r="378" spans="1:9" ht="26.4" x14ac:dyDescent="0.25">
      <c r="A378" s="421">
        <v>378</v>
      </c>
      <c r="B378" s="278">
        <v>377</v>
      </c>
      <c r="C378" s="258" t="s">
        <v>11</v>
      </c>
      <c r="D378" s="253">
        <v>42905</v>
      </c>
      <c r="E378" s="252" t="s">
        <v>634</v>
      </c>
      <c r="F378" s="254" t="s">
        <v>637</v>
      </c>
      <c r="G378" s="252">
        <v>690293098</v>
      </c>
      <c r="H378" s="258" t="s">
        <v>635</v>
      </c>
      <c r="I378" s="252" t="s">
        <v>639</v>
      </c>
    </row>
    <row r="379" spans="1:9" ht="26.4" x14ac:dyDescent="0.25">
      <c r="A379" s="421">
        <v>379</v>
      </c>
      <c r="B379" s="278">
        <v>378</v>
      </c>
      <c r="C379" s="258" t="s">
        <v>3223</v>
      </c>
      <c r="D379" s="253">
        <v>42905</v>
      </c>
      <c r="E379" s="252" t="s">
        <v>640</v>
      </c>
      <c r="F379" s="254" t="s">
        <v>645</v>
      </c>
      <c r="G379" s="252">
        <v>690564411</v>
      </c>
      <c r="H379" s="258" t="s">
        <v>967</v>
      </c>
      <c r="I379" s="252" t="s">
        <v>643</v>
      </c>
    </row>
    <row r="380" spans="1:9" ht="26.4" x14ac:dyDescent="0.25">
      <c r="A380" s="421">
        <v>380</v>
      </c>
      <c r="B380" s="278">
        <v>379</v>
      </c>
      <c r="C380" s="258" t="s">
        <v>1366</v>
      </c>
      <c r="D380" s="253">
        <v>42906</v>
      </c>
      <c r="E380" s="252" t="s">
        <v>3877</v>
      </c>
      <c r="F380" s="254" t="s">
        <v>3881</v>
      </c>
      <c r="G380" s="252">
        <v>191756738</v>
      </c>
      <c r="H380" s="258" t="s">
        <v>3878</v>
      </c>
      <c r="I380" s="252" t="s">
        <v>3882</v>
      </c>
    </row>
    <row r="381" spans="1:9" x14ac:dyDescent="0.25">
      <c r="A381" s="421">
        <v>381</v>
      </c>
      <c r="B381" s="278">
        <v>380</v>
      </c>
      <c r="C381" s="258" t="s">
        <v>2889</v>
      </c>
      <c r="D381" s="253">
        <v>42907</v>
      </c>
      <c r="E381" s="252" t="s">
        <v>31</v>
      </c>
      <c r="F381" s="254" t="s">
        <v>3885</v>
      </c>
      <c r="G381" s="252">
        <v>192522720</v>
      </c>
      <c r="H381" s="258" t="s">
        <v>967</v>
      </c>
      <c r="I381" s="252" t="s">
        <v>3886</v>
      </c>
    </row>
    <row r="382" spans="1:9" x14ac:dyDescent="0.25">
      <c r="A382" s="421">
        <v>382</v>
      </c>
      <c r="B382" s="278">
        <v>381</v>
      </c>
      <c r="C382" s="258" t="s">
        <v>2440</v>
      </c>
      <c r="D382" s="253">
        <v>42907</v>
      </c>
      <c r="E382" s="252" t="s">
        <v>3567</v>
      </c>
      <c r="F382" s="254" t="s">
        <v>3891</v>
      </c>
      <c r="G382" s="252">
        <v>101166407</v>
      </c>
      <c r="H382" s="258" t="s">
        <v>3889</v>
      </c>
      <c r="I382" s="252" t="s">
        <v>3892</v>
      </c>
    </row>
    <row r="383" spans="1:9" ht="26.4" x14ac:dyDescent="0.25">
      <c r="A383" s="421">
        <v>383</v>
      </c>
      <c r="B383" s="278">
        <v>382</v>
      </c>
      <c r="C383" s="258" t="s">
        <v>2955</v>
      </c>
      <c r="D383" s="253">
        <v>42907</v>
      </c>
      <c r="E383" s="252" t="s">
        <v>3894</v>
      </c>
      <c r="F383" s="254" t="s">
        <v>3899</v>
      </c>
      <c r="G383" s="252">
        <v>691131984</v>
      </c>
      <c r="H383" s="258" t="s">
        <v>967</v>
      </c>
      <c r="I383" s="252" t="s">
        <v>3897</v>
      </c>
    </row>
    <row r="384" spans="1:9" ht="26.4" x14ac:dyDescent="0.25">
      <c r="A384" s="421">
        <v>384</v>
      </c>
      <c r="B384" s="278">
        <v>383</v>
      </c>
      <c r="C384" s="258" t="s">
        <v>1629</v>
      </c>
      <c r="D384" s="253">
        <v>42908</v>
      </c>
      <c r="E384" s="252" t="s">
        <v>3113</v>
      </c>
      <c r="F384" s="254" t="s">
        <v>3902</v>
      </c>
      <c r="G384" s="252">
        <v>100068501</v>
      </c>
      <c r="H384" s="258" t="s">
        <v>3900</v>
      </c>
      <c r="I384" s="252" t="s">
        <v>3903</v>
      </c>
    </row>
    <row r="385" spans="1:9" ht="26.4" x14ac:dyDescent="0.25">
      <c r="A385" s="421">
        <v>385</v>
      </c>
      <c r="B385" s="278">
        <v>384</v>
      </c>
      <c r="C385" s="258" t="s">
        <v>3855</v>
      </c>
      <c r="D385" s="253">
        <v>42908</v>
      </c>
      <c r="E385" s="252" t="s">
        <v>2122</v>
      </c>
      <c r="F385" s="254" t="s">
        <v>3906</v>
      </c>
      <c r="G385" s="252">
        <v>690392454</v>
      </c>
      <c r="H385" s="258" t="s">
        <v>3904</v>
      </c>
      <c r="I385" s="252" t="s">
        <v>3907</v>
      </c>
    </row>
    <row r="386" spans="1:9" ht="26.4" x14ac:dyDescent="0.25">
      <c r="A386" s="421">
        <v>386</v>
      </c>
      <c r="B386" s="278">
        <v>385</v>
      </c>
      <c r="C386" s="258" t="s">
        <v>960</v>
      </c>
      <c r="D386" s="253">
        <v>42909</v>
      </c>
      <c r="E386" s="252" t="s">
        <v>3913</v>
      </c>
      <c r="F386" s="254" t="s">
        <v>3910</v>
      </c>
      <c r="G386" s="252">
        <v>690661673</v>
      </c>
      <c r="H386" s="258" t="s">
        <v>3909</v>
      </c>
      <c r="I386" s="252" t="s">
        <v>3911</v>
      </c>
    </row>
    <row r="387" spans="1:9" x14ac:dyDescent="0.25">
      <c r="A387" s="421">
        <v>387</v>
      </c>
      <c r="B387" s="278">
        <v>386</v>
      </c>
      <c r="C387" s="258" t="s">
        <v>3860</v>
      </c>
      <c r="D387" s="253">
        <v>42909</v>
      </c>
      <c r="E387" s="252" t="s">
        <v>4217</v>
      </c>
      <c r="F387" s="254" t="s">
        <v>3916</v>
      </c>
      <c r="G387" s="252">
        <v>101090386</v>
      </c>
      <c r="H387" s="258" t="s">
        <v>3914</v>
      </c>
      <c r="I387" s="252" t="s">
        <v>3917</v>
      </c>
    </row>
    <row r="388" spans="1:9" x14ac:dyDescent="0.25">
      <c r="A388" s="421">
        <v>388</v>
      </c>
      <c r="B388" s="278">
        <v>387</v>
      </c>
      <c r="C388" s="258" t="s">
        <v>2857</v>
      </c>
      <c r="D388" s="253">
        <v>42913</v>
      </c>
      <c r="E388" s="252" t="s">
        <v>1677</v>
      </c>
      <c r="F388" s="254" t="s">
        <v>3920</v>
      </c>
      <c r="G388" s="252">
        <v>190950641</v>
      </c>
      <c r="H388" s="258" t="s">
        <v>967</v>
      </c>
      <c r="I388" s="252" t="s">
        <v>3921</v>
      </c>
    </row>
    <row r="389" spans="1:9" ht="26.4" x14ac:dyDescent="0.25">
      <c r="A389" s="421">
        <v>389</v>
      </c>
      <c r="B389" s="278">
        <v>388</v>
      </c>
      <c r="C389" s="258" t="s">
        <v>3130</v>
      </c>
      <c r="D389" s="253">
        <v>42913</v>
      </c>
      <c r="E389" s="252" t="s">
        <v>3923</v>
      </c>
      <c r="F389" s="254" t="s">
        <v>3926</v>
      </c>
      <c r="G389" s="252">
        <v>690849258</v>
      </c>
      <c r="H389" s="258" t="s">
        <v>967</v>
      </c>
      <c r="I389" s="252" t="s">
        <v>3927</v>
      </c>
    </row>
    <row r="390" spans="1:9" x14ac:dyDescent="0.25">
      <c r="A390" s="421">
        <v>390</v>
      </c>
      <c r="B390" s="278">
        <v>389</v>
      </c>
      <c r="C390" s="258" t="s">
        <v>832</v>
      </c>
      <c r="D390" s="253" t="s">
        <v>3936</v>
      </c>
      <c r="E390" s="252" t="s">
        <v>2077</v>
      </c>
      <c r="F390" s="254" t="s">
        <v>3931</v>
      </c>
      <c r="G390" s="252">
        <v>100124836</v>
      </c>
      <c r="H390" s="258" t="s">
        <v>3935</v>
      </c>
      <c r="I390" s="252" t="s">
        <v>3933</v>
      </c>
    </row>
    <row r="391" spans="1:9" x14ac:dyDescent="0.25">
      <c r="A391" s="421">
        <v>391</v>
      </c>
      <c r="B391" s="278">
        <v>390</v>
      </c>
      <c r="C391" s="258" t="s">
        <v>3101</v>
      </c>
      <c r="D391" s="253" t="s">
        <v>3943</v>
      </c>
      <c r="E391" s="252" t="s">
        <v>2451</v>
      </c>
      <c r="F391" s="254" t="s">
        <v>3941</v>
      </c>
      <c r="G391" s="252">
        <v>100301806</v>
      </c>
      <c r="H391" s="258" t="s">
        <v>3939</v>
      </c>
      <c r="I391" s="252" t="s">
        <v>3942</v>
      </c>
    </row>
    <row r="392" spans="1:9" x14ac:dyDescent="0.25">
      <c r="A392" s="421">
        <v>392</v>
      </c>
      <c r="B392" s="278">
        <v>391</v>
      </c>
      <c r="C392" s="258" t="s">
        <v>915</v>
      </c>
      <c r="D392" s="253" t="s">
        <v>3943</v>
      </c>
      <c r="E392" s="252" t="s">
        <v>2619</v>
      </c>
      <c r="F392" s="254" t="s">
        <v>3944</v>
      </c>
      <c r="G392" s="252">
        <v>190321121</v>
      </c>
      <c r="H392" s="258" t="s">
        <v>967</v>
      </c>
      <c r="I392" s="252" t="s">
        <v>3945</v>
      </c>
    </row>
    <row r="393" spans="1:9" x14ac:dyDescent="0.25">
      <c r="A393" s="421">
        <v>393</v>
      </c>
      <c r="B393" s="278">
        <v>392</v>
      </c>
      <c r="C393" s="258" t="s">
        <v>984</v>
      </c>
      <c r="D393" s="253" t="s">
        <v>3943</v>
      </c>
      <c r="E393" s="252" t="s">
        <v>3751</v>
      </c>
      <c r="F393" s="254" t="s">
        <v>3949</v>
      </c>
      <c r="G393" s="252">
        <v>590322284</v>
      </c>
      <c r="H393" s="258" t="s">
        <v>967</v>
      </c>
      <c r="I393" s="252" t="s">
        <v>3950</v>
      </c>
    </row>
    <row r="394" spans="1:9" x14ac:dyDescent="0.25">
      <c r="A394" s="421">
        <v>394</v>
      </c>
      <c r="B394" s="278">
        <v>393</v>
      </c>
      <c r="C394" s="258" t="s">
        <v>2895</v>
      </c>
      <c r="D394" s="253" t="s">
        <v>3943</v>
      </c>
      <c r="E394" s="252" t="s">
        <v>3952</v>
      </c>
      <c r="F394" s="254" t="s">
        <v>3954</v>
      </c>
      <c r="G394" s="252">
        <v>101347929</v>
      </c>
      <c r="H394" s="258" t="s">
        <v>967</v>
      </c>
      <c r="I394" s="252" t="s">
        <v>3955</v>
      </c>
    </row>
    <row r="395" spans="1:9" x14ac:dyDescent="0.25">
      <c r="A395" s="421">
        <v>395</v>
      </c>
      <c r="B395" s="278">
        <v>394</v>
      </c>
      <c r="C395" s="258" t="s">
        <v>1653</v>
      </c>
      <c r="D395" s="253" t="s">
        <v>3943</v>
      </c>
      <c r="E395" s="252" t="s">
        <v>3958</v>
      </c>
      <c r="F395" s="254" t="s">
        <v>3961</v>
      </c>
      <c r="G395" s="252">
        <v>190804721</v>
      </c>
      <c r="H395" s="258" t="s">
        <v>3959</v>
      </c>
      <c r="I395" s="252" t="s">
        <v>3962</v>
      </c>
    </row>
    <row r="396" spans="1:9" ht="26.4" x14ac:dyDescent="0.25">
      <c r="A396" s="421">
        <v>396</v>
      </c>
      <c r="B396" s="278">
        <v>395</v>
      </c>
      <c r="C396" s="258" t="s">
        <v>137</v>
      </c>
      <c r="D396" s="253" t="s">
        <v>3943</v>
      </c>
      <c r="E396" s="252" t="s">
        <v>3964</v>
      </c>
      <c r="F396" s="254" t="s">
        <v>3969</v>
      </c>
      <c r="G396" s="252">
        <v>691573932</v>
      </c>
      <c r="H396" s="258" t="s">
        <v>967</v>
      </c>
      <c r="I396" s="252" t="s">
        <v>3967</v>
      </c>
    </row>
    <row r="397" spans="1:9" ht="26.4" x14ac:dyDescent="0.25">
      <c r="A397" s="421">
        <v>397</v>
      </c>
      <c r="B397" s="278">
        <v>396</v>
      </c>
      <c r="C397" s="258" t="s">
        <v>3545</v>
      </c>
      <c r="D397" s="253" t="s">
        <v>3975</v>
      </c>
      <c r="E397" s="252" t="s">
        <v>3571</v>
      </c>
      <c r="F397" s="254" t="s">
        <v>3972</v>
      </c>
      <c r="G397" s="252">
        <v>691539683</v>
      </c>
      <c r="H397" s="258" t="s">
        <v>967</v>
      </c>
      <c r="I397" s="252" t="s">
        <v>3973</v>
      </c>
    </row>
    <row r="398" spans="1:9" ht="26.4" x14ac:dyDescent="0.25">
      <c r="A398" s="421">
        <v>398</v>
      </c>
      <c r="B398" s="278">
        <v>397</v>
      </c>
      <c r="C398" s="258" t="s">
        <v>314</v>
      </c>
      <c r="D398" s="253" t="s">
        <v>3980</v>
      </c>
      <c r="E398" s="252" t="s">
        <v>2657</v>
      </c>
      <c r="F398" s="254" t="s">
        <v>3977</v>
      </c>
      <c r="G398" s="252">
        <v>691468740</v>
      </c>
      <c r="H398" s="258" t="s">
        <v>967</v>
      </c>
      <c r="I398" s="252" t="s">
        <v>3978</v>
      </c>
    </row>
    <row r="399" spans="1:9" x14ac:dyDescent="0.25">
      <c r="A399" s="421">
        <v>399</v>
      </c>
      <c r="B399" s="278">
        <v>398</v>
      </c>
      <c r="C399" s="258" t="s">
        <v>3633</v>
      </c>
      <c r="D399" s="253" t="s">
        <v>3987</v>
      </c>
      <c r="E399" s="252" t="s">
        <v>3580</v>
      </c>
      <c r="F399" s="254" t="s">
        <v>3984</v>
      </c>
      <c r="G399" s="252">
        <v>100863054</v>
      </c>
      <c r="H399" s="258" t="s">
        <v>967</v>
      </c>
      <c r="I399" s="252" t="s">
        <v>3985</v>
      </c>
    </row>
    <row r="400" spans="1:9" x14ac:dyDescent="0.25">
      <c r="A400" s="421">
        <v>400</v>
      </c>
      <c r="B400" s="278">
        <v>399</v>
      </c>
      <c r="C400" s="258" t="s">
        <v>812</v>
      </c>
      <c r="D400" s="346" t="s">
        <v>4029</v>
      </c>
      <c r="E400" s="252" t="s">
        <v>3212</v>
      </c>
      <c r="F400" s="254" t="s">
        <v>4026</v>
      </c>
      <c r="G400" s="252">
        <v>100103134</v>
      </c>
      <c r="H400" s="258" t="s">
        <v>4024</v>
      </c>
      <c r="I400" s="252" t="s">
        <v>4027</v>
      </c>
    </row>
    <row r="401" spans="1:9" x14ac:dyDescent="0.25">
      <c r="A401" s="421">
        <v>401</v>
      </c>
      <c r="B401" s="278">
        <v>400</v>
      </c>
      <c r="C401" s="258" t="s">
        <v>1811</v>
      </c>
      <c r="D401" s="253" t="s">
        <v>4029</v>
      </c>
      <c r="E401" s="252" t="s">
        <v>4030</v>
      </c>
      <c r="F401" s="254" t="s">
        <v>967</v>
      </c>
      <c r="G401" s="252">
        <v>190900642</v>
      </c>
      <c r="H401" s="258" t="s">
        <v>967</v>
      </c>
      <c r="I401" s="252">
        <v>0</v>
      </c>
    </row>
    <row r="402" spans="1:9" x14ac:dyDescent="0.25">
      <c r="A402" s="421">
        <v>402</v>
      </c>
      <c r="B402" s="278">
        <v>401</v>
      </c>
      <c r="C402" s="258" t="s">
        <v>957</v>
      </c>
      <c r="D402" s="253" t="s">
        <v>4038</v>
      </c>
      <c r="E402" s="252" t="s">
        <v>2703</v>
      </c>
      <c r="F402" s="254" t="s">
        <v>4033</v>
      </c>
      <c r="G402" s="252">
        <v>190473476</v>
      </c>
      <c r="H402" s="258" t="s">
        <v>4032</v>
      </c>
      <c r="I402" s="252" t="s">
        <v>4034</v>
      </c>
    </row>
    <row r="403" spans="1:9" x14ac:dyDescent="0.25">
      <c r="A403" s="421">
        <v>403</v>
      </c>
      <c r="B403" s="278">
        <v>402</v>
      </c>
      <c r="C403" s="258" t="s">
        <v>4221</v>
      </c>
      <c r="D403" s="253" t="s">
        <v>4038</v>
      </c>
      <c r="E403" s="252" t="s">
        <v>245</v>
      </c>
      <c r="F403" s="254" t="s">
        <v>4042</v>
      </c>
      <c r="G403" s="252">
        <v>100886879</v>
      </c>
      <c r="H403" s="258" t="s">
        <v>967</v>
      </c>
      <c r="I403" s="252" t="s">
        <v>4043</v>
      </c>
    </row>
    <row r="404" spans="1:9" x14ac:dyDescent="0.25">
      <c r="A404" s="421">
        <v>404</v>
      </c>
      <c r="B404" s="278">
        <v>403</v>
      </c>
      <c r="C404" s="258" t="s">
        <v>1772</v>
      </c>
      <c r="D404" s="253" t="s">
        <v>4038</v>
      </c>
      <c r="E404" s="252" t="s">
        <v>4046</v>
      </c>
      <c r="F404" s="254" t="s">
        <v>4050</v>
      </c>
      <c r="G404" s="252">
        <v>100138463</v>
      </c>
      <c r="H404" s="258" t="s">
        <v>4047</v>
      </c>
      <c r="I404" s="252" t="s">
        <v>4051</v>
      </c>
    </row>
    <row r="405" spans="1:9" ht="26.4" x14ac:dyDescent="0.25">
      <c r="A405" s="421">
        <v>405</v>
      </c>
      <c r="B405" s="278">
        <v>404</v>
      </c>
      <c r="C405" s="258" t="s">
        <v>735</v>
      </c>
      <c r="D405" s="253" t="s">
        <v>4057</v>
      </c>
      <c r="E405" s="252" t="s">
        <v>2772</v>
      </c>
      <c r="F405" s="254" t="s">
        <v>4054</v>
      </c>
      <c r="G405" s="252">
        <v>691149841</v>
      </c>
      <c r="H405" s="258" t="s">
        <v>967</v>
      </c>
      <c r="I405" s="252" t="s">
        <v>4055</v>
      </c>
    </row>
    <row r="406" spans="1:9" x14ac:dyDescent="0.25">
      <c r="A406" s="421">
        <v>406</v>
      </c>
      <c r="B406" s="278">
        <v>405</v>
      </c>
      <c r="C406" s="258" t="s">
        <v>3126</v>
      </c>
      <c r="D406" s="253" t="s">
        <v>4057</v>
      </c>
      <c r="E406" s="252" t="s">
        <v>4058</v>
      </c>
      <c r="F406" s="254" t="s">
        <v>4060</v>
      </c>
      <c r="G406" s="252">
        <v>192567985</v>
      </c>
      <c r="H406" s="258" t="s">
        <v>967</v>
      </c>
      <c r="I406" s="252" t="s">
        <v>4061</v>
      </c>
    </row>
    <row r="407" spans="1:9" ht="26.4" x14ac:dyDescent="0.25">
      <c r="A407" s="421">
        <v>407</v>
      </c>
      <c r="B407" s="278">
        <v>406</v>
      </c>
      <c r="C407" s="258" t="s">
        <v>3612</v>
      </c>
      <c r="D407" s="253" t="s">
        <v>4057</v>
      </c>
      <c r="E407" s="252" t="s">
        <v>4063</v>
      </c>
      <c r="F407" s="254" t="s">
        <v>4069</v>
      </c>
      <c r="G407" s="252">
        <v>190321772</v>
      </c>
      <c r="H407" s="258" t="s">
        <v>4064</v>
      </c>
      <c r="I407" s="252" t="s">
        <v>4067</v>
      </c>
    </row>
    <row r="408" spans="1:9" x14ac:dyDescent="0.25">
      <c r="A408" s="421">
        <v>408</v>
      </c>
      <c r="B408" s="278">
        <v>407</v>
      </c>
      <c r="C408" s="258" t="s">
        <v>181</v>
      </c>
      <c r="D408" s="253" t="s">
        <v>4080</v>
      </c>
      <c r="E408" s="252" t="s">
        <v>4074</v>
      </c>
      <c r="F408" s="254" t="s">
        <v>4077</v>
      </c>
      <c r="G408" s="252">
        <v>100049068</v>
      </c>
      <c r="H408" s="258" t="s">
        <v>967</v>
      </c>
      <c r="I408" s="252" t="s">
        <v>4078</v>
      </c>
    </row>
    <row r="409" spans="1:9" x14ac:dyDescent="0.25">
      <c r="A409" s="421">
        <v>409</v>
      </c>
      <c r="B409" s="278">
        <v>408</v>
      </c>
      <c r="C409" s="258" t="s">
        <v>2790</v>
      </c>
      <c r="D409" s="253" t="s">
        <v>4080</v>
      </c>
      <c r="E409" s="252" t="s">
        <v>4081</v>
      </c>
      <c r="F409" s="254" t="s">
        <v>4084</v>
      </c>
      <c r="G409" s="252">
        <v>100017192</v>
      </c>
      <c r="H409" s="258" t="s">
        <v>4082</v>
      </c>
      <c r="I409" s="252" t="s">
        <v>4089</v>
      </c>
    </row>
    <row r="410" spans="1:9" ht="26.4" x14ac:dyDescent="0.25">
      <c r="A410" s="421">
        <v>410</v>
      </c>
      <c r="B410" s="278">
        <v>409</v>
      </c>
      <c r="C410" s="258" t="s">
        <v>2724</v>
      </c>
      <c r="D410" s="253" t="s">
        <v>4080</v>
      </c>
      <c r="E410" s="252" t="s">
        <v>4093</v>
      </c>
      <c r="F410" s="254" t="s">
        <v>4097</v>
      </c>
      <c r="G410" s="252">
        <v>790260260</v>
      </c>
      <c r="H410" s="258" t="s">
        <v>967</v>
      </c>
      <c r="I410" s="252" t="s">
        <v>4098</v>
      </c>
    </row>
    <row r="411" spans="1:9" x14ac:dyDescent="0.25">
      <c r="A411" s="421">
        <v>411</v>
      </c>
      <c r="B411" s="278">
        <v>410</v>
      </c>
      <c r="C411" s="258" t="s">
        <v>3652</v>
      </c>
      <c r="D411" s="253" t="s">
        <v>4080</v>
      </c>
      <c r="E411" s="252" t="s">
        <v>174</v>
      </c>
      <c r="F411" s="254" t="s">
        <v>4102</v>
      </c>
      <c r="G411" s="252">
        <v>190634264</v>
      </c>
      <c r="H411" s="258" t="s">
        <v>4100</v>
      </c>
      <c r="I411" s="252" t="s">
        <v>4103</v>
      </c>
    </row>
    <row r="412" spans="1:9" x14ac:dyDescent="0.25">
      <c r="A412" s="421">
        <v>412</v>
      </c>
      <c r="B412" s="278">
        <v>411</v>
      </c>
      <c r="C412" s="258" t="s">
        <v>155</v>
      </c>
      <c r="D412" s="253" t="s">
        <v>4105</v>
      </c>
      <c r="E412" s="252" t="s">
        <v>4112</v>
      </c>
      <c r="F412" s="254" t="s">
        <v>4108</v>
      </c>
      <c r="G412" s="252">
        <v>101127633</v>
      </c>
      <c r="H412" s="258" t="s">
        <v>967</v>
      </c>
      <c r="I412" s="252" t="s">
        <v>4109</v>
      </c>
    </row>
    <row r="413" spans="1:9" x14ac:dyDescent="0.25">
      <c r="A413" s="421">
        <v>413</v>
      </c>
      <c r="B413" s="278">
        <v>412</v>
      </c>
      <c r="C413" s="258" t="s">
        <v>3764</v>
      </c>
      <c r="D413" s="253" t="s">
        <v>1094</v>
      </c>
      <c r="E413" s="252" t="s">
        <v>1095</v>
      </c>
      <c r="F413" s="254" t="s">
        <v>1088</v>
      </c>
      <c r="G413" s="252">
        <v>190927518</v>
      </c>
      <c r="H413" s="258" t="s">
        <v>967</v>
      </c>
      <c r="I413" s="252" t="s">
        <v>1089</v>
      </c>
    </row>
    <row r="414" spans="1:9" x14ac:dyDescent="0.25">
      <c r="A414" s="421">
        <v>414</v>
      </c>
      <c r="B414" s="278">
        <v>413</v>
      </c>
      <c r="C414" s="258" t="s">
        <v>438</v>
      </c>
      <c r="D414" s="253" t="s">
        <v>1094</v>
      </c>
      <c r="E414" s="252" t="s">
        <v>1096</v>
      </c>
      <c r="F414" s="254" t="s">
        <v>1097</v>
      </c>
      <c r="G414" s="252">
        <v>812005555</v>
      </c>
      <c r="H414" s="258" t="s">
        <v>967</v>
      </c>
      <c r="I414" s="252" t="s">
        <v>1098</v>
      </c>
    </row>
    <row r="415" spans="1:9" x14ac:dyDescent="0.25">
      <c r="A415" s="421">
        <v>413</v>
      </c>
      <c r="B415" s="278">
        <v>414</v>
      </c>
      <c r="C415" s="258" t="s">
        <v>3849</v>
      </c>
      <c r="D415" s="253" t="s">
        <v>1094</v>
      </c>
      <c r="E415" s="252" t="s">
        <v>1096</v>
      </c>
      <c r="F415" s="254" t="s">
        <v>1097</v>
      </c>
      <c r="G415" s="252">
        <v>812005555</v>
      </c>
      <c r="H415" s="258" t="s">
        <v>967</v>
      </c>
      <c r="I415" s="252" t="s">
        <v>1098</v>
      </c>
    </row>
    <row r="446" spans="5:5" x14ac:dyDescent="0.25">
      <c r="E446" s="410"/>
    </row>
    <row r="480" spans="4:4" x14ac:dyDescent="0.25">
      <c r="D480" s="346"/>
    </row>
    <row r="514" spans="4:4" x14ac:dyDescent="0.25">
      <c r="D514" s="347"/>
    </row>
    <row r="544" spans="4:4" x14ac:dyDescent="0.25">
      <c r="D544" s="346"/>
    </row>
    <row r="568" spans="4:4" x14ac:dyDescent="0.25">
      <c r="D568" s="346"/>
    </row>
    <row r="609" spans="6:6" x14ac:dyDescent="0.25">
      <c r="F609" s="412"/>
    </row>
    <row r="631" spans="4:4" x14ac:dyDescent="0.25">
      <c r="D631" s="346"/>
    </row>
    <row r="634" spans="4:4" x14ac:dyDescent="0.25">
      <c r="D634" s="346"/>
    </row>
    <row r="672" spans="6:9" x14ac:dyDescent="0.25">
      <c r="F672" s="252"/>
      <c r="G672" s="408"/>
      <c r="H672" s="411"/>
      <c r="I672" s="410"/>
    </row>
    <row r="680" spans="4:4" x14ac:dyDescent="0.25">
      <c r="D680" s="346"/>
    </row>
    <row r="702" spans="5:9" x14ac:dyDescent="0.25">
      <c r="E702" s="410"/>
      <c r="F702" s="408"/>
      <c r="G702" s="408"/>
      <c r="H702" s="357"/>
      <c r="I702" s="410"/>
    </row>
    <row r="737" spans="4:10" x14ac:dyDescent="0.25">
      <c r="D737" s="346"/>
      <c r="E737" s="344"/>
      <c r="F737" s="345"/>
      <c r="G737" s="344"/>
      <c r="H737" s="344"/>
      <c r="I737" s="344"/>
      <c r="J737" s="258"/>
    </row>
    <row r="775" spans="4:4" x14ac:dyDescent="0.25">
      <c r="D775" s="346"/>
    </row>
    <row r="844" spans="4:4" x14ac:dyDescent="0.25">
      <c r="D844" s="346"/>
    </row>
    <row r="1097" spans="6:9" x14ac:dyDescent="0.25">
      <c r="F1097" s="409"/>
      <c r="G1097" s="409"/>
      <c r="I1097" s="413"/>
    </row>
    <row r="1114" spans="4:9" x14ac:dyDescent="0.25">
      <c r="D1114" s="404"/>
    </row>
    <row r="1119" spans="4:9" x14ac:dyDescent="0.25">
      <c r="F1119" s="414"/>
      <c r="G1119" s="254"/>
      <c r="H1119" s="252"/>
      <c r="I1119" s="258"/>
    </row>
    <row r="1144" spans="5:9" x14ac:dyDescent="0.25">
      <c r="E1144" s="254"/>
    </row>
    <row r="1145" spans="5:9" x14ac:dyDescent="0.25">
      <c r="E1145" s="254"/>
    </row>
    <row r="1146" spans="5:9" x14ac:dyDescent="0.25">
      <c r="E1146" s="254"/>
    </row>
    <row r="1147" spans="5:9" x14ac:dyDescent="0.25">
      <c r="E1147" s="254"/>
      <c r="F1147" s="409"/>
      <c r="G1147" s="409"/>
      <c r="H1147" s="406"/>
      <c r="I1147" s="415"/>
    </row>
    <row r="1148" spans="5:9" x14ac:dyDescent="0.25">
      <c r="E1148" s="254"/>
      <c r="F1148" s="409"/>
      <c r="G1148" s="409"/>
      <c r="H1148" s="406"/>
      <c r="I1148" s="415"/>
    </row>
    <row r="1149" spans="5:9" x14ac:dyDescent="0.25">
      <c r="E1149" s="407"/>
    </row>
  </sheetData>
  <protectedRanges>
    <protectedRange sqref="E368:E369" name="Диапазон1"/>
    <protectedRange sqref="G368" name="Диапазон1_1"/>
    <protectedRange sqref="E107" name="Диапазон1_30"/>
    <protectedRange sqref="F77:L77 C77:D77" name="Диапазон1_27_1"/>
    <protectedRange sqref="E446" name="Диапазон1_2_17_1"/>
    <protectedRange sqref="E11" name="Диапазон1_1_7_1"/>
    <protectedRange sqref="G11" name="Диапазон1_1_7_1_1"/>
    <protectedRange sqref="F74" name="Диапазон1_1_3"/>
  </protectedRanges>
  <customSheetViews>
    <customSheetView guid="{6F966CD8-707E-4C39-BF19-FBF54F1918BD}" scale="90" showAutoFilter="1" showRuler="0">
      <pane ySplit="1" topLeftCell="A23" activePane="bottomLeft" state="frozenSplit"/>
      <selection pane="bottomLeft"/>
      <pageMargins left="0.75" right="0.75" top="1" bottom="1" header="0.5" footer="0.5"/>
      <pageSetup paperSize="9" orientation="portrait" verticalDpi="0" r:id="rId1"/>
      <headerFooter alignWithMargins="0"/>
      <autoFilter ref="B1:G1"/>
    </customSheetView>
    <customSheetView guid="{E0E17C6E-C811-4170-82D5-EDD54F6164FB}" scale="90" showAutoFilter="1" hiddenRows="1" showRuler="0">
      <pane ySplit="1" topLeftCell="A414" activePane="bottomLeft" state="frozenSplit"/>
      <selection pane="bottomLeft" activeCell="A2" sqref="A2"/>
      <pageMargins left="0.75" right="0.75" top="1" bottom="1" header="0.5" footer="0.5"/>
      <pageSetup paperSize="9" orientation="portrait" verticalDpi="0" r:id="rId2"/>
      <headerFooter alignWithMargins="0"/>
      <autoFilter ref="B1:G1"/>
    </customSheetView>
    <customSheetView guid="{21C840CC-AE35-4950-B5BD-32A7DE9BAC52}" scale="90" showAutoFilter="1" showRuler="0">
      <pane ySplit="1" topLeftCell="A53" activePane="bottomLeft" state="frozenSplit"/>
      <selection pane="bottomLeft"/>
      <pageMargins left="0.75" right="0.75" top="1" bottom="1" header="0.5" footer="0.5"/>
      <pageSetup paperSize="9" orientation="portrait" verticalDpi="0" r:id="rId3"/>
      <headerFooter alignWithMargins="0"/>
      <autoFilter ref="B1:G1"/>
    </customSheetView>
    <customSheetView guid="{17CF6293-B179-4C29-9312-7FBDD485BBFD}" scale="90" showAutoFilter="1" hiddenRows="1" showRuler="0">
      <pane ySplit="1" topLeftCell="A731" activePane="bottomLeft" state="frozenSplit"/>
      <selection pane="bottomLeft"/>
      <pageMargins left="0.75" right="0.75" top="1" bottom="1" header="0.5" footer="0.5"/>
      <pageSetup paperSize="9" orientation="portrait" verticalDpi="0" r:id="rId4"/>
      <headerFooter alignWithMargins="0"/>
      <autoFilter ref="B1:G1"/>
    </customSheetView>
    <customSheetView guid="{B6FD7490-794E-482C-8B29-FB2AB6EB258C}" scale="90" showAutoFilter="1" hiddenRows="1" showRuler="0">
      <pane ySplit="1" topLeftCell="A2" activePane="bottomLeft" state="frozenSplit"/>
      <selection pane="bottomLeft" activeCell="A2" sqref="A2"/>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indexed="13"/>
  </sheetPr>
  <dimension ref="A1:AW73"/>
  <sheetViews>
    <sheetView zoomScaleNormal="100" zoomScaleSheetLayoutView="100" workbookViewId="0">
      <selection activeCell="J46" sqref="J46:O46"/>
    </sheetView>
  </sheetViews>
  <sheetFormatPr defaultColWidth="9.109375" defaultRowHeight="13.2" x14ac:dyDescent="0.25"/>
  <cols>
    <col min="1" max="1" width="0.5546875" style="96" customWidth="1"/>
    <col min="2" max="2" width="1" style="96" customWidth="1"/>
    <col min="3" max="3" width="6.109375" style="96" customWidth="1"/>
    <col min="4" max="4" width="8.88671875" style="96" customWidth="1"/>
    <col min="5" max="5" width="11" style="96" customWidth="1"/>
    <col min="6" max="6" width="7.5546875" style="96" customWidth="1"/>
    <col min="7" max="7" width="10.44140625" style="96" customWidth="1"/>
    <col min="8" max="8" width="5" style="96" customWidth="1"/>
    <col min="9" max="9" width="8.44140625" style="96" customWidth="1"/>
    <col min="10" max="10" width="12.33203125" style="96" customWidth="1"/>
    <col min="11" max="11" width="7.88671875" style="96" customWidth="1"/>
    <col min="12" max="12" width="2.6640625" style="96" customWidth="1"/>
    <col min="13" max="13" width="6.44140625" style="96" customWidth="1"/>
    <col min="14" max="14" width="9.5546875" style="96" customWidth="1"/>
    <col min="15" max="15" width="11" style="96" customWidth="1"/>
    <col min="16" max="16" width="4.109375" style="96" customWidth="1"/>
    <col min="17" max="17" width="3.88671875" style="358" customWidth="1"/>
    <col min="18" max="18" width="18.33203125" style="358" customWidth="1"/>
    <col min="19" max="19" width="9.109375" style="358"/>
    <col min="20" max="20" width="34.88671875" style="358" customWidth="1"/>
    <col min="21" max="23" width="9.109375" style="358"/>
    <col min="24" max="24" width="24.33203125" style="358" customWidth="1"/>
    <col min="25" max="49" width="9.109375" style="358"/>
    <col min="50" max="16384" width="9.109375" style="96"/>
  </cols>
  <sheetData>
    <row r="1" spans="1:18" ht="14.1" customHeight="1" x14ac:dyDescent="0.25">
      <c r="B1" s="93"/>
      <c r="C1" s="93"/>
      <c r="D1" s="93"/>
      <c r="E1" s="93"/>
      <c r="F1" s="93"/>
      <c r="G1" s="93"/>
      <c r="H1" s="93"/>
      <c r="I1" s="93"/>
      <c r="J1" s="93"/>
      <c r="K1" s="93"/>
      <c r="L1" s="93"/>
      <c r="M1" s="93"/>
      <c r="N1" s="93"/>
      <c r="O1" s="93"/>
      <c r="P1" s="93"/>
    </row>
    <row r="2" spans="1:18" ht="14.1" customHeight="1" x14ac:dyDescent="0.25">
      <c r="B2" s="138"/>
      <c r="C2" s="139"/>
      <c r="D2" s="140" t="s">
        <v>3732</v>
      </c>
      <c r="E2" s="141"/>
      <c r="F2" s="141"/>
      <c r="G2" s="141"/>
      <c r="H2" s="139"/>
      <c r="I2" s="142"/>
      <c r="J2" s="461"/>
      <c r="K2" s="462"/>
      <c r="L2" s="462"/>
      <c r="M2" s="462"/>
      <c r="N2" s="462"/>
      <c r="O2" s="143"/>
      <c r="P2" s="143"/>
      <c r="Q2" s="359"/>
    </row>
    <row r="3" spans="1:18" ht="15" x14ac:dyDescent="0.25">
      <c r="B3" s="138"/>
      <c r="C3" s="139"/>
      <c r="D3" s="463" t="str">
        <f>Контрагенты!B1</f>
        <v>УП "Белтехосмотр"</v>
      </c>
      <c r="E3" s="464"/>
      <c r="F3" s="464"/>
      <c r="G3" s="464"/>
      <c r="H3" s="464"/>
      <c r="I3" s="464"/>
      <c r="J3" s="465"/>
      <c r="K3" s="465"/>
      <c r="L3" s="465"/>
      <c r="M3" s="465"/>
      <c r="N3" s="465"/>
      <c r="O3" s="145"/>
      <c r="P3" s="145"/>
      <c r="Q3" s="359"/>
    </row>
    <row r="4" spans="1:18" ht="14.1" customHeight="1" x14ac:dyDescent="0.25">
      <c r="B4" s="138"/>
      <c r="C4" s="139"/>
      <c r="D4" s="466" t="str">
        <f>Контрагенты!I1</f>
        <v>220005, Минск, ул.Платонова, 22а-312</v>
      </c>
      <c r="E4" s="467"/>
      <c r="F4" s="467"/>
      <c r="G4" s="467"/>
      <c r="H4" s="467"/>
      <c r="I4" s="467"/>
      <c r="J4" s="465"/>
      <c r="K4" s="465"/>
      <c r="L4" s="465"/>
      <c r="M4" s="465"/>
      <c r="N4" s="465"/>
      <c r="O4" s="146"/>
      <c r="P4" s="147"/>
      <c r="Q4" s="359"/>
      <c r="R4" s="360"/>
    </row>
    <row r="5" spans="1:18" ht="14.1" customHeight="1" x14ac:dyDescent="0.25">
      <c r="B5" s="138"/>
      <c r="C5" s="139"/>
      <c r="D5" s="141" t="s">
        <v>308</v>
      </c>
      <c r="E5" s="144">
        <f>Контрагенты!C1</f>
        <v>190471274</v>
      </c>
      <c r="F5" s="148"/>
      <c r="G5" s="141"/>
      <c r="H5" s="149"/>
      <c r="I5" s="141"/>
      <c r="J5" s="465"/>
      <c r="K5" s="465"/>
      <c r="L5" s="465"/>
      <c r="M5" s="465"/>
      <c r="N5" s="465"/>
      <c r="O5" s="141"/>
      <c r="P5" s="141"/>
      <c r="Q5" s="359"/>
    </row>
    <row r="6" spans="1:18" ht="14.1" customHeight="1" x14ac:dyDescent="0.25">
      <c r="B6" s="138"/>
      <c r="C6" s="139"/>
      <c r="D6" s="141" t="s">
        <v>1799</v>
      </c>
      <c r="E6" s="150" t="str">
        <f>Контрагенты!D1</f>
        <v>37623374</v>
      </c>
      <c r="F6" s="141"/>
      <c r="G6" s="141"/>
      <c r="H6" s="149"/>
      <c r="I6" s="151"/>
      <c r="J6" s="465"/>
      <c r="K6" s="465"/>
      <c r="L6" s="465"/>
      <c r="M6" s="465"/>
      <c r="N6" s="465"/>
      <c r="O6" s="141"/>
      <c r="P6" s="141"/>
      <c r="Q6" s="359"/>
    </row>
    <row r="7" spans="1:18" ht="25.5" customHeight="1" x14ac:dyDescent="0.25">
      <c r="B7" s="138"/>
      <c r="C7" s="139"/>
      <c r="D7" s="471" t="str">
        <f>"Р/сч "&amp;Контрагенты!E1&amp;" в "&amp;Контрагенты!F1&amp;", код "&amp;Контрагенты!G1</f>
        <v>Р/сч BY03BPSB30121052530139330000 в Региональная дирекция №700 ОАО "БПС-Сбербанк", код BPSBBY2X</v>
      </c>
      <c r="E7" s="471"/>
      <c r="F7" s="471"/>
      <c r="G7" s="471"/>
      <c r="H7" s="471"/>
      <c r="I7" s="471"/>
      <c r="J7" s="152"/>
      <c r="K7" s="153"/>
      <c r="L7" s="153"/>
      <c r="M7" s="153"/>
      <c r="N7" s="153"/>
      <c r="O7" s="141"/>
      <c r="P7" s="141"/>
      <c r="Q7" s="359"/>
    </row>
    <row r="8" spans="1:18" ht="8.25" customHeight="1" x14ac:dyDescent="0.25">
      <c r="B8" s="138"/>
      <c r="C8" s="139"/>
      <c r="D8" s="144"/>
      <c r="E8" s="144"/>
      <c r="F8" s="144"/>
      <c r="G8" s="144"/>
      <c r="H8" s="141"/>
      <c r="I8" s="153"/>
      <c r="J8" s="153"/>
      <c r="K8" s="153"/>
      <c r="L8" s="141"/>
      <c r="M8" s="141"/>
      <c r="N8" s="141"/>
      <c r="O8" s="141"/>
      <c r="P8" s="141"/>
      <c r="Q8" s="359"/>
    </row>
    <row r="9" spans="1:18" ht="14.1" customHeight="1" x14ac:dyDescent="0.25">
      <c r="B9" s="138"/>
      <c r="C9" s="154"/>
      <c r="D9" s="463" t="s">
        <v>3219</v>
      </c>
      <c r="E9" s="463"/>
      <c r="F9" s="144"/>
      <c r="G9" s="144"/>
      <c r="H9" s="141"/>
      <c r="I9" s="153"/>
      <c r="J9" s="153"/>
      <c r="K9" s="153"/>
      <c r="L9" s="141"/>
      <c r="M9" s="141"/>
      <c r="N9" s="141"/>
      <c r="O9" s="141"/>
      <c r="P9" s="141"/>
      <c r="Q9" s="359"/>
    </row>
    <row r="10" spans="1:18" ht="14.1" customHeight="1" x14ac:dyDescent="0.25">
      <c r="B10" s="138"/>
      <c r="C10" s="139"/>
      <c r="D10" s="470" t="str">
        <f>VLOOKUP('Реестр договоров'!A1,'Реестр договоров'!A2:M1917,5)</f>
        <v>ЧТУП "БогдалексТранс"</v>
      </c>
      <c r="E10" s="471"/>
      <c r="F10" s="471"/>
      <c r="G10" s="471"/>
      <c r="H10" s="471"/>
      <c r="I10" s="471"/>
      <c r="J10" s="472"/>
      <c r="K10" s="153"/>
      <c r="L10" s="141"/>
      <c r="M10" s="141"/>
      <c r="N10" s="141"/>
      <c r="O10" s="141"/>
      <c r="P10" s="141"/>
      <c r="Q10" s="359"/>
    </row>
    <row r="11" spans="1:18" ht="24" customHeight="1" x14ac:dyDescent="0.25">
      <c r="B11" s="138"/>
      <c r="C11" s="139"/>
      <c r="D11" s="471" t="str">
        <f>IF((VLOOKUP('Реестр договоров'!A1,'Реестр договоров'!A2:M1917,6))&gt;"",VLOOKUP('Реестр договоров'!A1,'Реестр договоров'!A2:M1917,6),"")</f>
        <v>220018,г.Минск,пер.Асаналиева,4а,ком.46</v>
      </c>
      <c r="E11" s="471"/>
      <c r="F11" s="471"/>
      <c r="G11" s="471"/>
      <c r="H11" s="471"/>
      <c r="I11" s="471"/>
      <c r="J11" s="471"/>
      <c r="K11" s="471"/>
      <c r="L11" s="471"/>
      <c r="M11" s="471"/>
      <c r="N11" s="471"/>
      <c r="O11" s="471"/>
      <c r="P11" s="141"/>
      <c r="Q11" s="359"/>
    </row>
    <row r="12" spans="1:18" ht="14.1" customHeight="1" x14ac:dyDescent="0.25">
      <c r="B12" s="138"/>
      <c r="C12" s="139"/>
      <c r="D12" s="141" t="s">
        <v>308</v>
      </c>
      <c r="E12" s="464">
        <f>IF((VLOOKUP('Реестр договоров'!A1,'Реестр договоров'!A2:M1917,7))&lt;"0",VLOOKUP('Реестр договоров'!A1,'Реестр договоров'!A2:M1917,7),"")</f>
        <v>190927518</v>
      </c>
      <c r="F12" s="464"/>
      <c r="G12" s="155"/>
      <c r="H12" s="141"/>
      <c r="I12" s="153"/>
      <c r="J12" s="153"/>
      <c r="K12" s="153"/>
      <c r="L12" s="141"/>
      <c r="M12" s="141"/>
      <c r="N12" s="141"/>
      <c r="O12" s="141"/>
      <c r="P12" s="141"/>
      <c r="Q12" s="359"/>
    </row>
    <row r="13" spans="1:18" ht="14.1" customHeight="1" x14ac:dyDescent="0.25">
      <c r="B13" s="138"/>
      <c r="C13" s="139"/>
      <c r="D13" s="141" t="s">
        <v>1799</v>
      </c>
      <c r="E13" s="464" t="str">
        <f>IF((VLOOKUP('Реестр договоров'!A1,'Реестр договоров'!A2:M1917,8))&gt;"0",VLOOKUP('Реестр договоров'!A1,'Реестр договоров'!A2:M1917,8),"")</f>
        <v/>
      </c>
      <c r="F13" s="464"/>
      <c r="G13" s="155"/>
      <c r="H13" s="141"/>
      <c r="I13" s="153"/>
      <c r="J13" s="153"/>
      <c r="K13" s="153"/>
      <c r="L13" s="141"/>
      <c r="M13" s="141"/>
      <c r="N13" s="141"/>
      <c r="O13" s="141"/>
      <c r="P13" s="141"/>
      <c r="Q13" s="359"/>
    </row>
    <row r="14" spans="1:18" ht="15.75" customHeight="1" x14ac:dyDescent="0.3">
      <c r="A14" s="246"/>
      <c r="B14" s="157"/>
      <c r="C14" s="156"/>
      <c r="D14" s="158"/>
      <c r="E14" s="158"/>
      <c r="F14" s="158"/>
      <c r="G14" s="158"/>
      <c r="H14" s="158" t="s">
        <v>723</v>
      </c>
      <c r="I14" s="483" t="s">
        <v>3521</v>
      </c>
      <c r="J14" s="483"/>
      <c r="K14" s="479">
        <f ca="1">TODAY()</f>
        <v>42934</v>
      </c>
      <c r="L14" s="479"/>
      <c r="M14" s="479"/>
      <c r="N14" s="479"/>
      <c r="O14" s="479"/>
      <c r="P14" s="141"/>
      <c r="Q14" s="359"/>
    </row>
    <row r="15" spans="1:18" ht="15" customHeight="1" x14ac:dyDescent="0.25">
      <c r="B15" s="138"/>
      <c r="C15" s="139"/>
      <c r="D15" s="481" t="s">
        <v>3272</v>
      </c>
      <c r="E15" s="481"/>
      <c r="F15" s="481"/>
      <c r="G15" s="481"/>
      <c r="H15" s="481"/>
      <c r="I15" s="481"/>
      <c r="J15" s="481"/>
      <c r="K15" s="481"/>
      <c r="L15" s="481"/>
      <c r="M15" s="481"/>
      <c r="N15" s="481"/>
      <c r="O15" s="159"/>
      <c r="P15" s="160"/>
      <c r="Q15" s="359"/>
      <c r="R15" s="359"/>
    </row>
    <row r="16" spans="1:18" ht="9" customHeight="1" x14ac:dyDescent="0.25">
      <c r="B16" s="138"/>
      <c r="C16" s="139"/>
      <c r="D16" s="481"/>
      <c r="E16" s="482"/>
      <c r="F16" s="482"/>
      <c r="G16" s="482"/>
      <c r="H16" s="482"/>
      <c r="I16" s="482"/>
      <c r="J16" s="482"/>
      <c r="K16" s="482"/>
      <c r="L16" s="482"/>
      <c r="M16" s="482"/>
      <c r="N16" s="482"/>
      <c r="O16" s="160"/>
      <c r="P16" s="141"/>
      <c r="Q16" s="359"/>
    </row>
    <row r="17" spans="2:17" ht="9" customHeight="1" x14ac:dyDescent="0.25">
      <c r="B17" s="138"/>
      <c r="C17" s="139"/>
      <c r="D17" s="161"/>
      <c r="E17" s="162"/>
      <c r="F17" s="162"/>
      <c r="G17" s="162"/>
      <c r="H17" s="162"/>
      <c r="I17" s="162"/>
      <c r="J17" s="162"/>
      <c r="K17" s="162"/>
      <c r="L17" s="162"/>
      <c r="M17" s="162"/>
      <c r="N17" s="162"/>
      <c r="O17" s="141"/>
      <c r="P17" s="141"/>
      <c r="Q17" s="359"/>
    </row>
    <row r="18" spans="2:17" ht="15" x14ac:dyDescent="0.25">
      <c r="B18" s="138"/>
      <c r="C18" s="139"/>
      <c r="D18" s="480" t="s">
        <v>3535</v>
      </c>
      <c r="E18" s="480"/>
      <c r="F18" s="480"/>
      <c r="G18" s="480"/>
      <c r="H18" s="480"/>
      <c r="I18" s="480"/>
      <c r="J18" s="480"/>
      <c r="K18" s="480"/>
      <c r="L18" s="480"/>
      <c r="M18" s="480"/>
      <c r="N18" s="480"/>
      <c r="O18" s="480"/>
      <c r="P18" s="141"/>
      <c r="Q18" s="359"/>
    </row>
    <row r="19" spans="2:17" ht="15" x14ac:dyDescent="0.25">
      <c r="B19" s="138"/>
      <c r="C19" s="139"/>
      <c r="D19" s="477" t="str">
        <f>VLOOKUP('Реестр договоров'!A1,'Реестр договоров'!A2:M1917,5)</f>
        <v>ЧТУП "БогдалексТранс"</v>
      </c>
      <c r="E19" s="478"/>
      <c r="F19" s="478"/>
      <c r="G19" s="478"/>
      <c r="H19" s="478"/>
      <c r="I19" s="478"/>
      <c r="J19" s="478"/>
      <c r="K19" s="478"/>
      <c r="L19" s="478"/>
      <c r="M19" s="478"/>
      <c r="N19" s="478"/>
      <c r="O19" s="141"/>
      <c r="P19" s="141"/>
      <c r="Q19" s="359"/>
    </row>
    <row r="20" spans="2:17" ht="15" x14ac:dyDescent="0.25">
      <c r="B20" s="138"/>
      <c r="C20" s="139"/>
      <c r="D20" s="475" t="s">
        <v>1615</v>
      </c>
      <c r="E20" s="476"/>
      <c r="F20" s="476"/>
      <c r="G20" s="476"/>
      <c r="H20" s="476"/>
      <c r="I20" s="476"/>
      <c r="J20" s="476"/>
      <c r="K20" s="164"/>
      <c r="L20" s="164"/>
      <c r="M20" s="164"/>
      <c r="N20" s="164"/>
      <c r="O20" s="164"/>
      <c r="P20" s="141"/>
      <c r="Q20" s="359"/>
    </row>
    <row r="21" spans="2:17" ht="15" x14ac:dyDescent="0.25">
      <c r="B21" s="138"/>
      <c r="C21" s="139"/>
      <c r="D21" s="165" t="s">
        <v>2960</v>
      </c>
      <c r="E21" s="163"/>
      <c r="F21" s="473" t="str">
        <f>Выбор!B32</f>
        <v>Булатовский С.А.</v>
      </c>
      <c r="G21" s="473"/>
      <c r="H21" s="473"/>
      <c r="I21" s="473"/>
      <c r="J21" s="473"/>
      <c r="K21" s="473"/>
      <c r="L21" s="473"/>
      <c r="M21" s="473"/>
      <c r="N21" s="473"/>
      <c r="O21" s="473"/>
      <c r="P21" s="141"/>
      <c r="Q21" s="359"/>
    </row>
    <row r="22" spans="2:17" ht="15" x14ac:dyDescent="0.25">
      <c r="B22" s="138"/>
      <c r="C22" s="139"/>
      <c r="D22" s="165" t="s">
        <v>2961</v>
      </c>
      <c r="E22" s="474" t="str">
        <f>VLOOKUP('Реестр договоров'!A1,'Реестр договоров'!A2:M1917,5)</f>
        <v>ЧТУП "БогдалексТранс"</v>
      </c>
      <c r="F22" s="474"/>
      <c r="G22" s="474"/>
      <c r="H22" s="474"/>
      <c r="I22" s="474"/>
      <c r="J22" s="474"/>
      <c r="K22" s="474"/>
      <c r="L22" s="474"/>
      <c r="M22" s="474"/>
      <c r="N22" s="460" t="s">
        <v>3506</v>
      </c>
      <c r="O22" s="460"/>
      <c r="P22" s="141"/>
      <c r="Q22" s="359"/>
    </row>
    <row r="23" spans="2:17" ht="8.25" customHeight="1" x14ac:dyDescent="0.25">
      <c r="B23" s="138"/>
      <c r="C23" s="139"/>
      <c r="D23" s="468"/>
      <c r="E23" s="469"/>
      <c r="F23" s="469"/>
      <c r="G23" s="469"/>
      <c r="H23" s="469"/>
      <c r="I23" s="469"/>
      <c r="J23" s="469"/>
      <c r="K23" s="469"/>
      <c r="L23" s="469"/>
      <c r="M23" s="469"/>
      <c r="N23" s="469"/>
      <c r="O23" s="469"/>
      <c r="P23" s="141"/>
      <c r="Q23" s="359"/>
    </row>
    <row r="24" spans="2:17" ht="15.75" customHeight="1" x14ac:dyDescent="0.25">
      <c r="B24" s="138"/>
      <c r="C24" s="139"/>
      <c r="D24" s="457" t="s">
        <v>161</v>
      </c>
      <c r="E24" s="457"/>
      <c r="F24" s="457"/>
      <c r="G24" s="457"/>
      <c r="H24" s="457"/>
      <c r="I24" s="457"/>
      <c r="J24" s="457"/>
      <c r="K24" s="457"/>
      <c r="L24" s="457"/>
      <c r="M24" s="457"/>
      <c r="N24" s="457"/>
      <c r="O24" s="457"/>
      <c r="P24" s="141"/>
      <c r="Q24" s="359"/>
    </row>
    <row r="25" spans="2:17" ht="30" customHeight="1" x14ac:dyDescent="0.25">
      <c r="B25" s="138"/>
      <c r="C25" s="139"/>
      <c r="D25" s="457" t="s">
        <v>3547</v>
      </c>
      <c r="E25" s="457"/>
      <c r="F25" s="457"/>
      <c r="G25" s="457"/>
      <c r="H25" s="457"/>
      <c r="I25" s="457"/>
      <c r="J25" s="457"/>
      <c r="K25" s="457"/>
      <c r="L25" s="457"/>
      <c r="M25" s="457"/>
      <c r="N25" s="457"/>
      <c r="O25" s="457"/>
      <c r="P25" s="141"/>
      <c r="Q25" s="359"/>
    </row>
    <row r="26" spans="2:17" ht="9" customHeight="1" x14ac:dyDescent="0.25">
      <c r="B26" s="138"/>
      <c r="C26" s="139"/>
      <c r="D26" s="166"/>
      <c r="E26" s="166"/>
      <c r="F26" s="166"/>
      <c r="G26" s="166"/>
      <c r="H26" s="166"/>
      <c r="I26" s="166"/>
      <c r="J26" s="166"/>
      <c r="K26" s="166"/>
      <c r="L26" s="166"/>
      <c r="M26" s="166"/>
      <c r="N26" s="166"/>
      <c r="O26" s="166"/>
      <c r="P26" s="141"/>
      <c r="Q26" s="359"/>
    </row>
    <row r="27" spans="2:17" ht="45.75" customHeight="1" x14ac:dyDescent="0.25">
      <c r="B27" s="138"/>
      <c r="C27" s="139"/>
      <c r="D27" s="458" t="s">
        <v>1780</v>
      </c>
      <c r="E27" s="458"/>
      <c r="F27" s="458"/>
      <c r="G27" s="458"/>
      <c r="H27" s="86" t="s">
        <v>525</v>
      </c>
      <c r="I27" s="87" t="s">
        <v>192</v>
      </c>
      <c r="J27" s="88" t="s">
        <v>3608</v>
      </c>
      <c r="K27" s="459" t="s">
        <v>3522</v>
      </c>
      <c r="L27" s="459"/>
      <c r="M27" s="89" t="s">
        <v>2679</v>
      </c>
      <c r="N27" s="89" t="s">
        <v>931</v>
      </c>
      <c r="O27" s="89" t="s">
        <v>4208</v>
      </c>
      <c r="P27" s="141"/>
      <c r="Q27" s="359"/>
    </row>
    <row r="28" spans="2:17" ht="30" customHeight="1" x14ac:dyDescent="0.25">
      <c r="B28" s="138"/>
      <c r="C28" s="139"/>
      <c r="D28" s="455" t="str">
        <f>IF((INDEX(Тарифы!$B$5:$B$163,Выбор!$D44))&gt;"",INDEX(Тарифы!$B$5:$B$163,Выбор!$D44),"")</f>
        <v>Проверка степени светопропускания стекол</v>
      </c>
      <c r="E28" s="455"/>
      <c r="F28" s="455"/>
      <c r="G28" s="455"/>
      <c r="H28" s="90"/>
      <c r="I28" s="91">
        <f>Выбор!F8</f>
        <v>1</v>
      </c>
      <c r="J28" s="365">
        <f>Выбор!G8</f>
        <v>3.08</v>
      </c>
      <c r="K28" s="456">
        <f>Выбор!H8</f>
        <v>3.08</v>
      </c>
      <c r="L28" s="456"/>
      <c r="M28" s="92" t="str">
        <f>Выбор!I8</f>
        <v>20%</v>
      </c>
      <c r="N28" s="366">
        <f>Выбор!J8</f>
        <v>0.62</v>
      </c>
      <c r="O28" s="366">
        <f>Выбор!K8</f>
        <v>3.7</v>
      </c>
      <c r="P28" s="141"/>
      <c r="Q28" s="359"/>
    </row>
    <row r="29" spans="2:17" ht="30" customHeight="1" x14ac:dyDescent="0.25">
      <c r="B29" s="138"/>
      <c r="C29" s="139"/>
      <c r="D29" s="455" t="str">
        <f>IF((INDEX(Тарифы!$B$5:$B$163,Выбор!$D45))&gt;"",INDEX(Тарифы!$B$5:$B$163,Выбор!$D45),"")</f>
        <v/>
      </c>
      <c r="E29" s="455"/>
      <c r="F29" s="455"/>
      <c r="G29" s="455"/>
      <c r="H29" s="90"/>
      <c r="I29" s="91">
        <f>Выбор!F9</f>
        <v>0</v>
      </c>
      <c r="J29" s="365">
        <f>Выбор!G9</f>
        <v>0</v>
      </c>
      <c r="K29" s="456">
        <f>Выбор!H9</f>
        <v>0</v>
      </c>
      <c r="L29" s="456"/>
      <c r="M29" s="92" t="str">
        <f>Выбор!I9</f>
        <v/>
      </c>
      <c r="N29" s="366">
        <f>Выбор!J9</f>
        <v>0</v>
      </c>
      <c r="O29" s="366">
        <f>Выбор!K9</f>
        <v>0</v>
      </c>
      <c r="P29" s="141"/>
      <c r="Q29" s="359"/>
    </row>
    <row r="30" spans="2:17" ht="30" customHeight="1" x14ac:dyDescent="0.25">
      <c r="B30" s="138"/>
      <c r="C30" s="139"/>
      <c r="D30" s="455" t="str">
        <f>IF((INDEX(Тарифы!$B$5:$B$163,Выбор!$D46))&gt;"",INDEX(Тарифы!$B$5:$B$163,Выбор!$D46),"")</f>
        <v/>
      </c>
      <c r="E30" s="455"/>
      <c r="F30" s="455"/>
      <c r="G30" s="455"/>
      <c r="H30" s="90"/>
      <c r="I30" s="91">
        <f>Выбор!F10</f>
        <v>0</v>
      </c>
      <c r="J30" s="365">
        <f>Выбор!G10</f>
        <v>0</v>
      </c>
      <c r="K30" s="456">
        <f>Выбор!H10</f>
        <v>0</v>
      </c>
      <c r="L30" s="456"/>
      <c r="M30" s="92" t="str">
        <f>Выбор!I10</f>
        <v/>
      </c>
      <c r="N30" s="366">
        <f>Выбор!J10</f>
        <v>0</v>
      </c>
      <c r="O30" s="366">
        <f>Выбор!K10</f>
        <v>0</v>
      </c>
      <c r="P30" s="141"/>
      <c r="Q30" s="359"/>
    </row>
    <row r="31" spans="2:17" ht="30" customHeight="1" x14ac:dyDescent="0.25">
      <c r="B31" s="138"/>
      <c r="C31" s="139"/>
      <c r="D31" s="455" t="str">
        <f>IF((INDEX(Тарифы!$B$5:$B$163,Выбор!$D47))&gt;"",INDEX(Тарифы!$B$5:$B$163,Выбор!$D47),"")</f>
        <v/>
      </c>
      <c r="E31" s="455"/>
      <c r="F31" s="455"/>
      <c r="G31" s="455"/>
      <c r="H31" s="90"/>
      <c r="I31" s="91">
        <f>Выбор!F11</f>
        <v>0</v>
      </c>
      <c r="J31" s="365">
        <f>Выбор!G11</f>
        <v>0</v>
      </c>
      <c r="K31" s="456">
        <f>Выбор!H11</f>
        <v>0</v>
      </c>
      <c r="L31" s="456"/>
      <c r="M31" s="92" t="str">
        <f>Выбор!I11</f>
        <v/>
      </c>
      <c r="N31" s="366">
        <f>Выбор!J11</f>
        <v>0</v>
      </c>
      <c r="O31" s="366">
        <f>Выбор!K11</f>
        <v>0</v>
      </c>
      <c r="P31" s="141"/>
      <c r="Q31" s="359"/>
    </row>
    <row r="32" spans="2:17" ht="30" customHeight="1" x14ac:dyDescent="0.25">
      <c r="B32" s="138"/>
      <c r="C32" s="139"/>
      <c r="D32" s="455" t="str">
        <f>IF((INDEX(Тарифы!$B$5:$B$163,Выбор!$D48))&gt;"",INDEX(Тарифы!$B$5:$B$163,Выбор!$D48),"")</f>
        <v/>
      </c>
      <c r="E32" s="455"/>
      <c r="F32" s="455"/>
      <c r="G32" s="455"/>
      <c r="H32" s="90"/>
      <c r="I32" s="91">
        <f>Выбор!F12</f>
        <v>0</v>
      </c>
      <c r="J32" s="365">
        <f>Выбор!G12</f>
        <v>0</v>
      </c>
      <c r="K32" s="456">
        <f>Выбор!H12</f>
        <v>0</v>
      </c>
      <c r="L32" s="456"/>
      <c r="M32" s="92" t="str">
        <f>Выбор!I12</f>
        <v/>
      </c>
      <c r="N32" s="366">
        <f>Выбор!J12</f>
        <v>0</v>
      </c>
      <c r="O32" s="366">
        <f>Выбор!K12</f>
        <v>0</v>
      </c>
      <c r="P32" s="141"/>
      <c r="Q32" s="359"/>
    </row>
    <row r="33" spans="2:17" ht="30" customHeight="1" x14ac:dyDescent="0.25">
      <c r="B33" s="138"/>
      <c r="C33" s="139"/>
      <c r="D33" s="455" t="str">
        <f>IF((INDEX(Тарифы!$B$5:$B$163,Выбор!$D49))&gt;"",INDEX(Тарифы!$B$5:$B$163,Выбор!$D49),"")</f>
        <v/>
      </c>
      <c r="E33" s="455"/>
      <c r="F33" s="455"/>
      <c r="G33" s="455"/>
      <c r="H33" s="90"/>
      <c r="I33" s="91">
        <f>Выбор!F13</f>
        <v>0</v>
      </c>
      <c r="J33" s="365">
        <f>Выбор!G13</f>
        <v>0</v>
      </c>
      <c r="K33" s="456">
        <f>Выбор!H13</f>
        <v>0</v>
      </c>
      <c r="L33" s="456"/>
      <c r="M33" s="92" t="str">
        <f>Выбор!I13</f>
        <v/>
      </c>
      <c r="N33" s="366">
        <f>Выбор!J13</f>
        <v>0</v>
      </c>
      <c r="O33" s="366">
        <f>Выбор!K13</f>
        <v>0</v>
      </c>
      <c r="P33" s="141"/>
      <c r="Q33" s="359"/>
    </row>
    <row r="34" spans="2:17" ht="30" customHeight="1" x14ac:dyDescent="0.25">
      <c r="B34" s="138"/>
      <c r="C34" s="139"/>
      <c r="D34" s="455" t="str">
        <f>IF((INDEX(Тарифы!$B$5:$B$163,Выбор!$D50))&gt;"",INDEX(Тарифы!$B$5:$B$163,Выбор!$D50),"")</f>
        <v/>
      </c>
      <c r="E34" s="455"/>
      <c r="F34" s="455"/>
      <c r="G34" s="455"/>
      <c r="H34" s="90"/>
      <c r="I34" s="91">
        <f>Выбор!F14</f>
        <v>0</v>
      </c>
      <c r="J34" s="365">
        <f>Выбор!G14</f>
        <v>0</v>
      </c>
      <c r="K34" s="456">
        <f>Выбор!H14</f>
        <v>0</v>
      </c>
      <c r="L34" s="456"/>
      <c r="M34" s="92" t="str">
        <f>Выбор!I14</f>
        <v/>
      </c>
      <c r="N34" s="366">
        <f>Выбор!J14</f>
        <v>0</v>
      </c>
      <c r="O34" s="366">
        <f>Выбор!K14</f>
        <v>0</v>
      </c>
      <c r="P34" s="141"/>
      <c r="Q34" s="359"/>
    </row>
    <row r="35" spans="2:17" ht="30" customHeight="1" x14ac:dyDescent="0.25">
      <c r="B35" s="138"/>
      <c r="C35" s="139"/>
      <c r="D35" s="455" t="str">
        <f>IF((INDEX(Тарифы!$B$5:$B$163,Выбор!$D51))&gt;"",INDEX(Тарифы!$B$5:$B$163,Выбор!$D51),"")</f>
        <v/>
      </c>
      <c r="E35" s="455"/>
      <c r="F35" s="455"/>
      <c r="G35" s="455"/>
      <c r="H35" s="90"/>
      <c r="I35" s="91">
        <f>Выбор!F15</f>
        <v>0</v>
      </c>
      <c r="J35" s="365">
        <f>Выбор!G15</f>
        <v>0</v>
      </c>
      <c r="K35" s="456">
        <f>Выбор!H15</f>
        <v>0</v>
      </c>
      <c r="L35" s="456"/>
      <c r="M35" s="92" t="str">
        <f>Выбор!I15</f>
        <v/>
      </c>
      <c r="N35" s="366">
        <f>Выбор!J15</f>
        <v>0</v>
      </c>
      <c r="O35" s="366">
        <f>Выбор!K15</f>
        <v>0</v>
      </c>
      <c r="P35" s="141"/>
      <c r="Q35" s="359"/>
    </row>
    <row r="36" spans="2:17" ht="24.9" customHeight="1" x14ac:dyDescent="0.3">
      <c r="B36" s="93"/>
      <c r="C36" s="141"/>
      <c r="D36" s="167" t="s">
        <v>715</v>
      </c>
      <c r="E36" s="141"/>
      <c r="F36" s="367">
        <f>Выбор!K16</f>
        <v>3.7</v>
      </c>
      <c r="G36" s="141" t="e">
        <f ca="1">CONCATENATE("(",ПрописьБелРуб(F36,),")")</f>
        <v>#NAME?</v>
      </c>
      <c r="H36" s="141"/>
      <c r="I36" s="141"/>
      <c r="J36" s="141"/>
      <c r="K36" s="141"/>
      <c r="L36" s="141"/>
      <c r="M36" s="93"/>
      <c r="N36" s="93"/>
      <c r="O36" s="93"/>
      <c r="P36" s="93"/>
    </row>
    <row r="37" spans="2:17" ht="24.9" customHeight="1" x14ac:dyDescent="0.3">
      <c r="B37" s="93"/>
      <c r="C37" s="141"/>
      <c r="D37" s="168" t="s">
        <v>4194</v>
      </c>
      <c r="E37" s="368"/>
      <c r="F37" s="368">
        <f>Выбор!H16</f>
        <v>3.08</v>
      </c>
      <c r="G37" s="141" t="e">
        <f ca="1">CONCATENATE("(",ПрописьБелРуб(F37,),")")</f>
        <v>#NAME?</v>
      </c>
      <c r="H37" s="141"/>
      <c r="I37" s="141"/>
      <c r="J37" s="141"/>
      <c r="K37" s="141"/>
      <c r="L37" s="141"/>
      <c r="M37" s="93"/>
      <c r="N37" s="93"/>
      <c r="O37" s="93"/>
      <c r="P37" s="93"/>
    </row>
    <row r="38" spans="2:17" ht="24.9" customHeight="1" x14ac:dyDescent="0.3">
      <c r="B38" s="93"/>
      <c r="C38" s="141"/>
      <c r="D38" s="167" t="s">
        <v>197</v>
      </c>
      <c r="E38" s="368"/>
      <c r="F38" s="368">
        <f>Выбор!J16</f>
        <v>0.62</v>
      </c>
      <c r="G38" s="141" t="e">
        <f ca="1">CONCATENATE("(",ПрописьБелРуб(F38,),")")</f>
        <v>#NAME?</v>
      </c>
      <c r="H38" s="141"/>
      <c r="I38" s="141"/>
      <c r="J38" s="368"/>
      <c r="K38" s="141"/>
      <c r="L38" s="141"/>
      <c r="M38" s="93"/>
      <c r="N38" s="93"/>
      <c r="O38" s="93"/>
      <c r="P38" s="93"/>
    </row>
    <row r="39" spans="2:17" ht="24.9" customHeight="1" x14ac:dyDescent="0.3">
      <c r="B39" s="93"/>
      <c r="C39" s="141"/>
      <c r="D39" s="167" t="s">
        <v>198</v>
      </c>
      <c r="E39" s="169"/>
      <c r="F39" s="368">
        <f>F36</f>
        <v>3.7</v>
      </c>
      <c r="G39" s="141" t="e">
        <f ca="1">CONCATENATE("(",ПрописьБелРуб(F39,),")")</f>
        <v>#NAME?</v>
      </c>
      <c r="H39" s="141"/>
      <c r="I39" s="141"/>
      <c r="J39" s="169"/>
      <c r="K39" s="141"/>
      <c r="L39" s="141"/>
      <c r="M39" s="93"/>
      <c r="N39" s="93"/>
      <c r="O39" s="93"/>
      <c r="P39" s="93"/>
    </row>
    <row r="40" spans="2:17" ht="24.75" customHeight="1" x14ac:dyDescent="0.3">
      <c r="B40" s="93"/>
      <c r="C40" s="141"/>
      <c r="D40" s="167" t="s">
        <v>1778</v>
      </c>
      <c r="E40" s="169"/>
      <c r="F40" s="169"/>
      <c r="G40" s="448">
        <f>F36</f>
        <v>3.7</v>
      </c>
      <c r="H40" s="448"/>
      <c r="I40" s="449" t="e">
        <f ca="1">ПрописьБелРуб(F36,)</f>
        <v>#NAME?</v>
      </c>
      <c r="J40" s="449"/>
      <c r="K40" s="449"/>
      <c r="L40" s="449"/>
      <c r="M40" s="449"/>
      <c r="N40" s="449"/>
      <c r="O40" s="449"/>
      <c r="P40" s="93"/>
    </row>
    <row r="41" spans="2:17" x14ac:dyDescent="0.25">
      <c r="B41" s="93"/>
      <c r="C41" s="170"/>
      <c r="D41" s="450"/>
      <c r="E41" s="450"/>
      <c r="F41" s="450"/>
      <c r="G41" s="450"/>
      <c r="H41" s="450"/>
      <c r="I41" s="450"/>
      <c r="J41" s="450"/>
      <c r="K41" s="450"/>
      <c r="L41" s="450"/>
      <c r="M41" s="450"/>
      <c r="N41" s="450"/>
      <c r="O41" s="450"/>
      <c r="P41" s="93"/>
    </row>
    <row r="42" spans="2:17" ht="24" customHeight="1" x14ac:dyDescent="0.25">
      <c r="B42" s="93"/>
      <c r="C42" s="170"/>
      <c r="D42" s="451" t="s">
        <v>2755</v>
      </c>
      <c r="E42" s="451"/>
      <c r="F42" s="451"/>
      <c r="G42" s="451"/>
      <c r="H42" s="451"/>
      <c r="I42" s="451"/>
      <c r="J42" s="451"/>
      <c r="K42" s="451"/>
      <c r="L42" s="451"/>
      <c r="M42" s="451"/>
      <c r="N42" s="451"/>
      <c r="O42" s="451"/>
      <c r="P42" s="93"/>
    </row>
    <row r="43" spans="2:17" x14ac:dyDescent="0.25">
      <c r="B43" s="93"/>
      <c r="C43" s="170"/>
      <c r="D43" s="453"/>
      <c r="E43" s="453"/>
      <c r="F43" s="453"/>
      <c r="G43" s="453"/>
      <c r="H43" s="453"/>
      <c r="I43" s="453"/>
      <c r="J43" s="453"/>
      <c r="K43" s="453"/>
      <c r="L43" s="453"/>
      <c r="M43" s="453"/>
      <c r="N43" s="453"/>
      <c r="O43" s="453"/>
      <c r="P43" s="93"/>
    </row>
    <row r="44" spans="2:17" ht="16.8" x14ac:dyDescent="0.3">
      <c r="B44" s="93"/>
      <c r="C44" s="170"/>
      <c r="D44" s="167" t="s">
        <v>1631</v>
      </c>
      <c r="E44" s="171"/>
      <c r="F44" s="171"/>
      <c r="G44" s="171"/>
      <c r="H44" s="171"/>
      <c r="I44" s="171"/>
      <c r="J44" s="454" t="s">
        <v>2150</v>
      </c>
      <c r="K44" s="454"/>
      <c r="L44" s="454"/>
      <c r="M44" s="454"/>
      <c r="N44" s="454"/>
      <c r="O44" s="454"/>
      <c r="P44" s="93"/>
    </row>
    <row r="45" spans="2:17" ht="16.8" x14ac:dyDescent="0.3">
      <c r="B45" s="93"/>
      <c r="C45" s="170"/>
      <c r="D45" s="167" t="s">
        <v>63</v>
      </c>
      <c r="E45" s="171"/>
      <c r="F45" s="171"/>
      <c r="G45" s="171"/>
      <c r="H45" s="171"/>
      <c r="I45" s="171"/>
      <c r="J45" s="452" t="s">
        <v>143</v>
      </c>
      <c r="K45" s="452"/>
      <c r="L45" s="452"/>
      <c r="M45" s="452"/>
      <c r="N45" s="452"/>
      <c r="O45" s="452"/>
      <c r="P45" s="93"/>
    </row>
    <row r="46" spans="2:17" ht="16.5" customHeight="1" x14ac:dyDescent="0.3">
      <c r="B46" s="93"/>
      <c r="C46" s="170"/>
      <c r="D46" s="167" t="s">
        <v>463</v>
      </c>
      <c r="E46" s="171"/>
      <c r="F46" s="171"/>
      <c r="G46" s="171"/>
      <c r="H46" s="171"/>
      <c r="I46" s="171"/>
      <c r="J46" s="452" t="str">
        <f>VLOOKUP(Контрагенты!A1,Контрагенты!A2:M2502,8)</f>
        <v>Директор</v>
      </c>
      <c r="K46" s="452"/>
      <c r="L46" s="452"/>
      <c r="M46" s="452"/>
      <c r="N46" s="452"/>
      <c r="O46" s="452"/>
      <c r="P46" s="93"/>
    </row>
    <row r="47" spans="2:17" ht="16.8" x14ac:dyDescent="0.3">
      <c r="B47" s="93"/>
      <c r="C47" s="170"/>
      <c r="D47" s="172"/>
      <c r="E47" s="173"/>
      <c r="F47" s="173"/>
      <c r="G47" s="446" t="str">
        <f>Выбор!B32</f>
        <v>Булатовский С.А.</v>
      </c>
      <c r="H47" s="446"/>
      <c r="I47" s="446"/>
      <c r="J47" s="174"/>
      <c r="K47" s="174"/>
      <c r="L47" s="447" t="str">
        <f>VLOOKUP('Реестр договоров'!A1,'Реестр договоров'!A2:M1917,9)</f>
        <v>Рачицкий В.П.</v>
      </c>
      <c r="M47" s="447"/>
      <c r="N47" s="447"/>
      <c r="O47" s="447"/>
      <c r="P47" s="93"/>
    </row>
    <row r="48" spans="2:17" ht="16.8" x14ac:dyDescent="0.3">
      <c r="B48" s="93"/>
      <c r="C48" s="170"/>
      <c r="D48" s="167" t="s">
        <v>2665</v>
      </c>
      <c r="E48" s="171"/>
      <c r="F48" s="171"/>
      <c r="G48" s="171"/>
      <c r="H48" s="171"/>
      <c r="I48" s="171"/>
      <c r="J48" s="167" t="s">
        <v>2796</v>
      </c>
      <c r="K48" s="171"/>
      <c r="L48" s="171"/>
      <c r="M48" s="171"/>
      <c r="N48" s="171"/>
      <c r="O48" s="93"/>
      <c r="P48" s="93"/>
    </row>
    <row r="49" spans="3:15" x14ac:dyDescent="0.25">
      <c r="C49" s="248"/>
      <c r="D49" s="249"/>
      <c r="E49" s="249"/>
      <c r="F49" s="249"/>
      <c r="G49" s="249"/>
      <c r="H49" s="249"/>
      <c r="I49" s="249"/>
      <c r="J49" s="249"/>
      <c r="K49" s="249"/>
      <c r="L49" s="249"/>
      <c r="M49" s="249"/>
      <c r="N49" s="249"/>
      <c r="O49" s="249"/>
    </row>
    <row r="50" spans="3:15" x14ac:dyDescent="0.25">
      <c r="C50" s="248"/>
      <c r="D50" s="249"/>
      <c r="E50" s="249"/>
      <c r="F50" s="249"/>
      <c r="G50" s="249"/>
      <c r="H50" s="249"/>
      <c r="I50" s="249"/>
      <c r="J50" s="249"/>
      <c r="K50" s="249"/>
      <c r="L50" s="249"/>
      <c r="M50" s="249"/>
      <c r="N50" s="249"/>
      <c r="O50" s="249"/>
    </row>
    <row r="51" spans="3:15" x14ac:dyDescent="0.25">
      <c r="C51" s="247"/>
      <c r="D51" s="249"/>
      <c r="E51" s="249"/>
      <c r="F51" s="249"/>
      <c r="G51" s="249"/>
      <c r="H51" s="249"/>
      <c r="I51" s="249"/>
      <c r="J51" s="249"/>
      <c r="K51" s="249"/>
      <c r="L51" s="249"/>
      <c r="M51" s="249"/>
      <c r="N51" s="249"/>
      <c r="O51" s="249"/>
    </row>
    <row r="52" spans="3:15" x14ac:dyDescent="0.25">
      <c r="C52" s="248"/>
      <c r="D52" s="249"/>
      <c r="E52" s="249"/>
      <c r="F52" s="249"/>
      <c r="G52" s="249"/>
      <c r="H52" s="249"/>
      <c r="I52" s="249"/>
      <c r="J52" s="249"/>
      <c r="K52" s="249"/>
      <c r="L52" s="249"/>
      <c r="M52" s="249"/>
      <c r="N52" s="249"/>
      <c r="O52" s="249"/>
    </row>
    <row r="53" spans="3:15" x14ac:dyDescent="0.25">
      <c r="C53" s="248"/>
      <c r="D53" s="249"/>
      <c r="E53" s="249"/>
      <c r="F53" s="249"/>
      <c r="G53" s="249"/>
      <c r="H53" s="249"/>
      <c r="I53" s="249"/>
      <c r="J53" s="249"/>
      <c r="K53" s="249"/>
      <c r="L53" s="249"/>
      <c r="M53" s="249"/>
      <c r="N53" s="249"/>
      <c r="O53" s="249"/>
    </row>
    <row r="54" spans="3:15" x14ac:dyDescent="0.25">
      <c r="C54" s="247"/>
      <c r="D54" s="249"/>
      <c r="E54" s="249"/>
      <c r="F54" s="249"/>
      <c r="G54" s="249"/>
      <c r="H54" s="249"/>
      <c r="I54" s="249"/>
      <c r="J54" s="249"/>
      <c r="K54" s="249"/>
      <c r="L54" s="249"/>
      <c r="M54" s="249"/>
      <c r="N54" s="249"/>
      <c r="O54" s="249"/>
    </row>
    <row r="55" spans="3:15" x14ac:dyDescent="0.25">
      <c r="C55" s="247"/>
      <c r="D55" s="249"/>
      <c r="E55" s="249"/>
      <c r="F55" s="249"/>
      <c r="G55" s="249"/>
      <c r="H55" s="249"/>
      <c r="I55" s="249"/>
      <c r="J55" s="249"/>
      <c r="K55" s="249"/>
      <c r="L55" s="249"/>
      <c r="M55" s="249"/>
      <c r="N55" s="249"/>
      <c r="O55" s="249"/>
    </row>
    <row r="58" spans="3:15" x14ac:dyDescent="0.25">
      <c r="C58" s="94">
        <v>2</v>
      </c>
      <c r="D58" s="250">
        <v>1</v>
      </c>
    </row>
    <row r="60" spans="3:15" x14ac:dyDescent="0.25">
      <c r="C60" s="95" t="s">
        <v>3762</v>
      </c>
    </row>
    <row r="61" spans="3:15" x14ac:dyDescent="0.25">
      <c r="C61" s="97" t="s">
        <v>3644</v>
      </c>
    </row>
    <row r="62" spans="3:15" x14ac:dyDescent="0.25">
      <c r="C62" s="97" t="s">
        <v>3556</v>
      </c>
    </row>
    <row r="63" spans="3:15" x14ac:dyDescent="0.25">
      <c r="C63" s="97" t="s">
        <v>2774</v>
      </c>
    </row>
    <row r="64" spans="3:15" x14ac:dyDescent="0.25">
      <c r="C64" s="97" t="s">
        <v>1812</v>
      </c>
    </row>
    <row r="65" spans="3:3" x14ac:dyDescent="0.25">
      <c r="C65" s="97" t="s">
        <v>817</v>
      </c>
    </row>
    <row r="66" spans="3:3" x14ac:dyDescent="0.25">
      <c r="C66" s="97" t="s">
        <v>2652</v>
      </c>
    </row>
    <row r="67" spans="3:3" x14ac:dyDescent="0.25">
      <c r="C67" s="97" t="s">
        <v>2884</v>
      </c>
    </row>
    <row r="68" spans="3:3" x14ac:dyDescent="0.25">
      <c r="C68" s="97" t="s">
        <v>2786</v>
      </c>
    </row>
    <row r="70" spans="3:3" x14ac:dyDescent="0.25">
      <c r="C70" s="96" t="s">
        <v>1536</v>
      </c>
    </row>
    <row r="71" spans="3:3" x14ac:dyDescent="0.25">
      <c r="C71" s="98" t="s">
        <v>919</v>
      </c>
    </row>
    <row r="72" spans="3:3" x14ac:dyDescent="0.25">
      <c r="C72" s="98" t="s">
        <v>920</v>
      </c>
    </row>
    <row r="73" spans="3:3" x14ac:dyDescent="0.25">
      <c r="C73" s="98" t="s">
        <v>426</v>
      </c>
    </row>
  </sheetData>
  <sheetProtection password="CC65" sheet="1"/>
  <customSheetViews>
    <customSheetView guid="{6F966CD8-707E-4C39-BF19-FBF54F1918BD}" showPageBreaks="1" printArea="1" showRuler="0" topLeftCell="A22">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1"/>
      <headerFooter alignWithMargins="0"/>
    </customSheetView>
    <customSheetView guid="{E0E17C6E-C811-4170-82D5-EDD54F6164FB}" showRuler="0" topLeftCell="A7">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2"/>
      <headerFooter alignWithMargins="0"/>
    </customSheetView>
    <customSheetView guid="{21C840CC-AE35-4950-B5BD-32A7DE9BAC52}" showPageBreaks="1" printArea="1" showRuler="0" topLeftCell="A10">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3"/>
      <headerFooter alignWithMargins="0"/>
    </customSheetView>
    <customSheetView guid="{17CF6293-B179-4C29-9312-7FBDD485BBFD}" showPageBreaks="1" printArea="1" showRuler="0" topLeftCell="A22">
      <selection activeCell="I28" sqref="I28"/>
      <rowBreaks count="1" manualBreakCount="1">
        <brk id="47" max="15" man="1"/>
      </rowBreaks>
      <pageMargins left="0.39370078740157483" right="0.39370078740157483" top="0.39370078740157483" bottom="0.39370078740157483" header="0.51181102362204722" footer="0.51181102362204722"/>
      <pageSetup paperSize="9" scale="86" orientation="portrait" r:id="rId4"/>
      <headerFooter alignWithMargins="0"/>
    </customSheetView>
    <customSheetView guid="{B6FD7490-794E-482C-8B29-FB2AB6EB258C}" showPageBreaks="1" printArea="1" showRuler="0" topLeftCell="A19">
      <selection activeCell="F36" sqref="F36"/>
      <rowBreaks count="1" manualBreakCount="1">
        <brk id="47" max="15" man="1"/>
      </rowBreaks>
      <pageMargins left="0.39370078740157483" right="0.39370078740157483" top="0.39370078740157483" bottom="0.39370078740157483" header="0.51181102362204722" footer="0.51181102362204722"/>
      <pageSetup paperSize="9" scale="86" orientation="portrait" r:id="rId5"/>
      <headerFooter alignWithMargins="0"/>
    </customSheetView>
  </customSheetViews>
  <mergeCells count="54">
    <mergeCell ref="D9:E9"/>
    <mergeCell ref="F21:O21"/>
    <mergeCell ref="E22:M22"/>
    <mergeCell ref="D20:J20"/>
    <mergeCell ref="D19:N19"/>
    <mergeCell ref="E13:F13"/>
    <mergeCell ref="D11:O11"/>
    <mergeCell ref="K14:O14"/>
    <mergeCell ref="D18:O18"/>
    <mergeCell ref="D15:N15"/>
    <mergeCell ref="D16:N16"/>
    <mergeCell ref="I14:J14"/>
    <mergeCell ref="N22:O22"/>
    <mergeCell ref="D32:G32"/>
    <mergeCell ref="K32:L32"/>
    <mergeCell ref="J2:N2"/>
    <mergeCell ref="D3:I3"/>
    <mergeCell ref="J3:N3"/>
    <mergeCell ref="D4:I4"/>
    <mergeCell ref="J4:N4"/>
    <mergeCell ref="D28:G28"/>
    <mergeCell ref="D24:O24"/>
    <mergeCell ref="D23:O23"/>
    <mergeCell ref="D10:J10"/>
    <mergeCell ref="E12:F12"/>
    <mergeCell ref="J5:N5"/>
    <mergeCell ref="J6:N6"/>
    <mergeCell ref="D7:I7"/>
    <mergeCell ref="D35:G35"/>
    <mergeCell ref="K35:L35"/>
    <mergeCell ref="D25:O25"/>
    <mergeCell ref="D27:G27"/>
    <mergeCell ref="K27:L27"/>
    <mergeCell ref="K28:L28"/>
    <mergeCell ref="K29:L29"/>
    <mergeCell ref="D30:G30"/>
    <mergeCell ref="K30:L30"/>
    <mergeCell ref="D34:G34"/>
    <mergeCell ref="D29:G29"/>
    <mergeCell ref="K34:L34"/>
    <mergeCell ref="D31:G31"/>
    <mergeCell ref="K31:L31"/>
    <mergeCell ref="D33:G33"/>
    <mergeCell ref="K33:L33"/>
    <mergeCell ref="G47:I47"/>
    <mergeCell ref="L47:O47"/>
    <mergeCell ref="G40:H40"/>
    <mergeCell ref="I40:O40"/>
    <mergeCell ref="D41:O41"/>
    <mergeCell ref="D42:O42"/>
    <mergeCell ref="J46:O46"/>
    <mergeCell ref="J45:O45"/>
    <mergeCell ref="D43:O43"/>
    <mergeCell ref="J44:O44"/>
  </mergeCells>
  <phoneticPr fontId="8" type="noConversion"/>
  <pageMargins left="0.39370078740157483" right="0.39370078740157483" top="0.39370078740157483" bottom="0.39370078740157483" header="0.51181102362204722" footer="0.51181102362204722"/>
  <pageSetup paperSize="9" scale="86" orientation="portrait" r:id="rId6"/>
  <headerFooter alignWithMargins="0"/>
  <rowBreaks count="1" manualBreakCount="1">
    <brk id="48" max="15" man="1"/>
  </rowBreaks>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indexed="10"/>
  </sheetPr>
  <dimension ref="A1:Q56"/>
  <sheetViews>
    <sheetView workbookViewId="0">
      <selection activeCell="F8" sqref="F8"/>
    </sheetView>
  </sheetViews>
  <sheetFormatPr defaultRowHeight="13.2" x14ac:dyDescent="0.25"/>
  <cols>
    <col min="1" max="1" width="2.88671875" customWidth="1"/>
    <col min="2" max="2" width="7.44140625" customWidth="1"/>
    <col min="3" max="4" width="7" customWidth="1"/>
    <col min="5" max="5" width="59.44140625" customWidth="1"/>
    <col min="6" max="6" width="8.33203125" customWidth="1"/>
    <col min="7" max="7" width="7.5546875" customWidth="1"/>
    <col min="8" max="8" width="11.109375" customWidth="1"/>
    <col min="9" max="9" width="7.5546875" customWidth="1"/>
    <col min="10" max="10" width="10" customWidth="1"/>
    <col min="11" max="11" width="11.33203125" customWidth="1"/>
    <col min="12" max="12" width="10.6640625" customWidth="1"/>
  </cols>
  <sheetData>
    <row r="1" spans="1:17" ht="13.8" thickBot="1" x14ac:dyDescent="0.3">
      <c r="A1" s="55"/>
      <c r="B1" s="55"/>
      <c r="C1" s="55"/>
      <c r="D1" s="55"/>
      <c r="E1" s="55"/>
      <c r="F1" s="55"/>
      <c r="I1" s="56"/>
      <c r="J1" s="56"/>
      <c r="K1" s="56"/>
    </row>
    <row r="2" spans="1:17" ht="18.75" customHeight="1" thickBot="1" x14ac:dyDescent="0.35">
      <c r="A2" s="55"/>
      <c r="B2" s="484" t="str">
        <f>VLOOKUP('Реестр договоров'!A1,'Реестр договоров'!A2:M1933,5)</f>
        <v>ООО "ЗУМЛИОН-МАЗ"</v>
      </c>
      <c r="C2" s="485"/>
      <c r="D2" s="485"/>
      <c r="E2" s="486"/>
      <c r="F2" s="55"/>
      <c r="I2" s="56"/>
      <c r="J2" s="56"/>
      <c r="K2" s="56"/>
    </row>
    <row r="3" spans="1:17" ht="13.8" thickBot="1" x14ac:dyDescent="0.3">
      <c r="A3" s="55"/>
      <c r="B3" s="55"/>
      <c r="C3" s="55"/>
      <c r="D3" s="55"/>
      <c r="E3" s="55"/>
      <c r="F3" s="55"/>
      <c r="I3" s="56"/>
      <c r="J3" s="56"/>
      <c r="K3" s="56"/>
      <c r="L3" s="57"/>
    </row>
    <row r="4" spans="1:17" ht="13.8" thickBot="1" x14ac:dyDescent="0.3">
      <c r="I4" s="488">
        <f ca="1">TODAY()</f>
        <v>42934</v>
      </c>
      <c r="J4" s="489"/>
      <c r="K4" s="490"/>
    </row>
    <row r="5" spans="1:17" ht="15" x14ac:dyDescent="0.25">
      <c r="B5" s="58"/>
      <c r="C5" s="59"/>
      <c r="D5" s="59"/>
      <c r="E5" s="59"/>
      <c r="F5" s="59"/>
      <c r="H5" s="491"/>
      <c r="I5" s="491"/>
      <c r="J5" s="491"/>
      <c r="K5" s="491"/>
    </row>
    <row r="6" spans="1:17" ht="13.8" thickBot="1" x14ac:dyDescent="0.3"/>
    <row r="7" spans="1:17" ht="59.25" customHeight="1" thickBot="1" x14ac:dyDescent="0.3">
      <c r="B7" s="492" t="s">
        <v>3505</v>
      </c>
      <c r="C7" s="493"/>
      <c r="D7" s="493"/>
      <c r="E7" s="493"/>
      <c r="F7" s="60" t="s">
        <v>3753</v>
      </c>
      <c r="G7" s="60" t="s">
        <v>2886</v>
      </c>
      <c r="H7" s="61" t="s">
        <v>1905</v>
      </c>
      <c r="I7" s="62" t="s">
        <v>1027</v>
      </c>
      <c r="J7" s="62" t="s">
        <v>931</v>
      </c>
      <c r="K7" s="63" t="s">
        <v>1532</v>
      </c>
      <c r="L7" s="64"/>
      <c r="Q7" t="s">
        <v>4186</v>
      </c>
    </row>
    <row r="8" spans="1:17" ht="21" customHeight="1" x14ac:dyDescent="0.25">
      <c r="A8" s="55"/>
      <c r="B8" s="55"/>
      <c r="C8" s="55"/>
      <c r="D8" s="55"/>
      <c r="E8" s="55">
        <v>4</v>
      </c>
      <c r="F8" s="55">
        <v>1</v>
      </c>
      <c r="G8" s="393">
        <f>INDEX(Тарифы!$C$5:$C$163,$D44)</f>
        <v>3.08</v>
      </c>
      <c r="H8" s="393">
        <f>INDEX(Тарифы!$C$5:$C$163,$D44)*F8</f>
        <v>3.08</v>
      </c>
      <c r="I8" s="65" t="str">
        <f>IF(K8&gt;0,"20%","")</f>
        <v>20%</v>
      </c>
      <c r="J8" s="396">
        <f>INDEX(Тарифы!$D$5:$D$163,$D44)*F8</f>
        <v>0.62</v>
      </c>
      <c r="K8" s="396">
        <f>INDEX(Тарифы!$E$5:$E$163,$D44)*F8</f>
        <v>3.7</v>
      </c>
      <c r="M8" t="s">
        <v>2623</v>
      </c>
    </row>
    <row r="9" spans="1:17" ht="18" customHeight="1" x14ac:dyDescent="0.25">
      <c r="A9" s="55"/>
      <c r="B9" s="55"/>
      <c r="C9" s="55"/>
      <c r="D9" s="55"/>
      <c r="E9" s="55">
        <v>1</v>
      </c>
      <c r="F9">
        <v>0</v>
      </c>
      <c r="G9" s="393">
        <f>INDEX(Тарифы!$C$5:$C$163,$D45)</f>
        <v>0</v>
      </c>
      <c r="H9" s="393">
        <f>INDEX(Тарифы!$C$5:$C$163,$D45)*F9</f>
        <v>0</v>
      </c>
      <c r="I9" s="65" t="str">
        <f t="shared" ref="I9:I15" si="0">IF(K9&gt;0,"20%","")</f>
        <v/>
      </c>
      <c r="J9" s="396">
        <f>INDEX(Тарифы!$D$5:$D$163,$D45)*F9</f>
        <v>0</v>
      </c>
      <c r="K9" s="396">
        <f>INDEX(Тарифы!$E$5:$E$163,$D45)*F9</f>
        <v>0</v>
      </c>
      <c r="N9" t="s">
        <v>2846</v>
      </c>
      <c r="O9" t="s">
        <v>1681</v>
      </c>
    </row>
    <row r="10" spans="1:17" ht="18.75" customHeight="1" x14ac:dyDescent="0.25">
      <c r="A10" s="55"/>
      <c r="B10" s="55"/>
      <c r="C10" s="55"/>
      <c r="D10" s="55"/>
      <c r="E10" s="55"/>
      <c r="F10" s="55">
        <v>0</v>
      </c>
      <c r="G10" s="393">
        <f>INDEX(Тарифы!$C$5:$C$163,$D46)</f>
        <v>0</v>
      </c>
      <c r="H10" s="393">
        <f>INDEX(Тарифы!$C$5:$C$163,$D46)*F10</f>
        <v>0</v>
      </c>
      <c r="I10" s="65" t="str">
        <f t="shared" si="0"/>
        <v/>
      </c>
      <c r="J10" s="396">
        <f>INDEX(Тарифы!$D$5:$D$163,$D46)*F10</f>
        <v>0</v>
      </c>
      <c r="K10" s="396">
        <f>INDEX(Тарифы!$E$5:$E$163,$D46)*F10</f>
        <v>0</v>
      </c>
      <c r="L10" t="s">
        <v>827</v>
      </c>
      <c r="N10" s="66"/>
      <c r="O10" t="s">
        <v>2667</v>
      </c>
    </row>
    <row r="11" spans="1:17" ht="19.5" customHeight="1" x14ac:dyDescent="0.25">
      <c r="A11" s="55"/>
      <c r="B11" s="55"/>
      <c r="C11" s="55"/>
      <c r="D11" s="55"/>
      <c r="E11" s="55"/>
      <c r="F11" s="55">
        <v>0</v>
      </c>
      <c r="G11" s="393">
        <f>INDEX(Тарифы!$C$5:$C$163,$D47)</f>
        <v>0</v>
      </c>
      <c r="H11" s="393">
        <f>INDEX(Тарифы!$C$5:$C$163,$D47)*F11</f>
        <v>0</v>
      </c>
      <c r="I11" s="65" t="str">
        <f t="shared" si="0"/>
        <v/>
      </c>
      <c r="J11" s="396">
        <f>INDEX(Тарифы!$D$5:$D$163,$D47)*F11</f>
        <v>0</v>
      </c>
      <c r="K11" s="396">
        <f>INDEX(Тарифы!$E$5:$E$163,$D47)*F11</f>
        <v>0</v>
      </c>
      <c r="L11" t="s">
        <v>478</v>
      </c>
    </row>
    <row r="12" spans="1:17" ht="18" customHeight="1" x14ac:dyDescent="0.25">
      <c r="A12" s="55"/>
      <c r="B12" s="55"/>
      <c r="C12" s="55"/>
      <c r="D12" s="55"/>
      <c r="E12" s="55"/>
      <c r="F12" s="55">
        <v>0</v>
      </c>
      <c r="G12" s="393">
        <f>INDEX(Тарифы!$C$5:$C$163,$D48)</f>
        <v>0</v>
      </c>
      <c r="H12" s="393">
        <f>INDEX(Тарифы!$C$5:$C$163,$D48)*F12</f>
        <v>0</v>
      </c>
      <c r="I12" s="65" t="str">
        <f t="shared" si="0"/>
        <v/>
      </c>
      <c r="J12" s="396">
        <f>INDEX(Тарифы!$D$5:$D$163,$D48)*F12</f>
        <v>0</v>
      </c>
      <c r="K12" s="396">
        <f>INDEX(Тарифы!$E$5:$E$163,$D48)*F12</f>
        <v>0</v>
      </c>
    </row>
    <row r="13" spans="1:17" ht="20.25" customHeight="1" x14ac:dyDescent="0.25">
      <c r="A13" s="55"/>
      <c r="B13" s="55"/>
      <c r="C13" s="55"/>
      <c r="D13" s="55"/>
      <c r="E13" s="55"/>
      <c r="F13" s="55">
        <v>0</v>
      </c>
      <c r="G13" s="393">
        <f>INDEX(Тарифы!$C$5:$C$163,$D49)</f>
        <v>0</v>
      </c>
      <c r="H13" s="393">
        <f>INDEX(Тарифы!$C$5:$C$163,$D49)*F13</f>
        <v>0</v>
      </c>
      <c r="I13" s="65" t="str">
        <f t="shared" si="0"/>
        <v/>
      </c>
      <c r="J13" s="396">
        <f>INDEX(Тарифы!$D$5:$D$163,$D49)*F13</f>
        <v>0</v>
      </c>
      <c r="K13" s="396">
        <f>INDEX(Тарифы!$E$5:$E$163,$D49)*F13</f>
        <v>0</v>
      </c>
      <c r="O13" t="s">
        <v>798</v>
      </c>
      <c r="P13" t="s">
        <v>191</v>
      </c>
    </row>
    <row r="14" spans="1:17" ht="19.5" customHeight="1" x14ac:dyDescent="0.25">
      <c r="A14" s="55"/>
      <c r="B14" s="55"/>
      <c r="C14" s="55"/>
      <c r="D14" s="55"/>
      <c r="E14" s="55"/>
      <c r="F14" s="55">
        <v>0</v>
      </c>
      <c r="G14" s="393">
        <f>INDEX(Тарифы!$C$5:$C$163,$D50)</f>
        <v>0</v>
      </c>
      <c r="H14" s="393">
        <f>INDEX(Тарифы!$C$5:$C$163,$D50)*F14</f>
        <v>0</v>
      </c>
      <c r="I14" s="65" t="str">
        <f t="shared" si="0"/>
        <v/>
      </c>
      <c r="J14" s="396">
        <f>INDEX(Тарифы!$D$5:$D$163,$D50)*F14</f>
        <v>0</v>
      </c>
      <c r="K14" s="396">
        <f>INDEX(Тарифы!$E$5:$E$163,$D50)*F14</f>
        <v>0</v>
      </c>
    </row>
    <row r="15" spans="1:17" ht="19.5" customHeight="1" x14ac:dyDescent="0.25">
      <c r="A15" s="55"/>
      <c r="B15" s="55"/>
      <c r="C15" s="55"/>
      <c r="D15" s="55"/>
      <c r="E15" s="55"/>
      <c r="F15" s="55">
        <v>0</v>
      </c>
      <c r="G15" s="393">
        <f>INDEX(Тарифы!$C$5:$C$163,$D51)</f>
        <v>0</v>
      </c>
      <c r="H15" s="393">
        <f>INDEX(Тарифы!$C$5:$C$163,$D51)*F15</f>
        <v>0</v>
      </c>
      <c r="I15" s="65" t="str">
        <f t="shared" si="0"/>
        <v/>
      </c>
      <c r="J15" s="396">
        <f>INDEX(Тарифы!$D$5:$D$163,$D51)*F15</f>
        <v>0</v>
      </c>
      <c r="K15" s="396">
        <f>INDEX(Тарифы!$E$5:$E$163,$D51)*F15</f>
        <v>0</v>
      </c>
    </row>
    <row r="16" spans="1:17" ht="13.8" thickBot="1" x14ac:dyDescent="0.3">
      <c r="B16" s="67" t="s">
        <v>1533</v>
      </c>
      <c r="C16" s="67"/>
      <c r="D16" s="67"/>
      <c r="E16" s="67"/>
      <c r="F16" s="67"/>
      <c r="G16" s="394"/>
      <c r="H16" s="395">
        <f>SUM(H8:H15)</f>
        <v>3.08</v>
      </c>
      <c r="I16" s="68"/>
      <c r="J16" s="397">
        <f>SUM(J8:J15)</f>
        <v>0.62</v>
      </c>
      <c r="K16" s="397">
        <f>SUM(K8:K15)</f>
        <v>3.7</v>
      </c>
      <c r="L16" s="67"/>
    </row>
    <row r="17" spans="2:14" ht="70.5" customHeight="1" thickBot="1" x14ac:dyDescent="0.3">
      <c r="B17" s="492" t="s">
        <v>2147</v>
      </c>
      <c r="C17" s="493"/>
      <c r="D17" s="493"/>
      <c r="E17" s="493"/>
      <c r="F17" s="60" t="s">
        <v>3753</v>
      </c>
      <c r="G17" s="60" t="s">
        <v>2886</v>
      </c>
      <c r="H17" s="61" t="s">
        <v>1905</v>
      </c>
      <c r="I17" s="62" t="s">
        <v>1027</v>
      </c>
      <c r="J17" s="62" t="s">
        <v>931</v>
      </c>
      <c r="K17" s="63" t="s">
        <v>1532</v>
      </c>
      <c r="L17" s="295"/>
    </row>
    <row r="18" spans="2:14" ht="18" customHeight="1" x14ac:dyDescent="0.25">
      <c r="B18" s="295"/>
      <c r="C18" s="295"/>
      <c r="D18" s="295"/>
      <c r="E18" s="295"/>
      <c r="F18" s="55"/>
      <c r="G18" s="393">
        <f>INDEX(Тарифы!$C$5:$C$163,$D53)</f>
        <v>0</v>
      </c>
      <c r="H18" s="393">
        <f>INDEX(Тарифы!$C$5:$C$163,$D53)*F18</f>
        <v>0</v>
      </c>
      <c r="I18" s="65" t="str">
        <f>IF(K18&gt;0,"20%","")</f>
        <v/>
      </c>
      <c r="J18" s="396">
        <f>INDEX(Тарифы!$D$5:$D$163,$D53)*F18</f>
        <v>0</v>
      </c>
      <c r="K18" s="396">
        <f>INDEX(Тарифы!$E$5:$E$163,$D53)*F18</f>
        <v>0</v>
      </c>
      <c r="L18" s="295"/>
    </row>
    <row r="19" spans="2:14" ht="18" customHeight="1" x14ac:dyDescent="0.25">
      <c r="B19" s="295"/>
      <c r="C19" s="295"/>
      <c r="D19" s="295"/>
      <c r="E19" s="295"/>
      <c r="G19" s="393">
        <f>INDEX(Тарифы!$C$5:$C$163,$D54)</f>
        <v>0</v>
      </c>
      <c r="H19" s="393">
        <f>INDEX(Тарифы!$C$5:$C$163,$D54)*F19</f>
        <v>0</v>
      </c>
      <c r="I19" s="65" t="str">
        <f>IF(K19&gt;0,"20%","")</f>
        <v/>
      </c>
      <c r="J19" s="396">
        <f>INDEX(Тарифы!$D$5:$D$163,$D54)*F19</f>
        <v>0</v>
      </c>
      <c r="K19" s="396">
        <f>INDEX(Тарифы!$E$5:$E$163,$D54)*F19</f>
        <v>0</v>
      </c>
      <c r="L19" s="295"/>
    </row>
    <row r="20" spans="2:14" ht="18" customHeight="1" x14ac:dyDescent="0.25">
      <c r="B20" s="295"/>
      <c r="C20" s="295"/>
      <c r="D20" s="295"/>
      <c r="E20" s="295"/>
      <c r="F20" s="55"/>
      <c r="G20" s="393">
        <f>INDEX(Тарифы!$C$5:$C$163,$D55)</f>
        <v>0</v>
      </c>
      <c r="H20" s="393">
        <f>INDEX(Тарифы!$C$5:$C$163,$D55)*F20</f>
        <v>0</v>
      </c>
      <c r="I20" s="65" t="str">
        <f>IF(K20&gt;0,"20%","")</f>
        <v/>
      </c>
      <c r="J20" s="396">
        <f>INDEX(Тарифы!$D$5:$D$163,$D55)*F20</f>
        <v>0</v>
      </c>
      <c r="K20" s="396">
        <f>INDEX(Тарифы!$E$5:$E$163,$D55)*F20</f>
        <v>0</v>
      </c>
      <c r="L20" s="295"/>
    </row>
    <row r="21" spans="2:14" ht="18" customHeight="1" x14ac:dyDescent="0.25">
      <c r="B21" s="295"/>
      <c r="C21" s="295"/>
      <c r="D21" s="295"/>
      <c r="E21" s="295"/>
      <c r="F21" s="55"/>
      <c r="G21" s="393">
        <f>INDEX(Тарифы!$C$5:$C$163,$D56)</f>
        <v>0</v>
      </c>
      <c r="H21" s="393">
        <f>INDEX(Тарифы!$C$5:$C$163,$D56)*F21</f>
        <v>0</v>
      </c>
      <c r="I21" s="65" t="str">
        <f>IF(K21&gt;0,"20%","")</f>
        <v/>
      </c>
      <c r="J21" s="396">
        <f>INDEX(Тарифы!$D$5:$D$163,$D56)*F21</f>
        <v>0</v>
      </c>
      <c r="K21" s="396">
        <f>INDEX(Тарифы!$E$5:$E$163,$D56)*F21</f>
        <v>0</v>
      </c>
      <c r="L21" s="295"/>
    </row>
    <row r="22" spans="2:14" x14ac:dyDescent="0.25">
      <c r="B22" s="67" t="s">
        <v>1533</v>
      </c>
      <c r="C22" s="67"/>
      <c r="D22" s="67"/>
      <c r="E22" s="67"/>
      <c r="F22" s="67"/>
      <c r="G22" s="394"/>
      <c r="H22" s="395">
        <f>SUM(H18:H21)</f>
        <v>0</v>
      </c>
      <c r="I22" s="68"/>
      <c r="J22" s="397">
        <f>SUM(J18:J21)</f>
        <v>0</v>
      </c>
      <c r="K22" s="397">
        <f>SUM(K18:K21)</f>
        <v>0</v>
      </c>
      <c r="L22" s="295"/>
      <c r="N22">
        <v>1</v>
      </c>
    </row>
    <row r="23" spans="2:14" x14ac:dyDescent="0.25">
      <c r="B23" s="295"/>
      <c r="C23" s="295"/>
      <c r="D23" s="295"/>
      <c r="E23" s="295"/>
      <c r="F23" s="295"/>
      <c r="G23" s="400"/>
      <c r="H23" s="401"/>
      <c r="I23" s="296"/>
      <c r="J23" s="398"/>
      <c r="K23" s="398"/>
      <c r="L23" s="295"/>
    </row>
    <row r="24" spans="2:14" hidden="1" x14ac:dyDescent="0.25">
      <c r="B24" s="295"/>
      <c r="C24" s="295"/>
      <c r="D24" s="295"/>
      <c r="E24" s="295"/>
      <c r="F24" s="295"/>
      <c r="G24" s="400"/>
      <c r="H24" s="401"/>
      <c r="I24" s="296"/>
      <c r="J24" s="398"/>
      <c r="K24" s="398"/>
      <c r="L24" s="295"/>
    </row>
    <row r="25" spans="2:14" hidden="1" x14ac:dyDescent="0.25">
      <c r="B25" s="295"/>
      <c r="C25" s="295"/>
      <c r="D25" s="295"/>
      <c r="E25" s="295"/>
      <c r="F25" s="295"/>
      <c r="G25" s="400"/>
      <c r="H25" s="401"/>
      <c r="I25" s="296"/>
      <c r="J25" s="398"/>
      <c r="K25" s="398"/>
      <c r="L25" s="295"/>
    </row>
    <row r="26" spans="2:14" hidden="1" x14ac:dyDescent="0.25">
      <c r="B26" s="295"/>
      <c r="C26" s="295"/>
      <c r="D26" s="295"/>
      <c r="E26" s="295"/>
      <c r="F26" s="295"/>
      <c r="G26" s="400"/>
      <c r="H26" s="401"/>
      <c r="I26" s="296"/>
      <c r="J26" s="398"/>
      <c r="K26" s="398"/>
      <c r="L26" s="295"/>
    </row>
    <row r="27" spans="2:14" hidden="1" x14ac:dyDescent="0.25">
      <c r="B27" s="295"/>
      <c r="C27" s="295"/>
      <c r="D27" s="295"/>
      <c r="E27" s="295"/>
      <c r="F27" s="295"/>
      <c r="G27" s="400"/>
      <c r="H27" s="401"/>
      <c r="I27" s="296"/>
      <c r="J27" s="398"/>
      <c r="K27" s="398"/>
      <c r="L27" s="295"/>
    </row>
    <row r="28" spans="2:14" x14ac:dyDescent="0.25">
      <c r="B28" s="298" t="s">
        <v>2595</v>
      </c>
      <c r="C28" s="298"/>
      <c r="D28" s="298"/>
      <c r="E28" s="298"/>
      <c r="F28" s="298"/>
      <c r="G28" s="402"/>
      <c r="H28" s="403">
        <f>H16+H22</f>
        <v>3.08</v>
      </c>
      <c r="I28" s="299"/>
      <c r="J28" s="399">
        <f>J16+J22</f>
        <v>0.62</v>
      </c>
      <c r="K28" s="399">
        <f>K16+K22</f>
        <v>3.7</v>
      </c>
      <c r="L28" s="295"/>
    </row>
    <row r="30" spans="2:14" x14ac:dyDescent="0.25">
      <c r="B30" s="69" t="e">
        <f ca="1">ПрописьБелРуб(K28,)</f>
        <v>#NAME?</v>
      </c>
    </row>
    <row r="31" spans="2:14" ht="13.8" thickBot="1" x14ac:dyDescent="0.3">
      <c r="E31">
        <v>5</v>
      </c>
    </row>
    <row r="32" spans="2:14" ht="15.6" thickBot="1" x14ac:dyDescent="0.3">
      <c r="B32" s="494" t="s">
        <v>1776</v>
      </c>
      <c r="C32" s="495"/>
      <c r="D32" s="495"/>
      <c r="E32" s="495"/>
      <c r="F32" s="496"/>
    </row>
    <row r="40" spans="1:12" x14ac:dyDescent="0.25">
      <c r="A40" s="70"/>
      <c r="B40" s="70"/>
      <c r="C40" s="70"/>
      <c r="D40" s="70"/>
      <c r="E40" s="70"/>
      <c r="F40" s="70"/>
      <c r="G40" s="70"/>
      <c r="H40" s="70"/>
      <c r="I40" s="70"/>
      <c r="J40" s="70"/>
      <c r="K40" s="70"/>
      <c r="L40" s="70"/>
    </row>
    <row r="41" spans="1:12" x14ac:dyDescent="0.25">
      <c r="A41" s="70"/>
      <c r="B41" s="70"/>
      <c r="C41" s="70"/>
      <c r="D41" s="70"/>
      <c r="E41" s="70"/>
      <c r="F41" s="70"/>
      <c r="G41" s="70"/>
      <c r="H41" s="70"/>
      <c r="I41" s="70"/>
      <c r="J41" s="70"/>
      <c r="K41" s="70"/>
      <c r="L41" s="70"/>
    </row>
    <row r="42" spans="1:12" x14ac:dyDescent="0.25">
      <c r="A42" s="70"/>
      <c r="B42" s="70"/>
      <c r="C42" s="70"/>
      <c r="D42" s="70"/>
      <c r="E42" s="70"/>
      <c r="F42" s="70"/>
      <c r="G42" s="70"/>
      <c r="H42" s="70"/>
      <c r="I42" s="70"/>
      <c r="J42" s="70"/>
      <c r="K42" s="70"/>
      <c r="L42" s="70"/>
    </row>
    <row r="43" spans="1:12" x14ac:dyDescent="0.25">
      <c r="A43" s="70"/>
      <c r="B43" s="70"/>
      <c r="C43" s="70"/>
      <c r="D43" s="70"/>
      <c r="E43" s="70"/>
      <c r="F43" s="70"/>
      <c r="G43" s="487" t="s">
        <v>835</v>
      </c>
      <c r="H43" s="487"/>
      <c r="I43" s="70"/>
      <c r="J43" s="70"/>
      <c r="K43" s="70"/>
      <c r="L43" s="70"/>
    </row>
    <row r="44" spans="1:12" x14ac:dyDescent="0.25">
      <c r="A44" s="70"/>
      <c r="B44" s="70">
        <v>2</v>
      </c>
      <c r="C44" s="70"/>
      <c r="D44" s="297">
        <v>26</v>
      </c>
      <c r="E44" s="70"/>
      <c r="F44" s="70"/>
      <c r="G44" s="487"/>
      <c r="H44" s="487"/>
      <c r="I44" s="70"/>
      <c r="J44" s="70"/>
      <c r="K44" s="70"/>
      <c r="L44" s="70"/>
    </row>
    <row r="45" spans="1:12" x14ac:dyDescent="0.25">
      <c r="A45" s="70"/>
      <c r="B45" s="70"/>
      <c r="C45" s="70"/>
      <c r="D45" s="297">
        <v>17</v>
      </c>
      <c r="E45" s="70"/>
      <c r="F45" s="70"/>
      <c r="G45" s="487"/>
      <c r="H45" s="487"/>
      <c r="I45" s="70"/>
      <c r="J45" s="70"/>
      <c r="K45" s="70"/>
      <c r="L45" s="70"/>
    </row>
    <row r="46" spans="1:12" x14ac:dyDescent="0.25">
      <c r="A46" s="70"/>
      <c r="B46" s="70"/>
      <c r="C46" s="70"/>
      <c r="D46" s="297">
        <v>17</v>
      </c>
      <c r="E46" s="70"/>
      <c r="F46" s="70"/>
      <c r="G46" s="487"/>
      <c r="H46" s="487"/>
      <c r="I46" s="70"/>
      <c r="J46" s="70"/>
      <c r="K46" s="70"/>
      <c r="L46" s="70"/>
    </row>
    <row r="47" spans="1:12" x14ac:dyDescent="0.25">
      <c r="A47" s="70"/>
      <c r="B47" s="70"/>
      <c r="C47" s="70"/>
      <c r="D47" s="297">
        <v>44</v>
      </c>
      <c r="E47" s="70"/>
      <c r="F47" s="70"/>
      <c r="G47" s="70"/>
      <c r="H47" s="70"/>
      <c r="I47" s="70"/>
      <c r="J47" s="70"/>
      <c r="K47" s="70"/>
      <c r="L47" s="70"/>
    </row>
    <row r="48" spans="1:12" x14ac:dyDescent="0.25">
      <c r="A48" s="70"/>
      <c r="B48" s="70"/>
      <c r="C48" s="70"/>
      <c r="D48" s="297">
        <v>17</v>
      </c>
      <c r="E48" s="70"/>
      <c r="F48" s="70"/>
      <c r="G48" s="70"/>
      <c r="H48" s="70"/>
      <c r="I48" s="70"/>
      <c r="J48" s="70"/>
      <c r="K48" s="70"/>
      <c r="L48" s="70"/>
    </row>
    <row r="49" spans="1:12" x14ac:dyDescent="0.25">
      <c r="A49" s="70"/>
      <c r="B49" s="70"/>
      <c r="C49" s="70"/>
      <c r="D49" s="297">
        <v>17</v>
      </c>
      <c r="E49" s="70"/>
      <c r="F49" s="70"/>
      <c r="G49" s="70"/>
      <c r="H49" s="70"/>
      <c r="I49" s="70"/>
      <c r="J49" s="70"/>
      <c r="K49" s="70"/>
      <c r="L49" s="70"/>
    </row>
    <row r="50" spans="1:12" x14ac:dyDescent="0.25">
      <c r="A50" s="70"/>
      <c r="B50" s="70"/>
      <c r="C50" s="70"/>
      <c r="D50" s="297">
        <v>36</v>
      </c>
      <c r="E50" s="70"/>
      <c r="F50" s="70"/>
      <c r="G50" s="70"/>
      <c r="H50" s="70"/>
      <c r="I50" s="70"/>
      <c r="J50" s="70"/>
      <c r="K50" s="70"/>
      <c r="L50" s="70"/>
    </row>
    <row r="51" spans="1:12" x14ac:dyDescent="0.25">
      <c r="A51" s="70"/>
      <c r="B51" s="70"/>
      <c r="C51" s="70"/>
      <c r="D51" s="297">
        <v>36</v>
      </c>
      <c r="E51" s="70"/>
      <c r="F51" s="70"/>
      <c r="G51" s="70"/>
      <c r="H51" s="70"/>
      <c r="I51" s="70"/>
      <c r="J51" s="70"/>
      <c r="K51" s="70"/>
      <c r="L51" s="70"/>
    </row>
    <row r="52" spans="1:12" x14ac:dyDescent="0.25">
      <c r="A52" s="70"/>
      <c r="B52" s="70"/>
      <c r="C52" s="70"/>
      <c r="D52" s="70"/>
      <c r="E52" s="70"/>
      <c r="F52" s="70"/>
      <c r="G52" s="70"/>
      <c r="H52" s="70"/>
      <c r="I52" s="70"/>
      <c r="J52" s="70"/>
      <c r="K52" s="70"/>
      <c r="L52" s="70"/>
    </row>
    <row r="53" spans="1:12" x14ac:dyDescent="0.25">
      <c r="A53" s="70"/>
      <c r="B53" s="70"/>
      <c r="C53" s="70"/>
      <c r="D53" s="297">
        <v>39</v>
      </c>
      <c r="E53" s="70"/>
      <c r="F53" s="70"/>
      <c r="G53" s="70"/>
      <c r="H53" s="70"/>
      <c r="I53" s="70"/>
      <c r="J53" s="70"/>
      <c r="K53" s="70"/>
      <c r="L53" s="70"/>
    </row>
    <row r="54" spans="1:12" x14ac:dyDescent="0.25">
      <c r="D54" s="297">
        <v>19</v>
      </c>
    </row>
    <row r="55" spans="1:12" x14ac:dyDescent="0.25">
      <c r="D55" s="297">
        <v>19</v>
      </c>
    </row>
    <row r="56" spans="1:12" x14ac:dyDescent="0.25">
      <c r="D56" s="297">
        <v>19</v>
      </c>
    </row>
  </sheetData>
  <protectedRanges>
    <protectedRange sqref="I4" name="Диапазон3"/>
    <protectedRange sqref="B32" name="Диапазон2"/>
    <protectedRange sqref="F8 F10:F15" name="Диапазон1_1"/>
  </protectedRanges>
  <customSheetViews>
    <customSheetView guid="{6F966CD8-707E-4C39-BF19-FBF54F1918BD}" hiddenRows="1" showRuler="0">
      <selection activeCell="N19" sqref="N19"/>
      <pageMargins left="0.75" right="0.75" top="1" bottom="1" header="0.5" footer="0.5"/>
      <pageSetup paperSize="9" orientation="portrait" r:id="rId1"/>
      <headerFooter alignWithMargins="0"/>
    </customSheetView>
    <customSheetView guid="{E0E17C6E-C811-4170-82D5-EDD54F6164FB}" hiddenRows="1" showRuler="0">
      <selection activeCell="F12" sqref="F12"/>
      <pageMargins left="0.75" right="0.75" top="1" bottom="1" header="0.5" footer="0.5"/>
      <pageSetup paperSize="9" orientation="portrait" r:id="rId2"/>
      <headerFooter alignWithMargins="0"/>
    </customSheetView>
    <customSheetView guid="{21C840CC-AE35-4950-B5BD-32A7DE9BAC52}" showPageBreaks="1" hiddenRows="1" showRuler="0">
      <selection activeCell="O15" sqref="O15"/>
      <pageMargins left="0.75" right="0.75" top="1" bottom="1" header="0.5" footer="0.5"/>
      <pageSetup paperSize="9" orientation="portrait" r:id="rId3"/>
      <headerFooter alignWithMargins="0"/>
    </customSheetView>
    <customSheetView guid="{17CF6293-B179-4C29-9312-7FBDD485BBFD}" hiddenRows="1" showRuler="0" topLeftCell="A16">
      <selection activeCell="E37" sqref="E37"/>
      <pageMargins left="0.75" right="0.75" top="1" bottom="1" header="0.5" footer="0.5"/>
      <pageSetup paperSize="9" orientation="portrait" r:id="rId4"/>
      <headerFooter alignWithMargins="0"/>
    </customSheetView>
    <customSheetView guid="{B6FD7490-794E-482C-8B29-FB2AB6EB258C}" showPageBreaks="1" hiddenRows="1" showRuler="0">
      <selection activeCell="M8" sqref="M8"/>
      <pageMargins left="0.75" right="0.75" top="1" bottom="1" header="0.5" footer="0.5"/>
      <pageSetup paperSize="9" orientation="portrait" r:id="rId5"/>
      <headerFooter alignWithMargins="0"/>
    </customSheetView>
  </customSheetViews>
  <mergeCells count="7">
    <mergeCell ref="B2:E2"/>
    <mergeCell ref="G43:H46"/>
    <mergeCell ref="I4:K4"/>
    <mergeCell ref="H5:K5"/>
    <mergeCell ref="B7:E7"/>
    <mergeCell ref="B32:F32"/>
    <mergeCell ref="B17:E17"/>
  </mergeCells>
  <phoneticPr fontId="8" type="noConversion"/>
  <pageMargins left="0.75" right="0.75" top="1" bottom="1" header="0.5" footer="0.5"/>
  <pageSetup paperSize="9" orientation="portrait" r:id="rId6"/>
  <headerFooter alignWithMargins="0"/>
  <drawing r:id="rId7"/>
  <legacyDrawing r:id="rId8"/>
  <mc:AlternateContent xmlns:mc="http://schemas.openxmlformats.org/markup-compatibility/2006">
    <mc:Choice Requires="x14">
      <controls>
        <mc:AlternateContent xmlns:mc="http://schemas.openxmlformats.org/markup-compatibility/2006">
          <mc:Choice Requires="x14">
            <control shapeId="3074" r:id="rId9" name="Drop Down 2">
              <controlPr locked="0" defaultSize="0" print="0" autoLine="0" autoPict="0">
                <anchor moveWithCells="1">
                  <from>
                    <xdr:col>1</xdr:col>
                    <xdr:colOff>0</xdr:colOff>
                    <xdr:row>7</xdr:row>
                    <xdr:rowOff>38100</xdr:rowOff>
                  </from>
                  <to>
                    <xdr:col>5</xdr:col>
                    <xdr:colOff>7620</xdr:colOff>
                    <xdr:row>8</xdr:row>
                    <xdr:rowOff>0</xdr:rowOff>
                  </to>
                </anchor>
              </controlPr>
            </control>
          </mc:Choice>
        </mc:AlternateContent>
        <mc:AlternateContent xmlns:mc="http://schemas.openxmlformats.org/markup-compatibility/2006">
          <mc:Choice Requires="x14">
            <control shapeId="3075" r:id="rId10" name="Drop Down 3">
              <controlPr locked="0" defaultSize="0" print="0" autoLine="0" autoPict="0">
                <anchor moveWithCells="1">
                  <from>
                    <xdr:col>1</xdr:col>
                    <xdr:colOff>0</xdr:colOff>
                    <xdr:row>8</xdr:row>
                    <xdr:rowOff>15240</xdr:rowOff>
                  </from>
                  <to>
                    <xdr:col>5</xdr:col>
                    <xdr:colOff>7620</xdr:colOff>
                    <xdr:row>9</xdr:row>
                    <xdr:rowOff>15240</xdr:rowOff>
                  </to>
                </anchor>
              </controlPr>
            </control>
          </mc:Choice>
        </mc:AlternateContent>
        <mc:AlternateContent xmlns:mc="http://schemas.openxmlformats.org/markup-compatibility/2006">
          <mc:Choice Requires="x14">
            <control shapeId="3076" r:id="rId11" name="Drop Down 4">
              <controlPr locked="0" defaultSize="0" print="0" autoLine="0" autoPict="0">
                <anchor moveWithCells="1">
                  <from>
                    <xdr:col>1</xdr:col>
                    <xdr:colOff>0</xdr:colOff>
                    <xdr:row>9</xdr:row>
                    <xdr:rowOff>15240</xdr:rowOff>
                  </from>
                  <to>
                    <xdr:col>5</xdr:col>
                    <xdr:colOff>7620</xdr:colOff>
                    <xdr:row>10</xdr:row>
                    <xdr:rowOff>7620</xdr:rowOff>
                  </to>
                </anchor>
              </controlPr>
            </control>
          </mc:Choice>
        </mc:AlternateContent>
        <mc:AlternateContent xmlns:mc="http://schemas.openxmlformats.org/markup-compatibility/2006">
          <mc:Choice Requires="x14">
            <control shapeId="3077" r:id="rId12" name="Drop Down 5">
              <controlPr locked="0" defaultSize="0" print="0" autoLine="0" autoPict="0">
                <anchor moveWithCells="1">
                  <from>
                    <xdr:col>1</xdr:col>
                    <xdr:colOff>0</xdr:colOff>
                    <xdr:row>10</xdr:row>
                    <xdr:rowOff>22860</xdr:rowOff>
                  </from>
                  <to>
                    <xdr:col>5</xdr:col>
                    <xdr:colOff>7620</xdr:colOff>
                    <xdr:row>11</xdr:row>
                    <xdr:rowOff>0</xdr:rowOff>
                  </to>
                </anchor>
              </controlPr>
            </control>
          </mc:Choice>
        </mc:AlternateContent>
        <mc:AlternateContent xmlns:mc="http://schemas.openxmlformats.org/markup-compatibility/2006">
          <mc:Choice Requires="x14">
            <control shapeId="3078" r:id="rId13" name="Drop Down 6">
              <controlPr locked="0" defaultSize="0" print="0" autoLine="0" autoPict="0">
                <anchor moveWithCells="1">
                  <from>
                    <xdr:col>1</xdr:col>
                    <xdr:colOff>0</xdr:colOff>
                    <xdr:row>11</xdr:row>
                    <xdr:rowOff>7620</xdr:rowOff>
                  </from>
                  <to>
                    <xdr:col>5</xdr:col>
                    <xdr:colOff>7620</xdr:colOff>
                    <xdr:row>12</xdr:row>
                    <xdr:rowOff>7620</xdr:rowOff>
                  </to>
                </anchor>
              </controlPr>
            </control>
          </mc:Choice>
        </mc:AlternateContent>
        <mc:AlternateContent xmlns:mc="http://schemas.openxmlformats.org/markup-compatibility/2006">
          <mc:Choice Requires="x14">
            <control shapeId="3079" r:id="rId14" name="Drop Down 7">
              <controlPr locked="0" defaultSize="0" print="0" autoLine="0" autoPict="0">
                <anchor moveWithCells="1">
                  <from>
                    <xdr:col>1</xdr:col>
                    <xdr:colOff>0</xdr:colOff>
                    <xdr:row>14</xdr:row>
                    <xdr:rowOff>7620</xdr:rowOff>
                  </from>
                  <to>
                    <xdr:col>5</xdr:col>
                    <xdr:colOff>7620</xdr:colOff>
                    <xdr:row>14</xdr:row>
                    <xdr:rowOff>236220</xdr:rowOff>
                  </to>
                </anchor>
              </controlPr>
            </control>
          </mc:Choice>
        </mc:AlternateContent>
        <mc:AlternateContent xmlns:mc="http://schemas.openxmlformats.org/markup-compatibility/2006">
          <mc:Choice Requires="x14">
            <control shapeId="3082" r:id="rId15" name="Drop Down 10">
              <controlPr locked="0" defaultSize="0" print="0" autoLine="0" autoPict="0">
                <anchor moveWithCells="1">
                  <from>
                    <xdr:col>1</xdr:col>
                    <xdr:colOff>0</xdr:colOff>
                    <xdr:row>12</xdr:row>
                    <xdr:rowOff>7620</xdr:rowOff>
                  </from>
                  <to>
                    <xdr:col>5</xdr:col>
                    <xdr:colOff>7620</xdr:colOff>
                    <xdr:row>12</xdr:row>
                    <xdr:rowOff>236220</xdr:rowOff>
                  </to>
                </anchor>
              </controlPr>
            </control>
          </mc:Choice>
        </mc:AlternateContent>
        <mc:AlternateContent xmlns:mc="http://schemas.openxmlformats.org/markup-compatibility/2006">
          <mc:Choice Requires="x14">
            <control shapeId="3083" r:id="rId16" name="Drop Down 11">
              <controlPr locked="0" defaultSize="0" print="0" autoLine="0" autoPict="0">
                <anchor moveWithCells="1">
                  <from>
                    <xdr:col>1</xdr:col>
                    <xdr:colOff>0</xdr:colOff>
                    <xdr:row>13</xdr:row>
                    <xdr:rowOff>7620</xdr:rowOff>
                  </from>
                  <to>
                    <xdr:col>5</xdr:col>
                    <xdr:colOff>7620</xdr:colOff>
                    <xdr:row>13</xdr:row>
                    <xdr:rowOff>236220</xdr:rowOff>
                  </to>
                </anchor>
              </controlPr>
            </control>
          </mc:Choice>
        </mc:AlternateContent>
        <mc:AlternateContent xmlns:mc="http://schemas.openxmlformats.org/markup-compatibility/2006">
          <mc:Choice Requires="x14">
            <control shapeId="3085" r:id="rId17" name="Drop Down 13">
              <controlPr locked="0" defaultSize="0" print="0" autoLine="0" autoPict="0">
                <anchor moveWithCells="1">
                  <from>
                    <xdr:col>1</xdr:col>
                    <xdr:colOff>0</xdr:colOff>
                    <xdr:row>16</xdr:row>
                    <xdr:rowOff>883920</xdr:rowOff>
                  </from>
                  <to>
                    <xdr:col>5</xdr:col>
                    <xdr:colOff>7620</xdr:colOff>
                    <xdr:row>17</xdr:row>
                    <xdr:rowOff>220980</xdr:rowOff>
                  </to>
                </anchor>
              </controlPr>
            </control>
          </mc:Choice>
        </mc:AlternateContent>
        <mc:AlternateContent xmlns:mc="http://schemas.openxmlformats.org/markup-compatibility/2006">
          <mc:Choice Requires="x14">
            <control shapeId="3086" r:id="rId18" name="Drop Down 14">
              <controlPr locked="0" defaultSize="0" print="0" autoLine="0" autoPict="0">
                <anchor moveWithCells="1">
                  <from>
                    <xdr:col>1</xdr:col>
                    <xdr:colOff>7620</xdr:colOff>
                    <xdr:row>17</xdr:row>
                    <xdr:rowOff>220980</xdr:rowOff>
                  </from>
                  <to>
                    <xdr:col>5</xdr:col>
                    <xdr:colOff>22860</xdr:colOff>
                    <xdr:row>18</xdr:row>
                    <xdr:rowOff>220980</xdr:rowOff>
                  </to>
                </anchor>
              </controlPr>
            </control>
          </mc:Choice>
        </mc:AlternateContent>
        <mc:AlternateContent xmlns:mc="http://schemas.openxmlformats.org/markup-compatibility/2006">
          <mc:Choice Requires="x14">
            <control shapeId="3087" r:id="rId19" name="Drop Down 15">
              <controlPr locked="0" defaultSize="0" print="0" autoLine="0" autoPict="0">
                <anchor moveWithCells="1">
                  <from>
                    <xdr:col>1</xdr:col>
                    <xdr:colOff>7620</xdr:colOff>
                    <xdr:row>19</xdr:row>
                    <xdr:rowOff>0</xdr:rowOff>
                  </from>
                  <to>
                    <xdr:col>5</xdr:col>
                    <xdr:colOff>22860</xdr:colOff>
                    <xdr:row>20</xdr:row>
                    <xdr:rowOff>0</xdr:rowOff>
                  </to>
                </anchor>
              </controlPr>
            </control>
          </mc:Choice>
        </mc:AlternateContent>
        <mc:AlternateContent xmlns:mc="http://schemas.openxmlformats.org/markup-compatibility/2006">
          <mc:Choice Requires="x14">
            <control shapeId="3088" r:id="rId20" name="Drop Down 16">
              <controlPr locked="0" defaultSize="0" print="0" autoLine="0" autoPict="0">
                <anchor moveWithCells="1">
                  <from>
                    <xdr:col>1</xdr:col>
                    <xdr:colOff>0</xdr:colOff>
                    <xdr:row>20</xdr:row>
                    <xdr:rowOff>7620</xdr:rowOff>
                  </from>
                  <to>
                    <xdr:col>5</xdr:col>
                    <xdr:colOff>7620</xdr:colOff>
                    <xdr:row>21</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indexed="13"/>
  </sheetPr>
  <dimension ref="B1:T74"/>
  <sheetViews>
    <sheetView zoomScaleNormal="100" zoomScaleSheetLayoutView="115" workbookViewId="0">
      <selection activeCell="D22" sqref="D22:E22"/>
    </sheetView>
  </sheetViews>
  <sheetFormatPr defaultColWidth="9.109375" defaultRowHeight="13.2" x14ac:dyDescent="0.25"/>
  <cols>
    <col min="1" max="1" width="0.88671875" style="99" customWidth="1"/>
    <col min="2" max="2" width="1" style="99" customWidth="1"/>
    <col min="3" max="3" width="12.33203125" style="99" customWidth="1"/>
    <col min="4" max="4" width="9.44140625" style="99" customWidth="1"/>
    <col min="5" max="5" width="11.33203125" style="99" customWidth="1"/>
    <col min="6" max="6" width="7.5546875" style="99" customWidth="1"/>
    <col min="7" max="7" width="9.33203125" style="99" customWidth="1"/>
    <col min="8" max="8" width="6.44140625" style="99" customWidth="1"/>
    <col min="9" max="9" width="11.44140625" style="99" customWidth="1"/>
    <col min="10" max="10" width="0.109375" style="99" customWidth="1"/>
    <col min="11" max="11" width="7.88671875" style="99" customWidth="1"/>
    <col min="12" max="12" width="0.6640625" style="99" customWidth="1"/>
    <col min="13" max="13" width="6.44140625" style="99" customWidth="1"/>
    <col min="14" max="14" width="9.5546875" style="99" customWidth="1"/>
    <col min="15" max="15" width="11" style="99" customWidth="1"/>
    <col min="16" max="16" width="1" style="99" customWidth="1"/>
    <col min="17" max="17" width="3.88671875" style="99" customWidth="1"/>
    <col min="18" max="18" width="18.33203125" style="99" customWidth="1"/>
    <col min="19" max="19" width="9.109375" style="99"/>
    <col min="20" max="20" width="34.88671875" style="99" customWidth="1"/>
    <col min="21" max="23" width="9.109375" style="99"/>
    <col min="24" max="24" width="24.33203125" style="99" customWidth="1"/>
    <col min="25" max="16384" width="9.109375" style="99"/>
  </cols>
  <sheetData>
    <row r="1" spans="2:20" ht="3" customHeight="1" x14ac:dyDescent="0.25"/>
    <row r="2" spans="2:20" ht="12" customHeight="1" x14ac:dyDescent="0.25">
      <c r="B2" s="130"/>
      <c r="C2" s="513" t="s">
        <v>2738</v>
      </c>
      <c r="D2" s="513"/>
      <c r="E2" s="513"/>
      <c r="F2" s="513"/>
      <c r="G2" s="513"/>
      <c r="H2" s="292" t="s">
        <v>2792</v>
      </c>
      <c r="I2" s="291" t="str">
        <f>VLOOKUP('Реестр договоров'!A1,'Реестр договоров'!A2:O1917,3)</f>
        <v>210/413</v>
      </c>
      <c r="J2" s="291"/>
      <c r="K2" s="291"/>
      <c r="L2" s="291"/>
      <c r="M2" s="291"/>
      <c r="N2" s="291"/>
      <c r="O2" s="291"/>
      <c r="P2" s="130"/>
    </row>
    <row r="3" spans="2:20" ht="12" customHeight="1" x14ac:dyDescent="0.25">
      <c r="B3" s="130"/>
      <c r="C3" s="292"/>
      <c r="D3" s="292"/>
      <c r="E3" s="292" t="s">
        <v>2079</v>
      </c>
      <c r="F3" s="292" t="s">
        <v>2792</v>
      </c>
      <c r="G3" s="290" t="str">
        <f>VLOOKUP('Реестр договоров'!A1,'Реестр договоров'!A2:O1917,3)</f>
        <v>210/413</v>
      </c>
      <c r="H3" s="290" t="s">
        <v>4220</v>
      </c>
      <c r="I3" s="514" t="str">
        <f>VLOOKUP('Реестр договоров'!A1,'Реестр договоров'!A2:O1919,4)</f>
        <v>14 июля 2017</v>
      </c>
      <c r="J3" s="514"/>
      <c r="K3" s="514"/>
      <c r="L3" s="291"/>
      <c r="M3" s="291"/>
      <c r="N3" s="291"/>
      <c r="O3" s="291"/>
      <c r="P3" s="130"/>
    </row>
    <row r="4" spans="2:20" ht="12" customHeight="1" x14ac:dyDescent="0.25">
      <c r="B4" s="130"/>
      <c r="C4" s="292"/>
      <c r="D4" s="292"/>
      <c r="E4" s="292"/>
      <c r="F4" s="292"/>
      <c r="G4" s="290"/>
      <c r="H4" s="290"/>
      <c r="I4" s="293"/>
      <c r="J4" s="293"/>
      <c r="K4" s="293"/>
      <c r="L4" s="291"/>
      <c r="M4" s="291"/>
      <c r="N4" s="291"/>
      <c r="O4" s="291"/>
      <c r="P4" s="130"/>
    </row>
    <row r="5" spans="2:20" ht="12" customHeight="1" x14ac:dyDescent="0.25">
      <c r="B5" s="130"/>
      <c r="C5" s="514">
        <f ca="1">TODAY()</f>
        <v>42934</v>
      </c>
      <c r="D5" s="514"/>
      <c r="E5" s="292"/>
      <c r="F5" s="292"/>
      <c r="G5" s="290"/>
      <c r="H5" s="290"/>
      <c r="I5" s="293"/>
      <c r="J5" s="293"/>
      <c r="K5" s="293"/>
      <c r="L5" s="291"/>
      <c r="M5" s="291"/>
      <c r="N5" s="291" t="s">
        <v>2423</v>
      </c>
      <c r="O5" s="291"/>
      <c r="P5" s="130"/>
    </row>
    <row r="6" spans="2:20" ht="12" customHeight="1" x14ac:dyDescent="0.25">
      <c r="B6" s="130"/>
      <c r="C6" s="292"/>
      <c r="D6" s="292"/>
      <c r="E6" s="292"/>
      <c r="F6" s="292"/>
      <c r="G6" s="294"/>
      <c r="H6" s="292"/>
      <c r="I6" s="291"/>
      <c r="J6" s="291"/>
      <c r="K6" s="291"/>
      <c r="L6" s="291"/>
      <c r="M6" s="291"/>
      <c r="N6" s="291"/>
      <c r="O6" s="291"/>
      <c r="P6" s="130"/>
    </row>
    <row r="7" spans="2:20" ht="15" x14ac:dyDescent="0.25">
      <c r="B7" s="175"/>
      <c r="C7" s="176" t="s">
        <v>4206</v>
      </c>
      <c r="D7" s="177"/>
      <c r="E7" s="178"/>
      <c r="F7" s="178"/>
      <c r="G7" s="178"/>
      <c r="H7" s="179"/>
      <c r="I7" s="180"/>
      <c r="J7" s="130"/>
      <c r="K7" s="521"/>
      <c r="L7" s="521"/>
      <c r="M7" s="521"/>
      <c r="N7" s="521"/>
      <c r="O7" s="181"/>
      <c r="P7" s="181"/>
      <c r="Q7" s="100"/>
    </row>
    <row r="8" spans="2:20" ht="3.75" customHeight="1" x14ac:dyDescent="0.25">
      <c r="B8" s="175"/>
      <c r="C8" s="177"/>
      <c r="D8" s="177"/>
      <c r="E8" s="178"/>
      <c r="F8" s="179"/>
      <c r="G8" s="178"/>
      <c r="H8" s="179"/>
      <c r="I8" s="182"/>
      <c r="J8" s="182"/>
      <c r="K8" s="181"/>
      <c r="L8" s="181"/>
      <c r="M8" s="181"/>
      <c r="N8" s="181"/>
      <c r="O8" s="181"/>
      <c r="P8" s="181"/>
      <c r="Q8" s="100"/>
    </row>
    <row r="9" spans="2:20" ht="15" x14ac:dyDescent="0.25">
      <c r="B9" s="175"/>
      <c r="C9" s="179"/>
      <c r="D9" s="530" t="str">
        <f>Контрагенты!B1</f>
        <v>УП "Белтехосмотр"</v>
      </c>
      <c r="E9" s="531"/>
      <c r="F9" s="531"/>
      <c r="G9" s="531"/>
      <c r="H9" s="531"/>
      <c r="I9" s="531"/>
      <c r="J9" s="184"/>
      <c r="K9" s="523"/>
      <c r="L9" s="523"/>
      <c r="M9" s="523"/>
      <c r="N9" s="523"/>
      <c r="O9" s="185"/>
      <c r="P9" s="185"/>
      <c r="Q9" s="100"/>
    </row>
    <row r="10" spans="2:20" ht="15" x14ac:dyDescent="0.25">
      <c r="B10" s="175"/>
      <c r="C10" s="179"/>
      <c r="D10" s="498" t="str">
        <f>Контрагенты!I1</f>
        <v>220005, Минск, ул.Платонова, 22а-312</v>
      </c>
      <c r="E10" s="499"/>
      <c r="F10" s="499"/>
      <c r="G10" s="499"/>
      <c r="H10" s="499"/>
      <c r="I10" s="499"/>
      <c r="J10" s="184"/>
      <c r="K10" s="500"/>
      <c r="L10" s="501"/>
      <c r="M10" s="501"/>
      <c r="N10" s="501"/>
      <c r="O10" s="187"/>
      <c r="P10" s="188"/>
      <c r="Q10" s="100"/>
      <c r="R10" s="101"/>
    </row>
    <row r="11" spans="2:20" ht="15" x14ac:dyDescent="0.25">
      <c r="B11" s="175"/>
      <c r="C11" s="179"/>
      <c r="D11" s="189" t="s">
        <v>308</v>
      </c>
      <c r="E11" s="183">
        <f>Контрагенты!C1</f>
        <v>190471274</v>
      </c>
      <c r="F11" s="190"/>
      <c r="G11" s="178"/>
      <c r="H11" s="191"/>
      <c r="I11" s="178"/>
      <c r="J11" s="178"/>
      <c r="K11" s="192"/>
      <c r="L11" s="178"/>
      <c r="M11" s="178"/>
      <c r="N11" s="178"/>
      <c r="O11" s="178"/>
      <c r="P11" s="178"/>
      <c r="Q11" s="100"/>
    </row>
    <row r="12" spans="2:20" ht="15" x14ac:dyDescent="0.25">
      <c r="B12" s="175"/>
      <c r="C12" s="179"/>
      <c r="D12" s="189" t="s">
        <v>1799</v>
      </c>
      <c r="E12" s="193" t="str">
        <f>Контрагенты!D1</f>
        <v>37623374</v>
      </c>
      <c r="F12" s="178"/>
      <c r="G12" s="178"/>
      <c r="H12" s="191"/>
      <c r="I12" s="194"/>
      <c r="J12" s="184"/>
      <c r="K12" s="304"/>
      <c r="L12" s="305"/>
      <c r="M12" s="502"/>
      <c r="N12" s="502"/>
      <c r="O12" s="178"/>
      <c r="P12" s="178"/>
      <c r="Q12" s="100"/>
    </row>
    <row r="13" spans="2:20" ht="29.25" customHeight="1" x14ac:dyDescent="0.25">
      <c r="B13" s="175"/>
      <c r="C13" s="179"/>
      <c r="D13" s="503" t="str">
        <f>"Р/сч "&amp;Контрагенты!E1&amp;" в "&amp;Контрагенты!F1&amp;", код "&amp;Контрагенты!G1</f>
        <v>Р/сч BY03BPSB30121052530139330000 в Региональная дирекция №700 ОАО "БПС-Сбербанк", код BPSBBY2X</v>
      </c>
      <c r="E13" s="503"/>
      <c r="F13" s="503"/>
      <c r="G13" s="503"/>
      <c r="H13" s="503"/>
      <c r="I13" s="503"/>
      <c r="J13" s="196"/>
      <c r="K13" s="196"/>
      <c r="L13" s="178"/>
      <c r="M13" s="178"/>
      <c r="N13" s="178"/>
      <c r="O13" s="178"/>
      <c r="P13" s="178"/>
      <c r="Q13" s="100"/>
      <c r="T13" s="99" t="s">
        <v>364</v>
      </c>
    </row>
    <row r="14" spans="2:20" ht="13.5" customHeight="1" x14ac:dyDescent="0.25">
      <c r="B14" s="175"/>
      <c r="C14" s="197"/>
      <c r="D14" s="198"/>
      <c r="E14" s="186"/>
      <c r="F14" s="186"/>
      <c r="G14" s="186"/>
      <c r="H14" s="178"/>
      <c r="I14" s="196"/>
      <c r="J14" s="199"/>
      <c r="K14" s="196"/>
      <c r="L14" s="178"/>
      <c r="M14" s="178"/>
      <c r="N14" s="178"/>
      <c r="O14" s="178"/>
      <c r="P14" s="178"/>
      <c r="Q14" s="100"/>
    </row>
    <row r="15" spans="2:20" ht="15" x14ac:dyDescent="0.25">
      <c r="B15" s="175"/>
      <c r="C15" s="176" t="s">
        <v>2725</v>
      </c>
      <c r="D15" s="183"/>
      <c r="E15" s="183"/>
      <c r="F15" s="183"/>
      <c r="G15" s="183"/>
      <c r="H15" s="178"/>
      <c r="I15" s="196"/>
      <c r="J15" s="196"/>
      <c r="K15" s="196"/>
      <c r="L15" s="178"/>
      <c r="M15" s="178"/>
      <c r="N15" s="178"/>
      <c r="O15" s="178"/>
      <c r="P15" s="178"/>
      <c r="Q15" s="100"/>
    </row>
    <row r="16" spans="2:20" ht="4.5" customHeight="1" x14ac:dyDescent="0.25">
      <c r="B16" s="175"/>
      <c r="C16" s="200"/>
      <c r="D16" s="183"/>
      <c r="E16" s="183"/>
      <c r="F16" s="183"/>
      <c r="G16" s="183"/>
      <c r="H16" s="178"/>
      <c r="I16" s="196"/>
      <c r="J16" s="196"/>
      <c r="K16" s="196"/>
      <c r="L16" s="178"/>
      <c r="M16" s="178"/>
      <c r="N16" s="178"/>
      <c r="O16" s="178"/>
      <c r="P16" s="178"/>
      <c r="Q16" s="100"/>
    </row>
    <row r="17" spans="2:17" ht="15.75" customHeight="1" x14ac:dyDescent="0.25">
      <c r="B17" s="175"/>
      <c r="C17" s="179"/>
      <c r="D17" s="524" t="str">
        <f>VLOOKUP('Реестр договоров'!A1,'Реестр договоров'!A2:M1917,5)</f>
        <v>ЧТУП "БогдалексТранс"</v>
      </c>
      <c r="E17" s="524"/>
      <c r="F17" s="524"/>
      <c r="G17" s="524"/>
      <c r="H17" s="524"/>
      <c r="I17" s="524"/>
      <c r="J17" s="524"/>
      <c r="K17" s="524"/>
      <c r="L17" s="524"/>
      <c r="M17" s="524"/>
      <c r="N17" s="524"/>
      <c r="O17" s="524"/>
      <c r="P17" s="178"/>
      <c r="Q17" s="100"/>
    </row>
    <row r="18" spans="2:17" ht="23.25" customHeight="1" x14ac:dyDescent="0.25">
      <c r="B18" s="175"/>
      <c r="C18" s="179"/>
      <c r="D18" s="515" t="str">
        <f>IF((VLOOKUP('Реестр договоров'!A1,'Реестр договоров'!A2:M1917,6))&gt;"",VLOOKUP('Реестр договоров'!A1,'Реестр договоров'!A2:M1917,6),"")</f>
        <v>220018,г.Минск,пер.Асаналиева,4а,ком.46</v>
      </c>
      <c r="E18" s="515"/>
      <c r="F18" s="515"/>
      <c r="G18" s="515"/>
      <c r="H18" s="515"/>
      <c r="I18" s="515"/>
      <c r="J18" s="515"/>
      <c r="K18" s="515"/>
      <c r="L18" s="515"/>
      <c r="M18" s="515"/>
      <c r="N18" s="515"/>
      <c r="O18" s="515"/>
      <c r="P18" s="178"/>
      <c r="Q18" s="100"/>
    </row>
    <row r="19" spans="2:17" ht="15" x14ac:dyDescent="0.25">
      <c r="B19" s="175"/>
      <c r="C19" s="179"/>
      <c r="D19" s="189" t="s">
        <v>308</v>
      </c>
      <c r="E19" s="201">
        <f>IF((VLOOKUP('Реестр договоров'!A1,'Реестр договоров'!A2:M1917,7))&lt;"0",VLOOKUP('Реестр договоров'!A1,'Реестр договоров'!A2:M1917,7),"")</f>
        <v>190927518</v>
      </c>
      <c r="F19" s="202"/>
      <c r="G19" s="202"/>
      <c r="H19" s="178"/>
      <c r="I19" s="196"/>
      <c r="J19" s="196"/>
      <c r="K19" s="113"/>
      <c r="L19" s="178"/>
      <c r="M19" s="178"/>
      <c r="N19" s="178"/>
      <c r="O19" s="178"/>
      <c r="P19" s="178"/>
      <c r="Q19" s="100"/>
    </row>
    <row r="20" spans="2:17" ht="15" x14ac:dyDescent="0.25">
      <c r="B20" s="175"/>
      <c r="C20" s="179"/>
      <c r="D20" s="189" t="s">
        <v>1799</v>
      </c>
      <c r="E20" s="201" t="str">
        <f>IF((VLOOKUP('Реестр договоров'!A1,'Реестр договоров'!A2:M1917,8))&gt;"0",VLOOKUP('Реестр договоров'!A1,'Реестр договоров'!A2:M1917,8),"")</f>
        <v/>
      </c>
      <c r="F20" s="202"/>
      <c r="G20" s="202"/>
      <c r="H20" s="178"/>
      <c r="I20" s="196" t="s">
        <v>3218</v>
      </c>
      <c r="J20" s="196"/>
      <c r="K20" s="196"/>
      <c r="L20" s="178"/>
      <c r="M20" s="178"/>
      <c r="N20" s="178"/>
      <c r="O20" s="178"/>
      <c r="P20" s="178"/>
      <c r="Q20" s="100"/>
    </row>
    <row r="21" spans="2:17" ht="13.5" customHeight="1" x14ac:dyDescent="0.25">
      <c r="B21" s="175"/>
      <c r="C21" s="197"/>
      <c r="D21" s="306"/>
      <c r="E21" s="529" t="str">
        <f>IF((VLOOKUP('Реестр договоров'!A1,'Реестр договоров'!A2:M1917,12))&gt;"0",VLOOKUP('Реестр договоров'!A1,'Реестр договоров'!A2:M1917,12),"")</f>
        <v/>
      </c>
      <c r="F21" s="529"/>
      <c r="G21" s="529"/>
      <c r="H21" s="319" t="s">
        <v>1820</v>
      </c>
      <c r="I21" s="203"/>
      <c r="J21" s="204"/>
      <c r="K21" s="205"/>
      <c r="L21" s="206"/>
      <c r="M21" s="206"/>
      <c r="N21" s="206"/>
      <c r="O21" s="206"/>
      <c r="P21" s="178"/>
      <c r="Q21" s="100"/>
    </row>
    <row r="22" spans="2:17" ht="13.5" customHeight="1" x14ac:dyDescent="0.25">
      <c r="B22" s="175"/>
      <c r="C22" s="197"/>
      <c r="D22" s="528" t="str">
        <f>VLOOKUP('Реестр договоров'!A1,'Реестр договоров'!A2:M1917,9)</f>
        <v>Рачицкий В.П.</v>
      </c>
      <c r="E22" s="528"/>
      <c r="F22" s="207"/>
      <c r="G22" s="207"/>
      <c r="H22" s="207"/>
      <c r="I22" s="207"/>
      <c r="J22" s="204"/>
      <c r="K22" s="205"/>
      <c r="L22" s="206"/>
      <c r="M22" s="206"/>
      <c r="N22" s="206"/>
      <c r="O22" s="206"/>
      <c r="P22" s="178"/>
      <c r="Q22" s="100"/>
    </row>
    <row r="23" spans="2:17" ht="15" customHeight="1" x14ac:dyDescent="0.25">
      <c r="B23" s="130"/>
      <c r="C23" s="208"/>
      <c r="D23" s="178"/>
      <c r="E23" s="178"/>
      <c r="F23" s="178"/>
      <c r="G23" s="178"/>
      <c r="H23" s="178"/>
      <c r="I23" s="178"/>
      <c r="J23" s="178"/>
      <c r="K23" s="178"/>
      <c r="L23" s="178"/>
      <c r="M23" s="130"/>
      <c r="N23" s="130"/>
      <c r="O23" s="130"/>
      <c r="P23" s="130"/>
    </row>
    <row r="24" spans="2:17" ht="10.5" customHeight="1" x14ac:dyDescent="0.25">
      <c r="B24" s="130"/>
      <c r="C24" s="209"/>
      <c r="D24" s="178"/>
      <c r="E24" s="178"/>
      <c r="F24" s="178"/>
      <c r="G24" s="178"/>
      <c r="H24" s="178"/>
      <c r="I24" s="178"/>
      <c r="J24" s="178"/>
      <c r="K24" s="178"/>
      <c r="L24" s="178"/>
      <c r="M24" s="130"/>
      <c r="N24" s="130"/>
      <c r="O24" s="130"/>
      <c r="P24" s="130"/>
    </row>
    <row r="25" spans="2:17" s="103" customFormat="1" ht="40.799999999999997" x14ac:dyDescent="0.25">
      <c r="B25" s="210"/>
      <c r="C25" s="516" t="s">
        <v>908</v>
      </c>
      <c r="D25" s="517"/>
      <c r="E25" s="517"/>
      <c r="F25" s="518"/>
      <c r="G25" s="104" t="s">
        <v>525</v>
      </c>
      <c r="H25" s="105" t="s">
        <v>192</v>
      </c>
      <c r="I25" s="106" t="s">
        <v>3608</v>
      </c>
      <c r="J25" s="107"/>
      <c r="K25" s="519" t="s">
        <v>3522</v>
      </c>
      <c r="L25" s="520"/>
      <c r="M25" s="108" t="s">
        <v>2679</v>
      </c>
      <c r="N25" s="109" t="s">
        <v>3523</v>
      </c>
      <c r="O25" s="110" t="s">
        <v>4208</v>
      </c>
      <c r="P25" s="211"/>
    </row>
    <row r="26" spans="2:17" x14ac:dyDescent="0.25">
      <c r="B26" s="130"/>
      <c r="C26" s="525" t="s">
        <v>363</v>
      </c>
      <c r="D26" s="526"/>
      <c r="E26" s="526"/>
      <c r="F26" s="526"/>
      <c r="G26" s="526"/>
      <c r="H26" s="526"/>
      <c r="I26" s="526"/>
      <c r="J26" s="526"/>
      <c r="K26" s="526"/>
      <c r="L26" s="526"/>
      <c r="M26" s="526"/>
      <c r="N26" s="526"/>
      <c r="O26" s="527"/>
      <c r="P26" s="212"/>
    </row>
    <row r="27" spans="2:17" ht="48" customHeight="1" x14ac:dyDescent="0.25">
      <c r="B27" s="130"/>
      <c r="C27" s="508" t="str">
        <f>IF((INDEX(Тарифы!$B$5:$B$163,Выбор!$D44))&gt;"",INDEX(Тарифы!$B$5:$B$163,Выбор!$D44),"")</f>
        <v>Проверка степени светопропускания стекол</v>
      </c>
      <c r="D27" s="509"/>
      <c r="E27" s="509"/>
      <c r="F27" s="510"/>
      <c r="G27" s="111"/>
      <c r="H27" s="112">
        <f>Выбор!F8</f>
        <v>1</v>
      </c>
      <c r="I27" s="391">
        <f>Выбор!G8</f>
        <v>3.08</v>
      </c>
      <c r="J27" s="392"/>
      <c r="K27" s="505">
        <f>Выбор!H8</f>
        <v>3.08</v>
      </c>
      <c r="L27" s="506"/>
      <c r="M27" s="115" t="str">
        <f>Выбор!I8</f>
        <v>20%</v>
      </c>
      <c r="N27" s="387">
        <f>Выбор!J8</f>
        <v>0.62</v>
      </c>
      <c r="O27" s="388">
        <f>Выбор!K8</f>
        <v>3.7</v>
      </c>
      <c r="P27" s="213"/>
      <c r="Q27" s="103"/>
    </row>
    <row r="28" spans="2:17" ht="39.9" customHeight="1" x14ac:dyDescent="0.25">
      <c r="B28" s="130"/>
      <c r="C28" s="508" t="str">
        <f>IF((INDEX(Тарифы!$B$5:$B$163,Выбор!$D45))&gt;"",INDEX(Тарифы!$B$5:$B$163,Выбор!$D45),"")</f>
        <v/>
      </c>
      <c r="D28" s="509"/>
      <c r="E28" s="509"/>
      <c r="F28" s="510"/>
      <c r="G28" s="111"/>
      <c r="H28" s="112">
        <f>Выбор!F9</f>
        <v>0</v>
      </c>
      <c r="I28" s="391">
        <f>Выбор!G9</f>
        <v>0</v>
      </c>
      <c r="J28" s="392"/>
      <c r="K28" s="505">
        <f>Выбор!H9</f>
        <v>0</v>
      </c>
      <c r="L28" s="506"/>
      <c r="M28" s="115" t="str">
        <f>Выбор!I9</f>
        <v/>
      </c>
      <c r="N28" s="387">
        <f>Выбор!J9</f>
        <v>0</v>
      </c>
      <c r="O28" s="388">
        <f>Выбор!K9</f>
        <v>0</v>
      </c>
      <c r="P28" s="213"/>
      <c r="Q28" s="103"/>
    </row>
    <row r="29" spans="2:17" ht="39.9" customHeight="1" x14ac:dyDescent="0.25">
      <c r="B29" s="130"/>
      <c r="C29" s="508" t="str">
        <f>IF((INDEX(Тарифы!$B$5:$B$163,Выбор!$D46))&gt;"",INDEX(Тарифы!$B$5:$B$163,Выбор!$D46),"")</f>
        <v/>
      </c>
      <c r="D29" s="509"/>
      <c r="E29" s="509"/>
      <c r="F29" s="510"/>
      <c r="G29" s="111"/>
      <c r="H29" s="112">
        <f>Выбор!F10</f>
        <v>0</v>
      </c>
      <c r="I29" s="391">
        <f>Выбор!G10</f>
        <v>0</v>
      </c>
      <c r="J29" s="392"/>
      <c r="K29" s="505">
        <f>Выбор!H10</f>
        <v>0</v>
      </c>
      <c r="L29" s="506"/>
      <c r="M29" s="115" t="str">
        <f>Выбор!I10</f>
        <v/>
      </c>
      <c r="N29" s="387">
        <f>Выбор!J10</f>
        <v>0</v>
      </c>
      <c r="O29" s="388">
        <f>Выбор!K10</f>
        <v>0</v>
      </c>
      <c r="P29" s="212"/>
      <c r="Q29" s="116"/>
    </row>
    <row r="30" spans="2:17" ht="39.9" customHeight="1" x14ac:dyDescent="0.25">
      <c r="B30" s="130"/>
      <c r="C30" s="508" t="str">
        <f>IF((INDEX(Тарифы!$B$5:$B$163,Выбор!$D47))&gt;"",INDEX(Тарифы!$B$5:$B$163,Выбор!$D47),"")</f>
        <v/>
      </c>
      <c r="D30" s="509"/>
      <c r="E30" s="509"/>
      <c r="F30" s="510"/>
      <c r="G30" s="111"/>
      <c r="H30" s="112">
        <f>Выбор!F11</f>
        <v>0</v>
      </c>
      <c r="I30" s="391">
        <f>Выбор!G11</f>
        <v>0</v>
      </c>
      <c r="J30" s="392"/>
      <c r="K30" s="505">
        <f>Выбор!H11</f>
        <v>0</v>
      </c>
      <c r="L30" s="506"/>
      <c r="M30" s="115" t="str">
        <f>Выбор!I11</f>
        <v/>
      </c>
      <c r="N30" s="387">
        <f>Выбор!J11</f>
        <v>0</v>
      </c>
      <c r="O30" s="388">
        <f>Выбор!K11</f>
        <v>0</v>
      </c>
      <c r="P30" s="212"/>
      <c r="Q30" s="116"/>
    </row>
    <row r="31" spans="2:17" ht="39.9" customHeight="1" x14ac:dyDescent="0.25">
      <c r="B31" s="130"/>
      <c r="C31" s="508" t="str">
        <f>IF((INDEX(Тарифы!$B$5:$B$163,Выбор!$D48))&gt;"",INDEX(Тарифы!$B$5:$B$163,Выбор!$D48),"")</f>
        <v/>
      </c>
      <c r="D31" s="509"/>
      <c r="E31" s="509"/>
      <c r="F31" s="510"/>
      <c r="G31" s="111"/>
      <c r="H31" s="112">
        <f>Выбор!F12</f>
        <v>0</v>
      </c>
      <c r="I31" s="391">
        <f>Выбор!G12</f>
        <v>0</v>
      </c>
      <c r="J31" s="392"/>
      <c r="K31" s="505">
        <f>Выбор!H12</f>
        <v>0</v>
      </c>
      <c r="L31" s="506"/>
      <c r="M31" s="115" t="str">
        <f>Выбор!I12</f>
        <v/>
      </c>
      <c r="N31" s="387">
        <f>Выбор!J12</f>
        <v>0</v>
      </c>
      <c r="O31" s="388">
        <f>Выбор!K12</f>
        <v>0</v>
      </c>
      <c r="P31" s="212"/>
      <c r="Q31" s="116"/>
    </row>
    <row r="32" spans="2:17" ht="39.9" customHeight="1" x14ac:dyDescent="0.25">
      <c r="B32" s="130"/>
      <c r="C32" s="508" t="str">
        <f>IF((INDEX(Тарифы!$B$5:$B$163,Выбор!$D49))&gt;"",INDEX(Тарифы!$B$5:$B$163,Выбор!$D49),"")</f>
        <v/>
      </c>
      <c r="D32" s="509"/>
      <c r="E32" s="509"/>
      <c r="F32" s="510"/>
      <c r="G32" s="111"/>
      <c r="H32" s="112">
        <f>Выбор!F13</f>
        <v>0</v>
      </c>
      <c r="I32" s="391">
        <f>Выбор!G13</f>
        <v>0</v>
      </c>
      <c r="J32" s="392"/>
      <c r="K32" s="505">
        <f>Выбор!H13</f>
        <v>0</v>
      </c>
      <c r="L32" s="506"/>
      <c r="M32" s="115" t="str">
        <f>Выбор!I13</f>
        <v/>
      </c>
      <c r="N32" s="387">
        <f>Выбор!J13</f>
        <v>0</v>
      </c>
      <c r="O32" s="388">
        <f>Выбор!K13</f>
        <v>0</v>
      </c>
      <c r="P32" s="212"/>
      <c r="Q32" s="116"/>
    </row>
    <row r="33" spans="2:17" ht="39.9" customHeight="1" x14ac:dyDescent="0.25">
      <c r="B33" s="130"/>
      <c r="C33" s="508" t="str">
        <f>IF((INDEX(Тарифы!$B$5:$B$163,Выбор!$D50))&gt;"",INDEX(Тарифы!$B$5:$B$163,Выбор!$D50),"")</f>
        <v/>
      </c>
      <c r="D33" s="509"/>
      <c r="E33" s="509"/>
      <c r="F33" s="510"/>
      <c r="G33" s="111"/>
      <c r="H33" s="112">
        <f>Выбор!F14</f>
        <v>0</v>
      </c>
      <c r="I33" s="391">
        <f>Выбор!G14</f>
        <v>0</v>
      </c>
      <c r="J33" s="392"/>
      <c r="K33" s="505">
        <f>Выбор!H14</f>
        <v>0</v>
      </c>
      <c r="L33" s="506"/>
      <c r="M33" s="115" t="str">
        <f>Выбор!I14</f>
        <v/>
      </c>
      <c r="N33" s="387">
        <f>Выбор!J14</f>
        <v>0</v>
      </c>
      <c r="O33" s="388">
        <f>Выбор!K14</f>
        <v>0</v>
      </c>
      <c r="P33" s="212"/>
      <c r="Q33" s="116"/>
    </row>
    <row r="34" spans="2:17" ht="39.9" customHeight="1" x14ac:dyDescent="0.25">
      <c r="B34" s="130"/>
      <c r="C34" s="508" t="str">
        <f>IF((INDEX(Тарифы!$B$5:$B$163,Выбор!$D51))&gt;"",INDEX(Тарифы!$B$5:$B$163,Выбор!$D51),"")</f>
        <v/>
      </c>
      <c r="D34" s="509"/>
      <c r="E34" s="509"/>
      <c r="F34" s="510"/>
      <c r="G34" s="111"/>
      <c r="H34" s="112">
        <f>Выбор!F15</f>
        <v>0</v>
      </c>
      <c r="I34" s="391">
        <f>Выбор!G15</f>
        <v>0</v>
      </c>
      <c r="J34" s="392"/>
      <c r="K34" s="505">
        <f>Выбор!H15</f>
        <v>0</v>
      </c>
      <c r="L34" s="506"/>
      <c r="M34" s="115" t="str">
        <f>Выбор!I15</f>
        <v/>
      </c>
      <c r="N34" s="387">
        <f>Выбор!J15</f>
        <v>0</v>
      </c>
      <c r="O34" s="388">
        <f>Выбор!K15</f>
        <v>0</v>
      </c>
      <c r="P34" s="212"/>
      <c r="Q34" s="117" t="s">
        <v>2813</v>
      </c>
    </row>
    <row r="35" spans="2:17" ht="16.5" customHeight="1" x14ac:dyDescent="0.25">
      <c r="B35" s="130"/>
      <c r="C35" s="118" t="s">
        <v>2814</v>
      </c>
      <c r="D35" s="119"/>
      <c r="E35" s="120" t="s">
        <v>967</v>
      </c>
      <c r="F35" s="120"/>
      <c r="G35" s="121"/>
      <c r="H35" s="121" t="s">
        <v>967</v>
      </c>
      <c r="I35" s="122" t="s">
        <v>967</v>
      </c>
      <c r="J35" s="123"/>
      <c r="K35" s="507">
        <f>SUM(K27:L34)</f>
        <v>3.08</v>
      </c>
      <c r="L35" s="507"/>
      <c r="M35" s="389"/>
      <c r="N35" s="389">
        <f>SUM(N27:N34)</f>
        <v>0.62</v>
      </c>
      <c r="O35" s="390">
        <f>SUM(O27:O34)</f>
        <v>3.7</v>
      </c>
      <c r="P35" s="212"/>
    </row>
    <row r="36" spans="2:17" s="103" customFormat="1" ht="16.5" customHeight="1" x14ac:dyDescent="0.25">
      <c r="B36" s="210"/>
      <c r="C36" s="312" t="s">
        <v>474</v>
      </c>
      <c r="D36" s="313"/>
      <c r="E36" s="125" t="e">
        <f ca="1">ПрописьБелРуб(N35,)</f>
        <v>#NAME?</v>
      </c>
      <c r="F36" s="125"/>
      <c r="G36" s="125"/>
      <c r="H36" s="125"/>
      <c r="I36" s="125"/>
      <c r="J36" s="125"/>
      <c r="K36" s="125"/>
      <c r="L36" s="125"/>
      <c r="M36" s="125"/>
      <c r="N36" s="125"/>
      <c r="O36" s="126"/>
      <c r="P36" s="214"/>
    </row>
    <row r="37" spans="2:17" s="103" customFormat="1" ht="25.5" customHeight="1" x14ac:dyDescent="0.25">
      <c r="B37" s="210"/>
      <c r="C37" s="314" t="s">
        <v>4229</v>
      </c>
      <c r="D37" s="315"/>
      <c r="E37" s="316" t="e">
        <f ca="1">ПрописьБелРуб(O35,)</f>
        <v>#NAME?</v>
      </c>
      <c r="F37" s="309"/>
      <c r="G37" s="309"/>
      <c r="H37" s="309"/>
      <c r="I37" s="309"/>
      <c r="J37" s="309"/>
      <c r="K37" s="309"/>
      <c r="L37" s="309"/>
      <c r="M37" s="309"/>
      <c r="N37" s="309"/>
      <c r="O37" s="310"/>
      <c r="P37" s="215"/>
    </row>
    <row r="38" spans="2:17" s="103" customFormat="1" ht="19.5" customHeight="1" x14ac:dyDescent="0.25">
      <c r="B38" s="210"/>
      <c r="C38" s="127" t="s">
        <v>918</v>
      </c>
      <c r="D38" s="128"/>
      <c r="E38" s="129"/>
      <c r="F38" s="129"/>
      <c r="G38" s="129"/>
      <c r="H38" s="129"/>
      <c r="I38" s="129"/>
      <c r="J38" s="129"/>
      <c r="K38" s="129"/>
      <c r="L38" s="129"/>
      <c r="M38" s="129"/>
      <c r="N38" s="129"/>
      <c r="O38" s="129"/>
      <c r="P38" s="215"/>
    </row>
    <row r="39" spans="2:17" s="103" customFormat="1" ht="26.25" customHeight="1" x14ac:dyDescent="0.25">
      <c r="B39" s="210"/>
      <c r="C39" s="127" t="s">
        <v>2729</v>
      </c>
      <c r="D39" s="311"/>
      <c r="E39" s="311"/>
      <c r="F39" s="311"/>
      <c r="G39" s="311"/>
      <c r="H39" s="311"/>
      <c r="I39" s="311"/>
      <c r="J39" s="311"/>
      <c r="K39" s="311"/>
      <c r="L39" s="311"/>
      <c r="M39" s="311"/>
      <c r="N39" s="311"/>
      <c r="O39" s="311"/>
      <c r="P39" s="215"/>
    </row>
    <row r="40" spans="2:17" x14ac:dyDescent="0.25">
      <c r="B40" s="130"/>
      <c r="C40" s="216"/>
      <c r="D40" s="217"/>
      <c r="E40" s="218"/>
      <c r="F40" s="218"/>
      <c r="G40" s="218"/>
      <c r="H40" s="218"/>
      <c r="I40" s="219"/>
      <c r="J40" s="219"/>
      <c r="K40" s="219"/>
      <c r="L40" s="219"/>
      <c r="M40" s="220"/>
      <c r="N40" s="220"/>
      <c r="O40" s="220"/>
      <c r="P40" s="221"/>
    </row>
    <row r="41" spans="2:17" ht="12.75" hidden="1" customHeight="1" x14ac:dyDescent="0.25">
      <c r="B41" s="130"/>
      <c r="C41" s="199"/>
      <c r="D41" s="222"/>
      <c r="E41" s="223"/>
      <c r="F41" s="223"/>
      <c r="G41" s="223"/>
      <c r="H41" s="223"/>
      <c r="I41" s="224"/>
      <c r="J41" s="225"/>
      <c r="K41" s="225"/>
      <c r="L41" s="225"/>
      <c r="M41" s="226"/>
      <c r="N41" s="226"/>
      <c r="O41" s="226"/>
      <c r="P41" s="221"/>
    </row>
    <row r="42" spans="2:17" ht="14.25" hidden="1" customHeight="1" x14ac:dyDescent="0.25">
      <c r="B42" s="130"/>
      <c r="C42" s="199"/>
      <c r="D42" s="222"/>
      <c r="E42" s="223"/>
      <c r="F42" s="223"/>
      <c r="G42" s="223"/>
      <c r="H42" s="223"/>
      <c r="I42" s="224"/>
      <c r="J42" s="225"/>
      <c r="K42" s="225"/>
      <c r="L42" s="225"/>
      <c r="M42" s="226"/>
      <c r="N42" s="226"/>
      <c r="O42" s="226"/>
      <c r="P42" s="221"/>
    </row>
    <row r="43" spans="2:17" ht="14.25" hidden="1" customHeight="1" x14ac:dyDescent="0.25">
      <c r="B43" s="130"/>
      <c r="C43" s="130"/>
      <c r="D43" s="222"/>
      <c r="E43" s="223"/>
      <c r="F43" s="223"/>
      <c r="G43" s="223"/>
      <c r="H43" s="223"/>
      <c r="I43" s="224"/>
      <c r="J43" s="225"/>
      <c r="K43" s="225"/>
      <c r="L43" s="225"/>
      <c r="M43" s="226"/>
      <c r="N43" s="226"/>
      <c r="O43" s="226"/>
      <c r="P43" s="221"/>
    </row>
    <row r="44" spans="2:17" ht="14.25" hidden="1" customHeight="1" x14ac:dyDescent="0.25">
      <c r="B44" s="130"/>
      <c r="C44" s="130"/>
      <c r="D44" s="222"/>
      <c r="E44" s="223"/>
      <c r="F44" s="223"/>
      <c r="G44" s="223"/>
      <c r="H44" s="223"/>
      <c r="I44" s="224"/>
      <c r="J44" s="225"/>
      <c r="K44" s="225"/>
      <c r="L44" s="225"/>
      <c r="M44" s="226"/>
      <c r="N44" s="226"/>
      <c r="O44" s="226"/>
      <c r="P44" s="221"/>
    </row>
    <row r="45" spans="2:17" ht="13.5" hidden="1" customHeight="1" x14ac:dyDescent="0.25">
      <c r="B45" s="130"/>
      <c r="C45" s="131"/>
      <c r="D45" s="132"/>
      <c r="E45" s="131"/>
      <c r="F45" s="227"/>
      <c r="G45" s="130"/>
      <c r="H45" s="504"/>
      <c r="I45" s="504"/>
      <c r="J45" s="228"/>
      <c r="K45" s="130"/>
      <c r="L45" s="522"/>
      <c r="M45" s="522"/>
      <c r="N45" s="522"/>
      <c r="O45" s="226"/>
      <c r="P45" s="221"/>
    </row>
    <row r="46" spans="2:17" ht="12.75" hidden="1" customHeight="1" x14ac:dyDescent="0.25">
      <c r="B46" s="130"/>
      <c r="C46" s="131"/>
      <c r="D46" s="131"/>
      <c r="E46" s="218"/>
      <c r="F46" s="218"/>
      <c r="G46" s="218"/>
      <c r="H46" s="218"/>
      <c r="I46" s="219"/>
      <c r="J46" s="219"/>
      <c r="K46" s="219"/>
      <c r="L46" s="219"/>
      <c r="M46" s="220"/>
      <c r="N46" s="220"/>
      <c r="O46" s="220"/>
      <c r="P46" s="221"/>
    </row>
    <row r="47" spans="2:17" ht="12.75" customHeight="1" x14ac:dyDescent="0.25">
      <c r="B47" s="130"/>
      <c r="C47" s="229"/>
      <c r="D47" s="217"/>
      <c r="E47" s="230"/>
      <c r="F47" s="230"/>
      <c r="G47" s="230"/>
      <c r="H47" s="230"/>
      <c r="I47" s="231"/>
      <c r="J47" s="232"/>
      <c r="K47" s="232"/>
      <c r="L47" s="232"/>
      <c r="M47" s="233"/>
      <c r="N47" s="233"/>
      <c r="O47" s="233"/>
      <c r="P47" s="221"/>
    </row>
    <row r="48" spans="2:17" x14ac:dyDescent="0.25">
      <c r="B48" s="130"/>
      <c r="C48" s="176" t="s">
        <v>4206</v>
      </c>
      <c r="D48" s="234"/>
      <c r="E48" s="200"/>
      <c r="F48" s="200"/>
      <c r="G48" s="235"/>
      <c r="H48" s="235"/>
      <c r="I48" s="178"/>
      <c r="J48" s="176"/>
      <c r="K48" s="236"/>
      <c r="L48" s="178"/>
      <c r="M48" s="179"/>
      <c r="N48" s="179"/>
      <c r="O48" s="179"/>
      <c r="P48" s="130"/>
    </row>
    <row r="49" spans="2:16" ht="19.5" customHeight="1" x14ac:dyDescent="0.25">
      <c r="B49" s="130"/>
      <c r="C49" s="200"/>
      <c r="D49" s="237"/>
      <c r="E49" s="238"/>
      <c r="F49" s="238"/>
      <c r="G49" s="235"/>
      <c r="H49" s="238"/>
      <c r="I49" s="235"/>
      <c r="J49" s="235"/>
      <c r="K49" s="238"/>
      <c r="L49" s="235"/>
      <c r="M49" s="238"/>
      <c r="N49" s="238"/>
      <c r="O49" s="130"/>
      <c r="P49" s="130"/>
    </row>
    <row r="50" spans="2:16" ht="14.25" customHeight="1" x14ac:dyDescent="0.25">
      <c r="B50" s="130"/>
      <c r="C50" s="177" t="s">
        <v>3867</v>
      </c>
      <c r="D50" s="237"/>
      <c r="E50" s="238"/>
      <c r="F50" s="245"/>
      <c r="G50" s="303"/>
      <c r="H50" s="245"/>
      <c r="I50" s="303"/>
      <c r="J50" s="303"/>
      <c r="K50" s="238"/>
      <c r="L50" s="235"/>
      <c r="M50" s="238" t="s">
        <v>1776</v>
      </c>
      <c r="N50" s="238"/>
      <c r="O50" s="130"/>
      <c r="P50" s="130"/>
    </row>
    <row r="51" spans="2:16" ht="17.25" customHeight="1" x14ac:dyDescent="0.25">
      <c r="B51" s="130"/>
      <c r="C51" s="239"/>
      <c r="D51" s="201"/>
      <c r="E51" s="238"/>
      <c r="F51" s="238"/>
      <c r="G51" s="235"/>
      <c r="H51" s="238"/>
      <c r="I51" s="235"/>
      <c r="J51" s="223"/>
      <c r="K51" s="238"/>
      <c r="L51" s="511"/>
      <c r="M51" s="512"/>
      <c r="N51" s="238"/>
      <c r="O51" s="130"/>
      <c r="P51" s="130"/>
    </row>
    <row r="52" spans="2:16" ht="17.25" customHeight="1" x14ac:dyDescent="0.25">
      <c r="B52" s="130"/>
      <c r="C52" s="239"/>
      <c r="D52" s="242"/>
      <c r="E52" s="238"/>
      <c r="F52" s="238"/>
      <c r="G52" s="235"/>
      <c r="H52" s="238"/>
      <c r="I52" s="235"/>
      <c r="J52" s="223"/>
      <c r="K52" s="238"/>
      <c r="L52" s="223"/>
      <c r="M52" s="241"/>
      <c r="N52" s="238"/>
      <c r="O52" s="130"/>
      <c r="P52" s="130"/>
    </row>
    <row r="53" spans="2:16" ht="17.25" customHeight="1" x14ac:dyDescent="0.25">
      <c r="B53" s="130"/>
      <c r="C53" s="243"/>
      <c r="D53" s="244"/>
      <c r="E53" s="245"/>
      <c r="F53" s="238"/>
      <c r="G53" s="235"/>
      <c r="H53" s="238"/>
      <c r="I53" s="235"/>
      <c r="J53" s="223"/>
      <c r="K53" s="238"/>
      <c r="L53" s="223"/>
      <c r="M53" s="241"/>
      <c r="N53" s="238"/>
      <c r="O53" s="130"/>
      <c r="P53" s="130"/>
    </row>
    <row r="54" spans="2:16" ht="17.25" customHeight="1" x14ac:dyDescent="0.25">
      <c r="B54" s="130"/>
      <c r="C54" s="178"/>
      <c r="D54" s="178" t="s">
        <v>4225</v>
      </c>
      <c r="E54" s="235"/>
      <c r="F54" s="235"/>
      <c r="G54" s="235"/>
      <c r="H54" s="238"/>
      <c r="I54" s="235"/>
      <c r="J54" s="235"/>
      <c r="K54" s="238"/>
      <c r="L54" s="235"/>
      <c r="M54" s="238"/>
      <c r="N54" s="238"/>
      <c r="O54" s="130"/>
      <c r="P54" s="130"/>
    </row>
    <row r="55" spans="2:16" ht="25.5" customHeight="1" x14ac:dyDescent="0.25">
      <c r="B55" s="130"/>
      <c r="C55" s="497"/>
      <c r="D55" s="497"/>
      <c r="E55" s="497"/>
      <c r="F55" s="497"/>
      <c r="G55" s="235"/>
      <c r="H55" s="235"/>
      <c r="I55" s="235"/>
      <c r="J55" s="238"/>
      <c r="K55" s="238"/>
      <c r="L55" s="235"/>
      <c r="M55" s="238"/>
      <c r="N55" s="238"/>
      <c r="O55" s="130"/>
      <c r="P55" s="130"/>
    </row>
    <row r="56" spans="2:16" ht="16.5" customHeight="1" x14ac:dyDescent="0.25">
      <c r="G56" s="251"/>
      <c r="H56" s="251"/>
      <c r="I56" s="251"/>
      <c r="J56" s="251"/>
      <c r="K56" s="100"/>
      <c r="L56" s="100"/>
    </row>
    <row r="57" spans="2:16" ht="50.25" customHeight="1" x14ac:dyDescent="0.25"/>
    <row r="59" spans="2:16" x14ac:dyDescent="0.25">
      <c r="C59" s="133">
        <v>2</v>
      </c>
    </row>
    <row r="61" spans="2:16" x14ac:dyDescent="0.25">
      <c r="C61" s="134" t="s">
        <v>3762</v>
      </c>
      <c r="D61" s="135"/>
      <c r="E61" s="135"/>
      <c r="F61" s="135"/>
    </row>
    <row r="62" spans="2:16" x14ac:dyDescent="0.25">
      <c r="C62" s="136" t="s">
        <v>3644</v>
      </c>
      <c r="D62" s="135"/>
      <c r="E62" s="135"/>
      <c r="F62" s="135"/>
      <c r="G62" s="135"/>
      <c r="H62" s="135"/>
    </row>
    <row r="63" spans="2:16" x14ac:dyDescent="0.25">
      <c r="C63" s="136" t="s">
        <v>3556</v>
      </c>
      <c r="D63" s="135"/>
      <c r="E63" s="135"/>
      <c r="F63" s="135"/>
      <c r="G63" s="135"/>
      <c r="H63" s="135"/>
    </row>
    <row r="64" spans="2:16" x14ac:dyDescent="0.25">
      <c r="C64" s="136" t="s">
        <v>2774</v>
      </c>
      <c r="D64" s="135"/>
      <c r="E64" s="135"/>
      <c r="F64" s="135"/>
      <c r="G64" s="135"/>
      <c r="H64" s="135"/>
    </row>
    <row r="65" spans="3:8" x14ac:dyDescent="0.25">
      <c r="C65" s="136" t="s">
        <v>1812</v>
      </c>
      <c r="D65" s="135"/>
      <c r="E65" s="135"/>
      <c r="F65" s="135"/>
      <c r="G65" s="135"/>
      <c r="H65" s="135"/>
    </row>
    <row r="66" spans="3:8" x14ac:dyDescent="0.25">
      <c r="C66" s="136" t="s">
        <v>817</v>
      </c>
      <c r="D66" s="135"/>
      <c r="E66" s="135"/>
      <c r="F66" s="135"/>
      <c r="G66" s="135"/>
      <c r="H66" s="135"/>
    </row>
    <row r="67" spans="3:8" x14ac:dyDescent="0.25">
      <c r="C67" s="136" t="s">
        <v>2652</v>
      </c>
      <c r="D67" s="135"/>
      <c r="E67" s="135"/>
      <c r="F67" s="135"/>
      <c r="G67" s="135"/>
      <c r="H67" s="135"/>
    </row>
    <row r="68" spans="3:8" x14ac:dyDescent="0.25">
      <c r="C68" s="136" t="s">
        <v>2884</v>
      </c>
      <c r="D68" s="135"/>
      <c r="E68" s="135"/>
      <c r="F68" s="135"/>
      <c r="G68" s="135"/>
      <c r="H68" s="135"/>
    </row>
    <row r="69" spans="3:8" x14ac:dyDescent="0.25">
      <c r="C69" s="136" t="s">
        <v>2786</v>
      </c>
      <c r="D69" s="135"/>
      <c r="E69" s="135"/>
      <c r="F69" s="135"/>
      <c r="G69" s="135"/>
      <c r="H69" s="135"/>
    </row>
    <row r="70" spans="3:8" x14ac:dyDescent="0.25">
      <c r="G70" s="135"/>
      <c r="H70" s="135"/>
    </row>
    <row r="71" spans="3:8" x14ac:dyDescent="0.25">
      <c r="C71" s="135" t="s">
        <v>1536</v>
      </c>
    </row>
    <row r="72" spans="3:8" x14ac:dyDescent="0.25">
      <c r="C72" s="137" t="s">
        <v>919</v>
      </c>
    </row>
    <row r="73" spans="3:8" x14ac:dyDescent="0.25">
      <c r="C73" s="137" t="s">
        <v>920</v>
      </c>
    </row>
    <row r="74" spans="3:8" x14ac:dyDescent="0.25">
      <c r="C74" s="137" t="s">
        <v>426</v>
      </c>
    </row>
  </sheetData>
  <sheetProtection password="CC65" sheet="1"/>
  <customSheetViews>
    <customSheetView guid="{6F966CD8-707E-4C39-BF19-FBF54F1918BD}" showPageBreaks="1" printArea="1" hiddenRows="1" showRuler="0">
      <selection activeCell="K30" sqref="K30:L30"/>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1"/>
      <headerFooter alignWithMargins="0"/>
    </customSheetView>
    <customSheetView guid="{E0E17C6E-C811-4170-82D5-EDD54F6164FB}" printArea="1" hiddenRows="1" showRuler="0">
      <selection activeCell="A27" sqref="A27:IV27"/>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2"/>
      <headerFooter alignWithMargins="0"/>
    </customSheetView>
    <customSheetView guid="{21C840CC-AE35-4950-B5BD-32A7DE9BAC52}" showPageBreaks="1" printArea="1" hiddenRows="1" showRuler="0" topLeftCell="A4">
      <selection activeCell="H28" sqref="H28"/>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3"/>
      <headerFooter alignWithMargins="0"/>
    </customSheetView>
    <customSheetView guid="{17CF6293-B179-4C29-9312-7FBDD485BBFD}" showPageBreaks="1" printArea="1" hiddenRows="1" showRuler="0" topLeftCell="A5">
      <selection activeCell="O34" sqref="O34"/>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4"/>
      <headerFooter alignWithMargins="0"/>
    </customSheetView>
    <customSheetView guid="{B6FD7490-794E-482C-8B29-FB2AB6EB258C}" showPageBreaks="1" printArea="1" hiddenRows="1" showRuler="0">
      <selection activeCell="K5" sqref="K5"/>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5"/>
      <headerFooter alignWithMargins="0"/>
    </customSheetView>
  </customSheetViews>
  <mergeCells count="38">
    <mergeCell ref="D9:I9"/>
    <mergeCell ref="C26:O26"/>
    <mergeCell ref="C27:F27"/>
    <mergeCell ref="K27:L27"/>
    <mergeCell ref="D22:E22"/>
    <mergeCell ref="E21:G21"/>
    <mergeCell ref="C2:G2"/>
    <mergeCell ref="I3:K3"/>
    <mergeCell ref="C5:D5"/>
    <mergeCell ref="K31:L31"/>
    <mergeCell ref="D18:O18"/>
    <mergeCell ref="C25:F25"/>
    <mergeCell ref="K25:L25"/>
    <mergeCell ref="C31:F31"/>
    <mergeCell ref="K7:N7"/>
    <mergeCell ref="C30:F30"/>
    <mergeCell ref="K30:L30"/>
    <mergeCell ref="K28:L28"/>
    <mergeCell ref="C28:F28"/>
    <mergeCell ref="K29:L29"/>
    <mergeCell ref="C29:F29"/>
    <mergeCell ref="K9:N9"/>
    <mergeCell ref="C55:F55"/>
    <mergeCell ref="D10:I10"/>
    <mergeCell ref="K10:N10"/>
    <mergeCell ref="M12:N12"/>
    <mergeCell ref="D13:I13"/>
    <mergeCell ref="H45:I45"/>
    <mergeCell ref="K32:L32"/>
    <mergeCell ref="K35:L35"/>
    <mergeCell ref="C34:F34"/>
    <mergeCell ref="L51:M51"/>
    <mergeCell ref="K34:L34"/>
    <mergeCell ref="L45:N45"/>
    <mergeCell ref="C32:F32"/>
    <mergeCell ref="C33:F33"/>
    <mergeCell ref="K33:L33"/>
    <mergeCell ref="D17:O17"/>
  </mergeCells>
  <phoneticPr fontId="8" type="noConversion"/>
  <pageMargins left="0.59055118110236227" right="0.19685039370078741" top="0.19685039370078741" bottom="0.19685039370078741" header="0.51181102362204722" footer="0.51181102362204722"/>
  <pageSetup paperSize="9" scale="85" orientation="portrait" blackAndWhite="1" r:id="rId6"/>
  <headerFooter alignWithMargins="0"/>
  <colBreaks count="1" manualBreakCount="1">
    <brk id="16" max="1048575" man="1"/>
  </colBreaks>
  <drawing r:id="rId7"/>
  <legacyDrawing r:id="rId8"/>
  <controls>
    <mc:AlternateContent xmlns:mc="http://schemas.openxmlformats.org/markup-compatibility/2006">
      <mc:Choice Requires="x14">
        <control shapeId="6163" r:id="rId9" name="CommandButton1">
          <controlPr locked="0" defaultSize="0" autoLine="0" r:id="rId10">
            <anchor moveWithCells="1">
              <from>
                <xdr:col>16</xdr:col>
                <xdr:colOff>220980</xdr:colOff>
                <xdr:row>1</xdr:row>
                <xdr:rowOff>114300</xdr:rowOff>
              </from>
              <to>
                <xdr:col>18</xdr:col>
                <xdr:colOff>480060</xdr:colOff>
                <xdr:row>5</xdr:row>
                <xdr:rowOff>22860</xdr:rowOff>
              </to>
            </anchor>
          </controlPr>
        </control>
      </mc:Choice>
      <mc:Fallback>
        <control shapeId="6163"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tabColor indexed="13"/>
  </sheetPr>
  <dimension ref="B1:R71"/>
  <sheetViews>
    <sheetView topLeftCell="A7" zoomScaleNormal="100" zoomScaleSheetLayoutView="85" workbookViewId="0">
      <selection activeCell="O26" sqref="O26"/>
    </sheetView>
  </sheetViews>
  <sheetFormatPr defaultColWidth="9.109375" defaultRowHeight="13.2" x14ac:dyDescent="0.25"/>
  <cols>
    <col min="1" max="1" width="0.88671875" style="99" customWidth="1"/>
    <col min="2" max="2" width="1" style="99" customWidth="1"/>
    <col min="3" max="3" width="12.33203125" style="99" customWidth="1"/>
    <col min="4" max="4" width="9.44140625" style="99" customWidth="1"/>
    <col min="5" max="5" width="11.33203125" style="99" customWidth="1"/>
    <col min="6" max="6" width="7.5546875" style="99" customWidth="1"/>
    <col min="7" max="7" width="7.33203125" style="99" customWidth="1"/>
    <col min="8" max="8" width="6.44140625" style="99" customWidth="1"/>
    <col min="9" max="9" width="11.44140625" style="99" customWidth="1"/>
    <col min="10" max="10" width="4.44140625" style="99" customWidth="1"/>
    <col min="11" max="11" width="7.88671875" style="99" customWidth="1"/>
    <col min="12" max="12" width="3" style="99" customWidth="1"/>
    <col min="13" max="13" width="6.44140625" style="99" customWidth="1"/>
    <col min="14" max="14" width="9.5546875" style="99" customWidth="1"/>
    <col min="15" max="15" width="11" style="99" customWidth="1"/>
    <col min="16" max="16" width="1" style="99" customWidth="1"/>
    <col min="17" max="17" width="3.88671875" style="99" customWidth="1"/>
    <col min="18" max="18" width="18.33203125" style="99" customWidth="1"/>
    <col min="19" max="19" width="9.109375" style="99"/>
    <col min="20" max="20" width="34.88671875" style="99" customWidth="1"/>
    <col min="21" max="23" width="9.109375" style="99"/>
    <col min="24" max="24" width="24.33203125" style="99" customWidth="1"/>
    <col min="25" max="16384" width="9.109375" style="99"/>
  </cols>
  <sheetData>
    <row r="1" spans="2:18" ht="3" customHeight="1" x14ac:dyDescent="0.25"/>
    <row r="2" spans="2:18" ht="12" customHeight="1" x14ac:dyDescent="0.25">
      <c r="B2" s="130"/>
      <c r="C2" s="549" t="s">
        <v>2738</v>
      </c>
      <c r="D2" s="549"/>
      <c r="E2" s="549"/>
      <c r="F2" s="549"/>
      <c r="G2" s="549"/>
      <c r="H2" s="549"/>
      <c r="I2" s="549"/>
      <c r="J2" s="549"/>
      <c r="K2" s="549"/>
      <c r="L2" s="549"/>
      <c r="M2" s="549"/>
      <c r="N2" s="549"/>
      <c r="O2" s="549"/>
      <c r="P2" s="130"/>
    </row>
    <row r="3" spans="2:18" ht="15" x14ac:dyDescent="0.25">
      <c r="B3" s="175"/>
      <c r="C3" s="176" t="s">
        <v>4206</v>
      </c>
      <c r="D3" s="177"/>
      <c r="E3" s="178"/>
      <c r="F3" s="178"/>
      <c r="G3" s="178"/>
      <c r="H3" s="179"/>
      <c r="I3" s="180"/>
      <c r="J3" s="130"/>
      <c r="K3" s="521"/>
      <c r="L3" s="521"/>
      <c r="M3" s="521"/>
      <c r="N3" s="521"/>
      <c r="O3" s="181"/>
      <c r="P3" s="181"/>
      <c r="Q3" s="100"/>
    </row>
    <row r="4" spans="2:18" ht="3.75" customHeight="1" x14ac:dyDescent="0.25">
      <c r="B4" s="175"/>
      <c r="C4" s="177"/>
      <c r="D4" s="177"/>
      <c r="E4" s="178"/>
      <c r="F4" s="179"/>
      <c r="G4" s="178"/>
      <c r="H4" s="179"/>
      <c r="I4" s="182"/>
      <c r="J4" s="182"/>
      <c r="K4" s="181"/>
      <c r="L4" s="181"/>
      <c r="M4" s="181"/>
      <c r="N4" s="181"/>
      <c r="O4" s="181"/>
      <c r="P4" s="181"/>
      <c r="Q4" s="100"/>
    </row>
    <row r="5" spans="2:18" ht="15" customHeight="1" x14ac:dyDescent="0.25">
      <c r="B5" s="175"/>
      <c r="C5" s="179"/>
      <c r="D5" s="530" t="str">
        <f>Контрагенты!B1</f>
        <v>УП "Белтехосмотр"</v>
      </c>
      <c r="E5" s="531"/>
      <c r="F5" s="531"/>
      <c r="G5" s="531"/>
      <c r="H5" s="531"/>
      <c r="I5" s="531"/>
      <c r="J5" s="184" t="s">
        <v>2093</v>
      </c>
      <c r="K5" s="550">
        <v>210</v>
      </c>
      <c r="L5" s="551"/>
      <c r="M5" s="551"/>
      <c r="N5" s="552"/>
      <c r="O5" s="185"/>
      <c r="P5" s="185"/>
      <c r="Q5" s="100"/>
    </row>
    <row r="6" spans="2:18" ht="15" x14ac:dyDescent="0.25">
      <c r="B6" s="175"/>
      <c r="C6" s="179"/>
      <c r="D6" s="498" t="str">
        <f>Контрагенты!I1</f>
        <v>220005, Минск, ул.Платонова, 22а-312</v>
      </c>
      <c r="E6" s="499"/>
      <c r="F6" s="499"/>
      <c r="G6" s="499"/>
      <c r="H6" s="499"/>
      <c r="I6" s="499"/>
      <c r="J6" s="184" t="s">
        <v>2096</v>
      </c>
      <c r="K6" s="546">
        <f ca="1">TODAY()</f>
        <v>42934</v>
      </c>
      <c r="L6" s="547"/>
      <c r="M6" s="547"/>
      <c r="N6" s="548"/>
      <c r="O6" s="187"/>
      <c r="P6" s="188"/>
      <c r="Q6" s="100"/>
      <c r="R6" s="101"/>
    </row>
    <row r="7" spans="2:18" ht="15" x14ac:dyDescent="0.25">
      <c r="B7" s="175"/>
      <c r="C7" s="179"/>
      <c r="D7" s="189" t="s">
        <v>308</v>
      </c>
      <c r="E7" s="183">
        <f>Контрагенты!C1</f>
        <v>190471274</v>
      </c>
      <c r="F7" s="190"/>
      <c r="G7" s="178"/>
      <c r="H7" s="191"/>
      <c r="I7" s="178"/>
      <c r="J7" s="178"/>
      <c r="K7" s="192" t="s">
        <v>3617</v>
      </c>
      <c r="L7" s="178"/>
      <c r="M7" s="178"/>
      <c r="N7" s="178"/>
      <c r="O7" s="178"/>
      <c r="P7" s="178"/>
      <c r="Q7" s="100"/>
    </row>
    <row r="8" spans="2:18" ht="15" x14ac:dyDescent="0.25">
      <c r="B8" s="175"/>
      <c r="C8" s="179"/>
      <c r="D8" s="189" t="s">
        <v>1799</v>
      </c>
      <c r="E8" s="193" t="str">
        <f>Контрагенты!D1</f>
        <v>37623374</v>
      </c>
      <c r="F8" s="178"/>
      <c r="G8" s="178"/>
      <c r="H8" s="191"/>
      <c r="I8" s="194"/>
      <c r="J8" s="184" t="s">
        <v>2093</v>
      </c>
      <c r="K8" s="102"/>
      <c r="L8" s="195" t="s">
        <v>4220</v>
      </c>
      <c r="M8" s="542"/>
      <c r="N8" s="542"/>
      <c r="O8" s="178"/>
      <c r="P8" s="178"/>
      <c r="Q8" s="100"/>
    </row>
    <row r="9" spans="2:18" ht="29.25" customHeight="1" x14ac:dyDescent="0.25">
      <c r="B9" s="175"/>
      <c r="C9" s="179"/>
      <c r="D9" s="503" t="str">
        <f>"Р/сч "&amp;Контрагенты!E1&amp;" в "&amp;Контрагенты!F1&amp;", код "&amp;Контрагенты!G1</f>
        <v>Р/сч BY03BPSB30121052530139330000 в Региональная дирекция №700 ОАО "БПС-Сбербанк", код BPSBBY2X</v>
      </c>
      <c r="E9" s="503"/>
      <c r="F9" s="503"/>
      <c r="G9" s="503"/>
      <c r="H9" s="503"/>
      <c r="I9" s="503"/>
      <c r="J9" s="196"/>
      <c r="K9" s="196"/>
      <c r="L9" s="178"/>
      <c r="M9" s="178"/>
      <c r="N9" s="178"/>
      <c r="O9" s="178"/>
      <c r="P9" s="178"/>
      <c r="Q9" s="100"/>
    </row>
    <row r="10" spans="2:18" ht="13.5" customHeight="1" x14ac:dyDescent="0.25">
      <c r="B10" s="175"/>
      <c r="C10" s="197"/>
      <c r="D10" s="198"/>
      <c r="E10" s="186"/>
      <c r="F10" s="186"/>
      <c r="G10" s="186"/>
      <c r="H10" s="178"/>
      <c r="I10" s="196"/>
      <c r="J10" s="199"/>
      <c r="K10" s="196"/>
      <c r="L10" s="178"/>
      <c r="M10" s="178"/>
      <c r="N10" s="178"/>
      <c r="O10" s="178"/>
      <c r="P10" s="178"/>
      <c r="Q10" s="100"/>
    </row>
    <row r="11" spans="2:18" ht="15" x14ac:dyDescent="0.25">
      <c r="B11" s="175"/>
      <c r="C11" s="176" t="s">
        <v>2725</v>
      </c>
      <c r="D11" s="183"/>
      <c r="E11" s="183"/>
      <c r="F11" s="183"/>
      <c r="G11" s="183"/>
      <c r="H11" s="178"/>
      <c r="I11" s="196"/>
      <c r="J11" s="196"/>
      <c r="K11" s="196"/>
      <c r="L11" s="178"/>
      <c r="M11" s="178"/>
      <c r="N11" s="178"/>
      <c r="O11" s="178"/>
      <c r="P11" s="178"/>
      <c r="Q11" s="100"/>
    </row>
    <row r="12" spans="2:18" ht="4.5" customHeight="1" x14ac:dyDescent="0.25">
      <c r="B12" s="175"/>
      <c r="C12" s="200"/>
      <c r="D12" s="183"/>
      <c r="E12" s="183"/>
      <c r="F12" s="183"/>
      <c r="G12" s="183"/>
      <c r="H12" s="178"/>
      <c r="I12" s="196"/>
      <c r="J12" s="196"/>
      <c r="K12" s="196"/>
      <c r="L12" s="178"/>
      <c r="M12" s="178"/>
      <c r="N12" s="178"/>
      <c r="O12" s="178"/>
      <c r="P12" s="178"/>
      <c r="Q12" s="100"/>
    </row>
    <row r="13" spans="2:18" ht="15.75" customHeight="1" x14ac:dyDescent="0.25">
      <c r="B13" s="175"/>
      <c r="C13" s="179"/>
      <c r="D13" s="524" t="str">
        <f>VLOOKUP(Контрагенты!A1,Контрагенты!A2:M2502,2)</f>
        <v>ООО "НИКИТИН"</v>
      </c>
      <c r="E13" s="524"/>
      <c r="F13" s="524"/>
      <c r="G13" s="524"/>
      <c r="H13" s="524"/>
      <c r="I13" s="524"/>
      <c r="J13" s="196"/>
      <c r="K13" s="196"/>
      <c r="L13" s="178"/>
      <c r="M13" s="178"/>
      <c r="N13" s="178"/>
      <c r="O13" s="178"/>
      <c r="P13" s="178"/>
      <c r="Q13" s="100"/>
    </row>
    <row r="14" spans="2:18" ht="23.25" customHeight="1" x14ac:dyDescent="0.25">
      <c r="B14" s="175"/>
      <c r="C14" s="179"/>
      <c r="D14" s="515" t="str">
        <f>IF((VLOOKUP(Контрагенты!A1,Контрагенты!A2:M2502,9))&gt;"",VLOOKUP(Контрагенты!A1,Контрагенты!A2:M2502,9),"")</f>
        <v>223141 г. Логойск, ул. Победы,102 к.1</v>
      </c>
      <c r="E14" s="515"/>
      <c r="F14" s="515"/>
      <c r="G14" s="515"/>
      <c r="H14" s="515"/>
      <c r="I14" s="515"/>
      <c r="J14" s="515"/>
      <c r="K14" s="515"/>
      <c r="L14" s="515"/>
      <c r="M14" s="515"/>
      <c r="N14" s="515"/>
      <c r="O14" s="515"/>
      <c r="P14" s="178"/>
      <c r="Q14" s="100"/>
    </row>
    <row r="15" spans="2:18" ht="15" x14ac:dyDescent="0.25">
      <c r="B15" s="175"/>
      <c r="C15" s="179"/>
      <c r="D15" s="189" t="s">
        <v>308</v>
      </c>
      <c r="E15" s="201">
        <f>IF((VLOOKUP(Контрагенты!A1,Контрагенты!A2:M2502,3))&lt;"0",VLOOKUP(Контрагенты!A1,Контрагенты!A2:M2502,3),"")</f>
        <v>190634264</v>
      </c>
      <c r="F15" s="202"/>
      <c r="G15" s="202"/>
      <c r="H15" s="178"/>
      <c r="I15" s="196"/>
      <c r="J15" s="196"/>
      <c r="K15" s="196"/>
      <c r="L15" s="178"/>
      <c r="M15" s="178"/>
      <c r="N15" s="178"/>
      <c r="O15" s="178"/>
      <c r="P15" s="178"/>
      <c r="Q15" s="100"/>
    </row>
    <row r="16" spans="2:18" ht="15" x14ac:dyDescent="0.25">
      <c r="B16" s="175"/>
      <c r="C16" s="179"/>
      <c r="D16" s="189" t="s">
        <v>1799</v>
      </c>
      <c r="E16" s="201" t="str">
        <f>IF((VLOOKUP(Контрагенты!A1,Контрагенты!A2:M2502,4))&gt;"0",VLOOKUP(Контрагенты!A1,Контрагенты!A2:M2502,4),"")</f>
        <v>37669821</v>
      </c>
      <c r="F16" s="202"/>
      <c r="G16" s="202"/>
      <c r="H16" s="178"/>
      <c r="I16" s="196"/>
      <c r="J16" s="196"/>
      <c r="K16" s="196"/>
      <c r="L16" s="178"/>
      <c r="M16" s="178"/>
      <c r="N16" s="178"/>
      <c r="O16" s="178"/>
      <c r="P16" s="178"/>
      <c r="Q16" s="100"/>
    </row>
    <row r="17" spans="2:17" ht="13.5" customHeight="1" x14ac:dyDescent="0.25">
      <c r="B17" s="175"/>
      <c r="C17" s="197"/>
      <c r="D17" s="203" t="str">
        <f>INDEX(Контрагенты!J9:J1165,Выбор!$B$44)</f>
        <v>Баховчук М.В.</v>
      </c>
      <c r="E17" s="203"/>
      <c r="F17" s="203"/>
      <c r="G17" s="203"/>
      <c r="H17" s="203"/>
      <c r="I17" s="203"/>
      <c r="J17" s="204"/>
      <c r="K17" s="205"/>
      <c r="L17" s="206"/>
      <c r="M17" s="206"/>
      <c r="N17" s="206"/>
      <c r="O17" s="206"/>
      <c r="P17" s="178"/>
      <c r="Q17" s="100"/>
    </row>
    <row r="18" spans="2:17" ht="13.5" customHeight="1" x14ac:dyDescent="0.25">
      <c r="B18" s="175"/>
      <c r="C18" s="197"/>
      <c r="D18" s="207"/>
      <c r="E18" s="207"/>
      <c r="F18" s="207"/>
      <c r="G18" s="207"/>
      <c r="H18" s="207"/>
      <c r="I18" s="207"/>
      <c r="J18" s="204"/>
      <c r="K18" s="205"/>
      <c r="L18" s="206"/>
      <c r="M18" s="206"/>
      <c r="N18" s="206"/>
      <c r="O18" s="206"/>
      <c r="P18" s="178"/>
      <c r="Q18" s="100"/>
    </row>
    <row r="19" spans="2:17" ht="15" customHeight="1" x14ac:dyDescent="0.25">
      <c r="B19" s="130"/>
      <c r="C19" s="208"/>
      <c r="D19" s="178"/>
      <c r="E19" s="178"/>
      <c r="F19" s="178"/>
      <c r="G19" s="178"/>
      <c r="H19" s="178"/>
      <c r="I19" s="178"/>
      <c r="J19" s="178"/>
      <c r="K19" s="178"/>
      <c r="L19" s="178"/>
      <c r="M19" s="130"/>
      <c r="N19" s="130"/>
      <c r="O19" s="130"/>
      <c r="P19" s="130"/>
    </row>
    <row r="20" spans="2:17" ht="10.5" customHeight="1" x14ac:dyDescent="0.25">
      <c r="B20" s="130"/>
      <c r="C20" s="209"/>
      <c r="D20" s="178"/>
      <c r="E20" s="178"/>
      <c r="F20" s="178"/>
      <c r="G20" s="178"/>
      <c r="H20" s="178"/>
      <c r="I20" s="178"/>
      <c r="J20" s="178"/>
      <c r="K20" s="178"/>
      <c r="L20" s="178"/>
      <c r="M20" s="130"/>
      <c r="N20" s="130"/>
      <c r="O20" s="130"/>
      <c r="P20" s="130"/>
    </row>
    <row r="21" spans="2:17" s="103" customFormat="1" ht="40.799999999999997" x14ac:dyDescent="0.25">
      <c r="B21" s="210"/>
      <c r="C21" s="516" t="s">
        <v>908</v>
      </c>
      <c r="D21" s="517"/>
      <c r="E21" s="517"/>
      <c r="F21" s="518"/>
      <c r="G21" s="104" t="s">
        <v>525</v>
      </c>
      <c r="H21" s="105" t="s">
        <v>192</v>
      </c>
      <c r="I21" s="106" t="s">
        <v>3608</v>
      </c>
      <c r="J21" s="107"/>
      <c r="K21" s="519" t="s">
        <v>3522</v>
      </c>
      <c r="L21" s="520"/>
      <c r="M21" s="108" t="s">
        <v>2679</v>
      </c>
      <c r="N21" s="109" t="s">
        <v>3523</v>
      </c>
      <c r="O21" s="110" t="s">
        <v>4208</v>
      </c>
      <c r="P21" s="211"/>
    </row>
    <row r="22" spans="2:17" x14ac:dyDescent="0.25">
      <c r="B22" s="130"/>
      <c r="C22" s="543" t="s">
        <v>1822</v>
      </c>
      <c r="D22" s="544"/>
      <c r="E22" s="544"/>
      <c r="F22" s="544"/>
      <c r="G22" s="544"/>
      <c r="H22" s="544"/>
      <c r="I22" s="544"/>
      <c r="J22" s="544"/>
      <c r="K22" s="544"/>
      <c r="L22" s="544"/>
      <c r="M22" s="544"/>
      <c r="N22" s="544"/>
      <c r="O22" s="545"/>
      <c r="P22" s="212"/>
    </row>
    <row r="23" spans="2:17" ht="39.9" customHeight="1" x14ac:dyDescent="0.25">
      <c r="B23" s="130"/>
      <c r="C23" s="508" t="str">
        <f>IF((INDEX(Тарифы!$B$5:$B$163,Выбор!$D44))&gt;"",INDEX(Тарифы!$B$5:$B$163,Выбор!$D44),"")</f>
        <v>Проверка степени светопропускания стекол</v>
      </c>
      <c r="D23" s="509"/>
      <c r="E23" s="509"/>
      <c r="F23" s="510"/>
      <c r="G23" s="111"/>
      <c r="H23" s="112">
        <f>Выбор!F8</f>
        <v>1</v>
      </c>
      <c r="I23" s="386">
        <f>Выбор!G8</f>
        <v>3.08</v>
      </c>
      <c r="J23" s="114"/>
      <c r="K23" s="540">
        <f>Выбор!H8</f>
        <v>3.08</v>
      </c>
      <c r="L23" s="541"/>
      <c r="M23" s="115" t="str">
        <f>Выбор!I8</f>
        <v>20%</v>
      </c>
      <c r="N23" s="387">
        <f>Выбор!J8</f>
        <v>0.62</v>
      </c>
      <c r="O23" s="388">
        <f>Выбор!K8</f>
        <v>3.7</v>
      </c>
      <c r="P23" s="213"/>
      <c r="Q23" s="103"/>
    </row>
    <row r="24" spans="2:17" ht="39.9" customHeight="1" x14ac:dyDescent="0.25">
      <c r="B24" s="130"/>
      <c r="C24" s="508" t="str">
        <f>IF((INDEX(Тарифы!$B$5:$B$163,Выбор!$D45))&gt;"",INDEX(Тарифы!$B$5:$B$163,Выбор!$D45),"")</f>
        <v/>
      </c>
      <c r="D24" s="509"/>
      <c r="E24" s="509"/>
      <c r="F24" s="510"/>
      <c r="G24" s="111"/>
      <c r="H24" s="112">
        <f>Выбор!F9</f>
        <v>0</v>
      </c>
      <c r="I24" s="386">
        <f>Выбор!G9</f>
        <v>0</v>
      </c>
      <c r="J24" s="114"/>
      <c r="K24" s="540">
        <f>Выбор!H9</f>
        <v>0</v>
      </c>
      <c r="L24" s="541"/>
      <c r="M24" s="115" t="str">
        <f>Выбор!I9</f>
        <v/>
      </c>
      <c r="N24" s="387">
        <f>Выбор!J9</f>
        <v>0</v>
      </c>
      <c r="O24" s="388">
        <f>Выбор!K9</f>
        <v>0</v>
      </c>
      <c r="P24" s="213"/>
      <c r="Q24" s="103"/>
    </row>
    <row r="25" spans="2:17" ht="39.9" customHeight="1" x14ac:dyDescent="0.25">
      <c r="B25" s="130"/>
      <c r="C25" s="508" t="str">
        <f>IF((INDEX(Тарифы!$B$5:$B$163,Выбор!$D46))&gt;"",INDEX(Тарифы!$B$5:$B$163,Выбор!$D46),"")</f>
        <v/>
      </c>
      <c r="D25" s="509"/>
      <c r="E25" s="509"/>
      <c r="F25" s="510"/>
      <c r="G25" s="111"/>
      <c r="H25" s="112">
        <f>Выбор!F10</f>
        <v>0</v>
      </c>
      <c r="I25" s="386">
        <f>Выбор!G10</f>
        <v>0</v>
      </c>
      <c r="J25" s="114"/>
      <c r="K25" s="540">
        <f>Выбор!H10</f>
        <v>0</v>
      </c>
      <c r="L25" s="541"/>
      <c r="M25" s="115" t="str">
        <f>Выбор!I10</f>
        <v/>
      </c>
      <c r="N25" s="387">
        <f>Выбор!J10</f>
        <v>0</v>
      </c>
      <c r="O25" s="388">
        <f>Выбор!K10</f>
        <v>0</v>
      </c>
      <c r="P25" s="212"/>
      <c r="Q25" s="116"/>
    </row>
    <row r="26" spans="2:17" ht="39.9" customHeight="1" x14ac:dyDescent="0.25">
      <c r="B26" s="130"/>
      <c r="C26" s="508" t="str">
        <f>IF((INDEX(Тарифы!$B$5:$B$163,Выбор!$D47))&gt;"",INDEX(Тарифы!$B$5:$B$163,Выбор!$D47),"")</f>
        <v/>
      </c>
      <c r="D26" s="509"/>
      <c r="E26" s="509"/>
      <c r="F26" s="510"/>
      <c r="G26" s="111"/>
      <c r="H26" s="112">
        <f>Выбор!F11</f>
        <v>0</v>
      </c>
      <c r="I26" s="386">
        <f>Выбор!G11</f>
        <v>0</v>
      </c>
      <c r="J26" s="114"/>
      <c r="K26" s="540">
        <f>Выбор!H11</f>
        <v>0</v>
      </c>
      <c r="L26" s="541"/>
      <c r="M26" s="115" t="str">
        <f>Выбор!I11</f>
        <v/>
      </c>
      <c r="N26" s="387">
        <f>Выбор!J11</f>
        <v>0</v>
      </c>
      <c r="O26" s="388">
        <f>Выбор!K11</f>
        <v>0</v>
      </c>
      <c r="P26" s="212"/>
      <c r="Q26" s="116"/>
    </row>
    <row r="27" spans="2:17" ht="39.9" customHeight="1" x14ac:dyDescent="0.25">
      <c r="B27" s="130"/>
      <c r="C27" s="508" t="str">
        <f>IF((INDEX(Тарифы!$B$5:$B$163,Выбор!$D48))&gt;"",INDEX(Тарифы!$B$5:$B$163,Выбор!$D48),"")</f>
        <v/>
      </c>
      <c r="D27" s="509"/>
      <c r="E27" s="509"/>
      <c r="F27" s="510"/>
      <c r="G27" s="111"/>
      <c r="H27" s="112">
        <f>Выбор!F12</f>
        <v>0</v>
      </c>
      <c r="I27" s="386">
        <f>Выбор!G12</f>
        <v>0</v>
      </c>
      <c r="J27" s="114"/>
      <c r="K27" s="540">
        <f>Выбор!H12</f>
        <v>0</v>
      </c>
      <c r="L27" s="541"/>
      <c r="M27" s="115" t="str">
        <f>Выбор!I12</f>
        <v/>
      </c>
      <c r="N27" s="387">
        <f>Выбор!J12</f>
        <v>0</v>
      </c>
      <c r="O27" s="388">
        <f>Выбор!K12</f>
        <v>0</v>
      </c>
      <c r="P27" s="212"/>
      <c r="Q27" s="116"/>
    </row>
    <row r="28" spans="2:17" ht="39.9" customHeight="1" x14ac:dyDescent="0.25">
      <c r="B28" s="130"/>
      <c r="C28" s="508" t="str">
        <f>IF((INDEX(Тарифы!$B$5:$B$163,Выбор!$D49))&gt;"",INDEX(Тарифы!$B$5:$B$163,Выбор!$D49),"")</f>
        <v/>
      </c>
      <c r="D28" s="509"/>
      <c r="E28" s="509"/>
      <c r="F28" s="510"/>
      <c r="G28" s="111"/>
      <c r="H28" s="112">
        <f>Выбор!F13</f>
        <v>0</v>
      </c>
      <c r="I28" s="386">
        <f>Выбор!G13</f>
        <v>0</v>
      </c>
      <c r="J28" s="114"/>
      <c r="K28" s="540">
        <f>Выбор!H13</f>
        <v>0</v>
      </c>
      <c r="L28" s="541"/>
      <c r="M28" s="115" t="str">
        <f>Выбор!I13</f>
        <v/>
      </c>
      <c r="N28" s="387">
        <f>Выбор!J13</f>
        <v>0</v>
      </c>
      <c r="O28" s="388">
        <f>Выбор!K13</f>
        <v>0</v>
      </c>
      <c r="P28" s="212"/>
      <c r="Q28" s="116"/>
    </row>
    <row r="29" spans="2:17" ht="39.9" customHeight="1" x14ac:dyDescent="0.25">
      <c r="B29" s="130"/>
      <c r="C29" s="508" t="str">
        <f>IF((INDEX(Тарифы!$B$5:$B$163,Выбор!$D50))&gt;"",INDEX(Тарифы!$B$5:$B$163,Выбор!$D50),"")</f>
        <v/>
      </c>
      <c r="D29" s="509"/>
      <c r="E29" s="509"/>
      <c r="F29" s="510"/>
      <c r="G29" s="111"/>
      <c r="H29" s="112">
        <f>Выбор!F14</f>
        <v>0</v>
      </c>
      <c r="I29" s="386">
        <f>Выбор!G14</f>
        <v>0</v>
      </c>
      <c r="J29" s="114"/>
      <c r="K29" s="540">
        <f>Выбор!H14</f>
        <v>0</v>
      </c>
      <c r="L29" s="541"/>
      <c r="M29" s="115" t="str">
        <f>Выбор!I14</f>
        <v/>
      </c>
      <c r="N29" s="387">
        <f>Выбор!J14</f>
        <v>0</v>
      </c>
      <c r="O29" s="388">
        <f>Выбор!K14</f>
        <v>0</v>
      </c>
      <c r="P29" s="212"/>
      <c r="Q29" s="116"/>
    </row>
    <row r="30" spans="2:17" ht="39.9" customHeight="1" x14ac:dyDescent="0.25">
      <c r="B30" s="130"/>
      <c r="C30" s="508" t="str">
        <f>IF((INDEX(Тарифы!$B$5:$B$163,Выбор!$D51))&gt;"",INDEX(Тарифы!$B$5:$B$163,Выбор!$D51),"")</f>
        <v/>
      </c>
      <c r="D30" s="509"/>
      <c r="E30" s="509"/>
      <c r="F30" s="510"/>
      <c r="G30" s="111"/>
      <c r="H30" s="112">
        <f>Выбор!F15</f>
        <v>0</v>
      </c>
      <c r="I30" s="386">
        <f>Выбор!G15</f>
        <v>0</v>
      </c>
      <c r="J30" s="114"/>
      <c r="K30" s="540">
        <f>Выбор!H15</f>
        <v>0</v>
      </c>
      <c r="L30" s="541"/>
      <c r="M30" s="115" t="str">
        <f>Выбор!I15</f>
        <v/>
      </c>
      <c r="N30" s="387">
        <f>Выбор!J15</f>
        <v>0</v>
      </c>
      <c r="O30" s="388">
        <f>Выбор!K15</f>
        <v>0</v>
      </c>
      <c r="P30" s="212"/>
      <c r="Q30" s="117" t="s">
        <v>2813</v>
      </c>
    </row>
    <row r="31" spans="2:17" ht="16.5" customHeight="1" x14ac:dyDescent="0.25">
      <c r="B31" s="130"/>
      <c r="C31" s="118" t="s">
        <v>2814</v>
      </c>
      <c r="D31" s="119"/>
      <c r="E31" s="120" t="s">
        <v>967</v>
      </c>
      <c r="F31" s="120"/>
      <c r="G31" s="121"/>
      <c r="H31" s="121" t="s">
        <v>967</v>
      </c>
      <c r="I31" s="122" t="s">
        <v>967</v>
      </c>
      <c r="J31" s="123"/>
      <c r="K31" s="507">
        <f>SUM(K23:L30)</f>
        <v>3.08</v>
      </c>
      <c r="L31" s="507"/>
      <c r="M31" s="124"/>
      <c r="N31" s="389">
        <f>SUM(N23:N30)</f>
        <v>0.62</v>
      </c>
      <c r="O31" s="390">
        <f>SUM(O23:O30)</f>
        <v>3.7</v>
      </c>
      <c r="P31" s="212"/>
    </row>
    <row r="32" spans="2:17" s="103" customFormat="1" ht="16.5" customHeight="1" x14ac:dyDescent="0.25">
      <c r="B32" s="210"/>
      <c r="C32" s="532" t="s">
        <v>474</v>
      </c>
      <c r="D32" s="533"/>
      <c r="E32" s="125" t="e">
        <f ca="1">ПрописьБелРуб(N31,)</f>
        <v>#NAME?</v>
      </c>
      <c r="F32" s="125"/>
      <c r="G32" s="125"/>
      <c r="H32" s="125"/>
      <c r="I32" s="125"/>
      <c r="J32" s="125"/>
      <c r="K32" s="125"/>
      <c r="L32" s="125"/>
      <c r="M32" s="125"/>
      <c r="N32" s="125"/>
      <c r="O32" s="126"/>
      <c r="P32" s="214"/>
    </row>
    <row r="33" spans="2:16" s="103" customFormat="1" ht="25.5" customHeight="1" x14ac:dyDescent="0.25">
      <c r="B33" s="210"/>
      <c r="C33" s="534" t="s">
        <v>4229</v>
      </c>
      <c r="D33" s="535"/>
      <c r="E33" s="536" t="e">
        <f ca="1">ПрописьБелРуб(O31,)</f>
        <v>#NAME?</v>
      </c>
      <c r="F33" s="536"/>
      <c r="G33" s="536"/>
      <c r="H33" s="536"/>
      <c r="I33" s="536"/>
      <c r="J33" s="536"/>
      <c r="K33" s="536"/>
      <c r="L33" s="536"/>
      <c r="M33" s="536"/>
      <c r="N33" s="536"/>
      <c r="O33" s="537"/>
      <c r="P33" s="215"/>
    </row>
    <row r="34" spans="2:16" s="103" customFormat="1" ht="19.5" customHeight="1" x14ac:dyDescent="0.25">
      <c r="B34" s="210"/>
      <c r="C34" s="127" t="s">
        <v>501</v>
      </c>
      <c r="D34" s="128"/>
      <c r="E34" s="129"/>
      <c r="F34" s="129"/>
      <c r="G34" s="129"/>
      <c r="H34" s="129"/>
      <c r="I34" s="129"/>
      <c r="J34" s="129"/>
      <c r="K34" s="129"/>
      <c r="L34" s="129"/>
      <c r="M34" s="129"/>
      <c r="N34" s="129"/>
      <c r="O34" s="129"/>
      <c r="P34" s="215"/>
    </row>
    <row r="35" spans="2:16" s="103" customFormat="1" x14ac:dyDescent="0.25">
      <c r="B35" s="210"/>
      <c r="C35" s="538" t="s">
        <v>1767</v>
      </c>
      <c r="D35" s="539"/>
      <c r="E35" s="539"/>
      <c r="F35" s="539"/>
      <c r="G35" s="539"/>
      <c r="H35" s="539"/>
      <c r="I35" s="539"/>
      <c r="J35" s="539"/>
      <c r="K35" s="539"/>
      <c r="L35" s="539"/>
      <c r="M35" s="539"/>
      <c r="N35" s="539"/>
      <c r="O35" s="539"/>
      <c r="P35" s="215"/>
    </row>
    <row r="36" spans="2:16" x14ac:dyDescent="0.25">
      <c r="B36" s="130"/>
      <c r="C36" s="216" t="s">
        <v>3237</v>
      </c>
      <c r="D36" s="217"/>
      <c r="E36" s="218"/>
      <c r="F36" s="218"/>
      <c r="G36" s="218"/>
      <c r="H36" s="218"/>
      <c r="I36" s="219"/>
      <c r="J36" s="219"/>
      <c r="K36" s="219"/>
      <c r="L36" s="219"/>
      <c r="M36" s="220"/>
      <c r="N36" s="220"/>
      <c r="O36" s="220"/>
      <c r="P36" s="221"/>
    </row>
    <row r="37" spans="2:16" x14ac:dyDescent="0.25">
      <c r="B37" s="130"/>
      <c r="C37" s="199"/>
      <c r="D37" s="222"/>
      <c r="E37" s="223"/>
      <c r="F37" s="223"/>
      <c r="G37" s="223"/>
      <c r="H37" s="223"/>
      <c r="I37" s="224"/>
      <c r="J37" s="225"/>
      <c r="K37" s="225"/>
      <c r="L37" s="225"/>
      <c r="M37" s="226"/>
      <c r="N37" s="226"/>
      <c r="O37" s="226"/>
      <c r="P37" s="221"/>
    </row>
    <row r="38" spans="2:16" ht="14.25" hidden="1" customHeight="1" x14ac:dyDescent="0.25">
      <c r="B38" s="130"/>
      <c r="C38" s="199"/>
      <c r="D38" s="222"/>
      <c r="E38" s="223"/>
      <c r="F38" s="223"/>
      <c r="G38" s="223"/>
      <c r="H38" s="223"/>
      <c r="I38" s="224"/>
      <c r="J38" s="225"/>
      <c r="K38" s="225"/>
      <c r="L38" s="225"/>
      <c r="M38" s="226"/>
      <c r="N38" s="226"/>
      <c r="O38" s="226"/>
      <c r="P38" s="221"/>
    </row>
    <row r="39" spans="2:16" ht="14.25" hidden="1" customHeight="1" x14ac:dyDescent="0.25">
      <c r="B39" s="130"/>
      <c r="C39" s="130"/>
      <c r="D39" s="222"/>
      <c r="E39" s="223"/>
      <c r="F39" s="223"/>
      <c r="G39" s="223"/>
      <c r="H39" s="223"/>
      <c r="I39" s="224"/>
      <c r="J39" s="225"/>
      <c r="K39" s="225"/>
      <c r="L39" s="225"/>
      <c r="M39" s="226"/>
      <c r="N39" s="226"/>
      <c r="O39" s="226"/>
      <c r="P39" s="221"/>
    </row>
    <row r="40" spans="2:16" ht="14.25" hidden="1" customHeight="1" x14ac:dyDescent="0.25">
      <c r="B40" s="130"/>
      <c r="C40" s="130"/>
      <c r="D40" s="222"/>
      <c r="E40" s="223"/>
      <c r="F40" s="223"/>
      <c r="G40" s="223"/>
      <c r="H40" s="223"/>
      <c r="I40" s="224"/>
      <c r="J40" s="225"/>
      <c r="K40" s="225"/>
      <c r="L40" s="225"/>
      <c r="M40" s="226"/>
      <c r="N40" s="226"/>
      <c r="O40" s="226"/>
      <c r="P40" s="221"/>
    </row>
    <row r="41" spans="2:16" ht="13.5" hidden="1" customHeight="1" x14ac:dyDescent="0.25">
      <c r="B41" s="130"/>
      <c r="C41" s="131"/>
      <c r="D41" s="132"/>
      <c r="E41" s="131"/>
      <c r="F41" s="227"/>
      <c r="G41" s="130"/>
      <c r="H41" s="504"/>
      <c r="I41" s="504"/>
      <c r="J41" s="228"/>
      <c r="K41" s="130"/>
      <c r="L41" s="522"/>
      <c r="M41" s="522"/>
      <c r="N41" s="522"/>
      <c r="O41" s="226"/>
      <c r="P41" s="221"/>
    </row>
    <row r="42" spans="2:16" ht="12.75" hidden="1" customHeight="1" x14ac:dyDescent="0.25">
      <c r="B42" s="130"/>
      <c r="C42" s="131"/>
      <c r="D42" s="131"/>
      <c r="E42" s="218"/>
      <c r="F42" s="218"/>
      <c r="G42" s="218"/>
      <c r="H42" s="218"/>
      <c r="I42" s="219"/>
      <c r="J42" s="219"/>
      <c r="K42" s="219"/>
      <c r="L42" s="219"/>
      <c r="M42" s="220"/>
      <c r="N42" s="220"/>
      <c r="O42" s="220"/>
      <c r="P42" s="221"/>
    </row>
    <row r="43" spans="2:16" ht="12.75" customHeight="1" x14ac:dyDescent="0.25">
      <c r="B43" s="130"/>
      <c r="C43" s="229"/>
      <c r="D43" s="217"/>
      <c r="E43" s="230"/>
      <c r="F43" s="230"/>
      <c r="G43" s="230"/>
      <c r="H43" s="230"/>
      <c r="I43" s="231"/>
      <c r="J43" s="232"/>
      <c r="K43" s="232"/>
      <c r="L43" s="232"/>
      <c r="M43" s="233"/>
      <c r="N43" s="233"/>
      <c r="O43" s="233"/>
      <c r="P43" s="221"/>
    </row>
    <row r="44" spans="2:16" x14ac:dyDescent="0.25">
      <c r="B44" s="130"/>
      <c r="C44" s="176" t="s">
        <v>4206</v>
      </c>
      <c r="D44" s="234"/>
      <c r="E44" s="200"/>
      <c r="F44" s="200"/>
      <c r="G44" s="235"/>
      <c r="H44" s="235"/>
      <c r="I44" s="178"/>
      <c r="J44" s="176"/>
      <c r="K44" s="236"/>
      <c r="L44" s="178"/>
      <c r="M44" s="179"/>
      <c r="N44" s="179"/>
      <c r="O44" s="179"/>
      <c r="P44" s="130"/>
    </row>
    <row r="45" spans="2:16" ht="15.75" customHeight="1" x14ac:dyDescent="0.25">
      <c r="B45" s="130"/>
      <c r="C45" s="200" t="str">
        <f>Контрагенты!B1</f>
        <v>УП "Белтехосмотр"</v>
      </c>
      <c r="D45" s="237"/>
      <c r="E45" s="238"/>
      <c r="F45" s="238"/>
      <c r="G45" s="235"/>
      <c r="H45" s="238"/>
      <c r="I45" s="235"/>
      <c r="J45" s="235"/>
      <c r="K45" s="238"/>
      <c r="L45" s="235"/>
      <c r="M45" s="238"/>
      <c r="N45" s="238"/>
      <c r="O45" s="130"/>
      <c r="P45" s="130"/>
    </row>
    <row r="46" spans="2:16" ht="14.25" customHeight="1" x14ac:dyDescent="0.25">
      <c r="B46" s="130"/>
      <c r="C46" s="200" t="str">
        <f>Контрагенты!I1</f>
        <v>220005, Минск, ул.Платонова, 22а-312</v>
      </c>
      <c r="D46" s="237"/>
      <c r="E46" s="238"/>
      <c r="F46" s="238"/>
      <c r="G46" s="235"/>
      <c r="H46" s="238"/>
      <c r="I46" s="235"/>
      <c r="J46" s="235"/>
      <c r="K46" s="238"/>
      <c r="L46" s="235"/>
      <c r="M46" s="238"/>
      <c r="N46" s="238"/>
      <c r="O46" s="130"/>
      <c r="P46" s="130"/>
    </row>
    <row r="47" spans="2:16" ht="17.25" customHeight="1" x14ac:dyDescent="0.25">
      <c r="B47" s="130"/>
      <c r="C47" s="239" t="s">
        <v>308</v>
      </c>
      <c r="D47" s="201">
        <f>Контрагенты!C1</f>
        <v>190471274</v>
      </c>
      <c r="E47" s="238"/>
      <c r="F47" s="238"/>
      <c r="G47" s="235"/>
      <c r="H47" s="238"/>
      <c r="I47" s="235"/>
      <c r="J47" s="223"/>
      <c r="K47" s="238"/>
      <c r="L47" s="511"/>
      <c r="M47" s="512"/>
      <c r="N47" s="238"/>
      <c r="O47" s="130"/>
      <c r="P47" s="130"/>
    </row>
    <row r="48" spans="2:16" ht="17.25" customHeight="1" x14ac:dyDescent="0.25">
      <c r="B48" s="130"/>
      <c r="C48" s="239" t="s">
        <v>1799</v>
      </c>
      <c r="D48" s="240" t="str">
        <f>Контрагенты!D1</f>
        <v>37623374</v>
      </c>
      <c r="E48" s="238"/>
      <c r="F48" s="238"/>
      <c r="G48" s="235"/>
      <c r="H48" s="238"/>
      <c r="I48" s="235"/>
      <c r="J48" s="223"/>
      <c r="K48" s="238"/>
      <c r="L48" s="223"/>
      <c r="M48" s="241"/>
      <c r="N48" s="238"/>
      <c r="O48" s="130"/>
      <c r="P48" s="130"/>
    </row>
    <row r="49" spans="2:16" ht="17.25" customHeight="1" x14ac:dyDescent="0.25">
      <c r="B49" s="130"/>
      <c r="C49" s="239"/>
      <c r="D49" s="242"/>
      <c r="E49" s="238"/>
      <c r="F49" s="238"/>
      <c r="G49" s="235"/>
      <c r="H49" s="238"/>
      <c r="I49" s="235"/>
      <c r="J49" s="223"/>
      <c r="K49" s="238"/>
      <c r="L49" s="223"/>
      <c r="M49" s="241"/>
      <c r="N49" s="238"/>
      <c r="O49" s="130"/>
      <c r="P49" s="130"/>
    </row>
    <row r="50" spans="2:16" ht="17.25" customHeight="1" x14ac:dyDescent="0.25">
      <c r="B50" s="130"/>
      <c r="C50" s="243"/>
      <c r="D50" s="244"/>
      <c r="E50" s="245"/>
      <c r="F50" s="238"/>
      <c r="G50" s="235"/>
      <c r="H50" s="238"/>
      <c r="I50" s="235"/>
      <c r="J50" s="235"/>
      <c r="K50" s="238"/>
      <c r="L50" s="235"/>
      <c r="M50" s="238"/>
      <c r="N50" s="238"/>
      <c r="O50" s="130"/>
      <c r="P50" s="130"/>
    </row>
    <row r="51" spans="2:16" ht="25.5" customHeight="1" x14ac:dyDescent="0.25">
      <c r="B51" s="130"/>
      <c r="C51" s="178"/>
      <c r="D51" s="178" t="s">
        <v>4225</v>
      </c>
      <c r="E51" s="235"/>
      <c r="F51" s="235"/>
      <c r="G51" s="235"/>
      <c r="H51" s="235"/>
      <c r="I51" s="235"/>
      <c r="J51" s="238"/>
      <c r="K51" s="238"/>
      <c r="L51" s="235"/>
      <c r="M51" s="238"/>
      <c r="N51" s="238"/>
      <c r="O51" s="130"/>
      <c r="P51" s="130"/>
    </row>
    <row r="52" spans="2:16" ht="16.5" customHeight="1" x14ac:dyDescent="0.25">
      <c r="C52" s="100"/>
      <c r="D52" s="100"/>
      <c r="E52" s="251"/>
      <c r="F52" s="251"/>
      <c r="G52" s="251"/>
      <c r="H52" s="251"/>
      <c r="I52" s="251"/>
      <c r="J52" s="251"/>
      <c r="K52" s="100"/>
      <c r="L52" s="100"/>
    </row>
    <row r="53" spans="2:16" ht="50.25" customHeight="1" x14ac:dyDescent="0.25"/>
    <row r="56" spans="2:16" x14ac:dyDescent="0.25">
      <c r="C56" s="133">
        <v>2</v>
      </c>
    </row>
    <row r="58" spans="2:16" x14ac:dyDescent="0.25">
      <c r="C58" s="134" t="s">
        <v>3762</v>
      </c>
      <c r="D58" s="135"/>
      <c r="E58" s="135"/>
      <c r="F58" s="135"/>
      <c r="G58" s="135"/>
      <c r="H58" s="135"/>
    </row>
    <row r="59" spans="2:16" x14ac:dyDescent="0.25">
      <c r="C59" s="136" t="s">
        <v>3644</v>
      </c>
      <c r="D59" s="135"/>
      <c r="E59" s="135"/>
      <c r="F59" s="135"/>
      <c r="G59" s="135"/>
      <c r="H59" s="135"/>
    </row>
    <row r="60" spans="2:16" x14ac:dyDescent="0.25">
      <c r="C60" s="136" t="s">
        <v>3556</v>
      </c>
      <c r="D60" s="135"/>
      <c r="E60" s="135"/>
      <c r="F60" s="135"/>
      <c r="G60" s="135"/>
      <c r="H60" s="135"/>
    </row>
    <row r="61" spans="2:16" x14ac:dyDescent="0.25">
      <c r="C61" s="136" t="s">
        <v>2774</v>
      </c>
      <c r="D61" s="135"/>
      <c r="E61" s="135"/>
      <c r="F61" s="135"/>
      <c r="G61" s="135"/>
      <c r="H61" s="135"/>
    </row>
    <row r="62" spans="2:16" x14ac:dyDescent="0.25">
      <c r="C62" s="136" t="s">
        <v>1812</v>
      </c>
      <c r="D62" s="135"/>
      <c r="E62" s="135"/>
      <c r="F62" s="135"/>
      <c r="G62" s="135"/>
      <c r="H62" s="135"/>
    </row>
    <row r="63" spans="2:16" x14ac:dyDescent="0.25">
      <c r="C63" s="136" t="s">
        <v>817</v>
      </c>
      <c r="D63" s="135"/>
      <c r="E63" s="135"/>
      <c r="F63" s="135"/>
      <c r="G63" s="135"/>
      <c r="H63" s="135"/>
    </row>
    <row r="64" spans="2:16" x14ac:dyDescent="0.25">
      <c r="C64" s="136" t="s">
        <v>2652</v>
      </c>
      <c r="D64" s="135"/>
      <c r="E64" s="135"/>
      <c r="F64" s="135"/>
      <c r="G64" s="135"/>
      <c r="H64" s="135"/>
    </row>
    <row r="65" spans="3:8" x14ac:dyDescent="0.25">
      <c r="C65" s="136" t="s">
        <v>2884</v>
      </c>
      <c r="D65" s="135"/>
      <c r="E65" s="135"/>
      <c r="F65" s="135"/>
      <c r="G65" s="135"/>
      <c r="H65" s="135"/>
    </row>
    <row r="66" spans="3:8" x14ac:dyDescent="0.25">
      <c r="C66" s="136" t="s">
        <v>2786</v>
      </c>
      <c r="D66" s="135"/>
      <c r="E66" s="135"/>
      <c r="F66" s="135"/>
      <c r="G66" s="135"/>
      <c r="H66" s="135"/>
    </row>
    <row r="68" spans="3:8" x14ac:dyDescent="0.25">
      <c r="C68" s="135" t="s">
        <v>1536</v>
      </c>
    </row>
    <row r="69" spans="3:8" x14ac:dyDescent="0.25">
      <c r="C69" s="137" t="s">
        <v>919</v>
      </c>
    </row>
    <row r="70" spans="3:8" x14ac:dyDescent="0.25">
      <c r="C70" s="137" t="s">
        <v>920</v>
      </c>
    </row>
    <row r="71" spans="3:8" x14ac:dyDescent="0.25">
      <c r="C71" s="137" t="s">
        <v>426</v>
      </c>
    </row>
  </sheetData>
  <sheetProtection password="CC65" sheet="1"/>
  <customSheetViews>
    <customSheetView guid="{6F966CD8-707E-4C39-BF19-FBF54F1918BD}" showPageBreaks="1" printArea="1" hiddenRows="1" showRuler="0" topLeftCell="A25">
      <selection activeCell="G26" sqref="G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1"/>
      <headerFooter alignWithMargins="0"/>
    </customSheetView>
    <customSheetView guid="{E0E17C6E-C811-4170-82D5-EDD54F6164FB}" printArea="1" hiddenRows="1" showRuler="0" topLeftCell="A19">
      <selection activeCell="A23" sqref="A23:IV23"/>
      <colBreaks count="1" manualBreakCount="1">
        <brk id="16" max="1048575" man="1"/>
      </colBreaks>
      <pageMargins left="0.39370078740157483" right="0.39370078740157483" top="0.39370078740157483" bottom="0.39370078740157483" header="0.51181102362204722" footer="0.51181102362204722"/>
      <pageSetup paperSize="9" scale="88" orientation="portrait" verticalDpi="0" r:id="rId2"/>
      <headerFooter alignWithMargins="0"/>
    </customSheetView>
    <customSheetView guid="{21C840CC-AE35-4950-B5BD-32A7DE9BAC52}" showPageBreaks="1" printArea="1" hiddenRows="1" showRuler="0" topLeftCell="A7">
      <selection activeCell="H24" sqref="H24"/>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3"/>
      <headerFooter alignWithMargins="0"/>
    </customSheetView>
    <customSheetView guid="{17CF6293-B179-4C29-9312-7FBDD485BBFD}" showPageBreaks="1" printArea="1" hiddenRows="1" showRuler="0" topLeftCell="A16">
      <selection activeCell="N26" sqref="N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4"/>
      <headerFooter alignWithMargins="0"/>
    </customSheetView>
    <customSheetView guid="{B6FD7490-794E-482C-8B29-FB2AB6EB258C}" showPageBreaks="1" printArea="1" hiddenRows="1" showRuler="0">
      <selection activeCell="E33" sqref="E33:O33"/>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5"/>
      <headerFooter alignWithMargins="0"/>
    </customSheetView>
  </customSheetViews>
  <mergeCells count="37">
    <mergeCell ref="D6:I6"/>
    <mergeCell ref="K6:N6"/>
    <mergeCell ref="C2:O2"/>
    <mergeCell ref="K3:N3"/>
    <mergeCell ref="D5:I5"/>
    <mergeCell ref="K5:N5"/>
    <mergeCell ref="K26:L26"/>
    <mergeCell ref="C22:O22"/>
    <mergeCell ref="C23:F23"/>
    <mergeCell ref="K23:L23"/>
    <mergeCell ref="C24:F24"/>
    <mergeCell ref="C26:F26"/>
    <mergeCell ref="M8:N8"/>
    <mergeCell ref="D9:I9"/>
    <mergeCell ref="C25:F25"/>
    <mergeCell ref="K25:L25"/>
    <mergeCell ref="D13:I13"/>
    <mergeCell ref="C21:F21"/>
    <mergeCell ref="K21:L21"/>
    <mergeCell ref="D14:O14"/>
    <mergeCell ref="K24:L24"/>
    <mergeCell ref="C27:F27"/>
    <mergeCell ref="K27:L27"/>
    <mergeCell ref="C28:F28"/>
    <mergeCell ref="K28:L28"/>
    <mergeCell ref="C30:F30"/>
    <mergeCell ref="K30:L30"/>
    <mergeCell ref="C29:F29"/>
    <mergeCell ref="K29:L29"/>
    <mergeCell ref="L47:M47"/>
    <mergeCell ref="K31:L31"/>
    <mergeCell ref="C32:D32"/>
    <mergeCell ref="C33:D33"/>
    <mergeCell ref="E33:O33"/>
    <mergeCell ref="C35:O35"/>
    <mergeCell ref="H41:I41"/>
    <mergeCell ref="L41:N41"/>
  </mergeCells>
  <phoneticPr fontId="8" type="noConversion"/>
  <pageMargins left="0.39370078740157483" right="0.39370078740157483" top="0.39370078740157483" bottom="0.39370078740157483" header="0.51181102362204722" footer="0.51181102362204722"/>
  <pageSetup paperSize="9" scale="88" orientation="portrait" r:id="rId6"/>
  <headerFooter alignWithMargins="0"/>
  <colBreaks count="1" manualBreakCount="1">
    <brk id="16" max="1048575" man="1"/>
  </colBreaks>
  <legacy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indexed="43"/>
  </sheetPr>
  <dimension ref="A1:J4108"/>
  <sheetViews>
    <sheetView workbookViewId="0">
      <pane ySplit="1" topLeftCell="A3605" activePane="bottomLeft" state="frozenSplit"/>
      <selection pane="bottomLeft" activeCell="E179" sqref="E179"/>
    </sheetView>
  </sheetViews>
  <sheetFormatPr defaultRowHeight="13.2" x14ac:dyDescent="0.25"/>
  <cols>
    <col min="1" max="1" width="5.44140625" style="257" customWidth="1"/>
    <col min="2" max="2" width="6.109375" style="267" bestFit="1" customWidth="1"/>
    <col min="3" max="3" width="11.44140625" style="268" bestFit="1" customWidth="1"/>
    <col min="4" max="4" width="10.5546875" style="269" customWidth="1"/>
    <col min="5" max="5" width="54.33203125" style="270" bestFit="1" customWidth="1"/>
    <col min="6" max="6" width="12.44140625" style="384" customWidth="1"/>
    <col min="7" max="7" width="10" style="270" bestFit="1" customWidth="1"/>
    <col min="8" max="8" width="20.88671875" style="55" customWidth="1"/>
    <col min="9" max="10" width="9.109375" style="55" customWidth="1"/>
  </cols>
  <sheetData>
    <row r="1" spans="1:8" ht="28.2" thickBot="1" x14ac:dyDescent="0.3">
      <c r="A1" s="277">
        <v>1</v>
      </c>
      <c r="B1" s="259" t="s">
        <v>2454</v>
      </c>
      <c r="C1" s="260" t="s">
        <v>2797</v>
      </c>
      <c r="D1" s="261" t="s">
        <v>2798</v>
      </c>
      <c r="E1" s="260" t="s">
        <v>484</v>
      </c>
      <c r="F1" s="382" t="s">
        <v>921</v>
      </c>
      <c r="G1" s="262" t="s">
        <v>66</v>
      </c>
      <c r="H1" s="262" t="s">
        <v>702</v>
      </c>
    </row>
    <row r="2" spans="1:8" x14ac:dyDescent="0.25">
      <c r="A2" s="257">
        <v>2</v>
      </c>
      <c r="B2" s="263"/>
      <c r="C2" s="264"/>
      <c r="D2" s="265"/>
      <c r="E2" s="266"/>
      <c r="F2" s="383"/>
      <c r="G2" s="266"/>
      <c r="H2" s="266"/>
    </row>
    <row r="3" spans="1:8" x14ac:dyDescent="0.25">
      <c r="A3" s="257">
        <v>3</v>
      </c>
      <c r="B3" s="267">
        <v>3</v>
      </c>
      <c r="C3" s="268" t="s">
        <v>159</v>
      </c>
      <c r="D3" s="269">
        <v>41642</v>
      </c>
      <c r="E3" s="270" t="s">
        <v>1684</v>
      </c>
      <c r="F3" s="384">
        <v>224000</v>
      </c>
      <c r="G3" s="270">
        <v>100819821</v>
      </c>
      <c r="H3" s="270"/>
    </row>
    <row r="4" spans="1:8" x14ac:dyDescent="0.25">
      <c r="A4" s="257">
        <v>4</v>
      </c>
      <c r="B4" s="263">
        <v>3</v>
      </c>
      <c r="C4" s="268" t="s">
        <v>54</v>
      </c>
      <c r="D4" s="269">
        <v>41642</v>
      </c>
      <c r="E4" s="270" t="s">
        <v>891</v>
      </c>
      <c r="F4" s="384">
        <v>135000</v>
      </c>
      <c r="G4" s="270">
        <v>190304936</v>
      </c>
      <c r="H4" s="270"/>
    </row>
    <row r="5" spans="1:8" x14ac:dyDescent="0.25">
      <c r="A5" s="257">
        <v>5</v>
      </c>
      <c r="B5" s="267">
        <v>4</v>
      </c>
      <c r="C5" s="268" t="s">
        <v>3133</v>
      </c>
      <c r="D5" s="269">
        <v>41642</v>
      </c>
      <c r="E5" s="270" t="s">
        <v>3587</v>
      </c>
      <c r="F5" s="384">
        <v>286000</v>
      </c>
      <c r="G5" s="270">
        <v>101254783</v>
      </c>
      <c r="H5" s="270"/>
    </row>
    <row r="6" spans="1:8" x14ac:dyDescent="0.25">
      <c r="A6" s="257">
        <v>6</v>
      </c>
      <c r="B6" s="263">
        <v>5</v>
      </c>
      <c r="C6" s="268" t="s">
        <v>3312</v>
      </c>
      <c r="D6" s="269">
        <v>41642</v>
      </c>
      <c r="E6" s="270" t="s">
        <v>2450</v>
      </c>
      <c r="F6" s="384">
        <v>193000</v>
      </c>
      <c r="G6" s="270">
        <v>191750982</v>
      </c>
      <c r="H6" s="270"/>
    </row>
    <row r="7" spans="1:8" x14ac:dyDescent="0.25">
      <c r="A7" s="257">
        <v>7</v>
      </c>
      <c r="B7" s="267">
        <v>6</v>
      </c>
      <c r="C7" s="268" t="s">
        <v>694</v>
      </c>
      <c r="D7" s="269">
        <v>41642</v>
      </c>
      <c r="E7" s="270" t="s">
        <v>744</v>
      </c>
      <c r="F7" s="384">
        <v>193000</v>
      </c>
      <c r="G7" s="270">
        <v>100038271</v>
      </c>
      <c r="H7" s="270"/>
    </row>
    <row r="8" spans="1:8" x14ac:dyDescent="0.25">
      <c r="A8" s="257">
        <v>8</v>
      </c>
      <c r="B8" s="263">
        <v>7</v>
      </c>
      <c r="C8" s="268" t="s">
        <v>2847</v>
      </c>
      <c r="D8" s="269">
        <v>41642</v>
      </c>
      <c r="E8" s="270" t="s">
        <v>695</v>
      </c>
      <c r="F8" s="384">
        <v>698000</v>
      </c>
      <c r="G8" s="270">
        <v>191112944</v>
      </c>
      <c r="H8" s="270"/>
    </row>
    <row r="9" spans="1:8" x14ac:dyDescent="0.25">
      <c r="A9" s="257">
        <v>9</v>
      </c>
      <c r="B9" s="267">
        <v>8</v>
      </c>
      <c r="C9" s="268" t="s">
        <v>3563</v>
      </c>
      <c r="D9" s="269">
        <v>41642</v>
      </c>
      <c r="E9" s="270" t="s">
        <v>936</v>
      </c>
      <c r="F9" s="384">
        <v>161000</v>
      </c>
      <c r="G9" s="270">
        <v>190780301</v>
      </c>
      <c r="H9" s="270"/>
    </row>
    <row r="10" spans="1:8" x14ac:dyDescent="0.25">
      <c r="A10" s="257">
        <v>10</v>
      </c>
      <c r="B10" s="263">
        <v>9</v>
      </c>
      <c r="C10" s="268" t="s">
        <v>2165</v>
      </c>
      <c r="D10" s="269">
        <v>41643</v>
      </c>
      <c r="E10" s="270" t="s">
        <v>2167</v>
      </c>
      <c r="F10" s="384">
        <v>224000</v>
      </c>
      <c r="G10" s="270">
        <v>100243826</v>
      </c>
      <c r="H10" s="270"/>
    </row>
    <row r="11" spans="1:8" x14ac:dyDescent="0.25">
      <c r="A11" s="257">
        <v>11</v>
      </c>
      <c r="B11" s="267">
        <v>10</v>
      </c>
      <c r="C11" s="268" t="s">
        <v>2166</v>
      </c>
      <c r="D11" s="269">
        <v>41643</v>
      </c>
      <c r="E11" s="270" t="s">
        <v>1685</v>
      </c>
      <c r="F11" s="384">
        <v>510000</v>
      </c>
      <c r="G11" s="270">
        <v>100315326</v>
      </c>
      <c r="H11" s="270"/>
    </row>
    <row r="12" spans="1:8" x14ac:dyDescent="0.25">
      <c r="A12" s="257">
        <v>12</v>
      </c>
      <c r="B12" s="263">
        <v>11</v>
      </c>
      <c r="C12" s="268" t="s">
        <v>913</v>
      </c>
      <c r="D12" s="269">
        <v>41643</v>
      </c>
      <c r="E12" s="270" t="s">
        <v>406</v>
      </c>
      <c r="F12" s="384">
        <v>193000</v>
      </c>
      <c r="G12" s="270">
        <v>191928154</v>
      </c>
      <c r="H12" s="270"/>
    </row>
    <row r="13" spans="1:8" x14ac:dyDescent="0.25">
      <c r="A13" s="257">
        <v>13</v>
      </c>
      <c r="B13" s="267">
        <v>12</v>
      </c>
      <c r="C13" s="268" t="s">
        <v>67</v>
      </c>
      <c r="D13" s="269">
        <v>41643</v>
      </c>
      <c r="E13" s="270" t="s">
        <v>914</v>
      </c>
      <c r="F13" s="384">
        <v>349000</v>
      </c>
      <c r="G13" s="270">
        <v>190114911</v>
      </c>
      <c r="H13" s="270"/>
    </row>
    <row r="14" spans="1:8" x14ac:dyDescent="0.25">
      <c r="A14" s="257">
        <v>14</v>
      </c>
      <c r="B14" s="263">
        <v>13</v>
      </c>
      <c r="C14" s="268" t="s">
        <v>913</v>
      </c>
      <c r="D14" s="269">
        <v>41643</v>
      </c>
      <c r="E14" s="270" t="s">
        <v>406</v>
      </c>
      <c r="F14" s="384">
        <v>55000</v>
      </c>
      <c r="G14" s="270">
        <v>191928154</v>
      </c>
      <c r="H14" s="270"/>
    </row>
    <row r="15" spans="1:8" x14ac:dyDescent="0.25">
      <c r="A15" s="257">
        <v>15</v>
      </c>
      <c r="B15" s="267">
        <v>14</v>
      </c>
      <c r="C15" s="268" t="s">
        <v>2377</v>
      </c>
      <c r="D15" s="269">
        <v>41643</v>
      </c>
      <c r="E15" s="270" t="s">
        <v>226</v>
      </c>
      <c r="F15" s="384">
        <v>805000</v>
      </c>
      <c r="G15" s="270">
        <v>190654467</v>
      </c>
      <c r="H15" s="270"/>
    </row>
    <row r="16" spans="1:8" x14ac:dyDescent="0.25">
      <c r="A16" s="257">
        <v>16</v>
      </c>
      <c r="B16" s="263">
        <v>15</v>
      </c>
      <c r="C16" s="268" t="s">
        <v>2741</v>
      </c>
      <c r="D16" s="269">
        <v>41643</v>
      </c>
      <c r="E16" s="270" t="s">
        <v>3758</v>
      </c>
      <c r="F16" s="384">
        <v>161000</v>
      </c>
      <c r="G16" s="270">
        <v>191376796</v>
      </c>
      <c r="H16" s="270"/>
    </row>
    <row r="17" spans="1:8" x14ac:dyDescent="0.25">
      <c r="A17" s="257">
        <v>17</v>
      </c>
      <c r="B17" s="267">
        <v>16</v>
      </c>
      <c r="C17" s="268" t="s">
        <v>1120</v>
      </c>
      <c r="D17" s="269">
        <v>41643</v>
      </c>
      <c r="E17" s="270" t="s">
        <v>493</v>
      </c>
      <c r="F17" s="384">
        <v>224000</v>
      </c>
      <c r="G17" s="270">
        <v>191727606</v>
      </c>
      <c r="H17" s="270"/>
    </row>
    <row r="18" spans="1:8" x14ac:dyDescent="0.25">
      <c r="A18" s="257">
        <v>18</v>
      </c>
      <c r="B18" s="263">
        <v>17</v>
      </c>
      <c r="C18" s="268" t="s">
        <v>373</v>
      </c>
      <c r="D18" s="269">
        <v>41643</v>
      </c>
      <c r="E18" s="270" t="s">
        <v>2682</v>
      </c>
      <c r="F18" s="384">
        <v>193000</v>
      </c>
      <c r="G18" s="270">
        <v>191047775</v>
      </c>
      <c r="H18" s="270"/>
    </row>
    <row r="19" spans="1:8" x14ac:dyDescent="0.25">
      <c r="A19" s="257">
        <v>19</v>
      </c>
      <c r="B19" s="267">
        <v>18</v>
      </c>
      <c r="C19" s="268" t="s">
        <v>2650</v>
      </c>
      <c r="D19" s="269">
        <v>41643</v>
      </c>
      <c r="E19" s="270" t="s">
        <v>2372</v>
      </c>
      <c r="F19" s="384">
        <v>161000</v>
      </c>
      <c r="G19" s="270">
        <v>191110967</v>
      </c>
      <c r="H19" s="270"/>
    </row>
    <row r="20" spans="1:8" x14ac:dyDescent="0.25">
      <c r="A20" s="257">
        <v>20</v>
      </c>
      <c r="B20" s="263">
        <v>19</v>
      </c>
      <c r="C20" s="268" t="s">
        <v>2036</v>
      </c>
      <c r="D20" s="269">
        <v>41647</v>
      </c>
      <c r="E20" s="270" t="s">
        <v>3594</v>
      </c>
      <c r="F20" s="384">
        <v>349000</v>
      </c>
      <c r="G20" s="270">
        <v>190882802</v>
      </c>
      <c r="H20" s="270"/>
    </row>
    <row r="21" spans="1:8" x14ac:dyDescent="0.25">
      <c r="A21" s="257">
        <v>21</v>
      </c>
      <c r="B21" s="267">
        <v>20</v>
      </c>
      <c r="C21" s="268" t="s">
        <v>1117</v>
      </c>
      <c r="D21" s="269">
        <v>41647</v>
      </c>
      <c r="E21" s="270" t="s">
        <v>2034</v>
      </c>
      <c r="F21" s="384">
        <v>130000</v>
      </c>
      <c r="G21" s="270">
        <v>101477759</v>
      </c>
      <c r="H21" s="270"/>
    </row>
    <row r="22" spans="1:8" x14ac:dyDescent="0.25">
      <c r="A22" s="257">
        <v>22</v>
      </c>
      <c r="B22" s="263">
        <v>21</v>
      </c>
      <c r="C22" s="268" t="s">
        <v>1829</v>
      </c>
      <c r="D22" s="269">
        <v>41647</v>
      </c>
      <c r="E22" s="270" t="s">
        <v>17</v>
      </c>
      <c r="F22" s="384">
        <v>224000</v>
      </c>
      <c r="G22" s="270">
        <v>191679789</v>
      </c>
      <c r="H22" s="270"/>
    </row>
    <row r="23" spans="1:8" x14ac:dyDescent="0.25">
      <c r="A23" s="257">
        <v>23</v>
      </c>
      <c r="B23" s="267">
        <v>22</v>
      </c>
      <c r="C23" s="268" t="s">
        <v>3215</v>
      </c>
      <c r="D23" s="269">
        <v>41647</v>
      </c>
      <c r="E23" s="270" t="s">
        <v>1830</v>
      </c>
      <c r="F23" s="384">
        <v>125000</v>
      </c>
      <c r="G23" s="270">
        <v>100041159</v>
      </c>
      <c r="H23" s="270"/>
    </row>
    <row r="24" spans="1:8" x14ac:dyDescent="0.25">
      <c r="A24" s="257">
        <v>24</v>
      </c>
      <c r="B24" s="263">
        <v>23</v>
      </c>
      <c r="C24" s="268" t="s">
        <v>3509</v>
      </c>
      <c r="D24" s="269">
        <v>41647</v>
      </c>
      <c r="E24" s="270" t="s">
        <v>3139</v>
      </c>
      <c r="F24" s="384">
        <v>161000</v>
      </c>
      <c r="G24" s="270">
        <v>800003702</v>
      </c>
      <c r="H24" s="270"/>
    </row>
    <row r="25" spans="1:8" x14ac:dyDescent="0.25">
      <c r="A25" s="257">
        <v>25</v>
      </c>
      <c r="B25" s="267">
        <v>24</v>
      </c>
      <c r="C25" s="268" t="s">
        <v>900</v>
      </c>
      <c r="D25" s="269">
        <v>41647</v>
      </c>
      <c r="E25" s="270" t="s">
        <v>518</v>
      </c>
      <c r="F25" s="384">
        <v>193000</v>
      </c>
      <c r="G25" s="270">
        <v>190903682</v>
      </c>
      <c r="H25" s="270"/>
    </row>
    <row r="26" spans="1:8" x14ac:dyDescent="0.25">
      <c r="A26" s="257">
        <v>26</v>
      </c>
      <c r="B26" s="263">
        <v>25</v>
      </c>
      <c r="C26" s="268" t="s">
        <v>3533</v>
      </c>
      <c r="D26" s="269">
        <v>41647</v>
      </c>
      <c r="E26" s="270" t="s">
        <v>2894</v>
      </c>
      <c r="F26" s="384">
        <v>161000</v>
      </c>
      <c r="G26" s="270">
        <v>191018748</v>
      </c>
      <c r="H26" s="270"/>
    </row>
    <row r="27" spans="1:8" x14ac:dyDescent="0.25">
      <c r="A27" s="257">
        <v>27</v>
      </c>
      <c r="B27" s="267">
        <v>26</v>
      </c>
      <c r="C27" s="268" t="s">
        <v>269</v>
      </c>
      <c r="D27" s="269">
        <v>41647</v>
      </c>
      <c r="E27" s="270" t="s">
        <v>3611</v>
      </c>
      <c r="F27" s="384">
        <v>161000</v>
      </c>
      <c r="G27" s="270">
        <v>190098681</v>
      </c>
      <c r="H27" s="270"/>
    </row>
    <row r="28" spans="1:8" x14ac:dyDescent="0.25">
      <c r="A28" s="257">
        <v>28</v>
      </c>
      <c r="B28" s="263">
        <v>27</v>
      </c>
      <c r="C28" s="268" t="s">
        <v>185</v>
      </c>
      <c r="D28" s="269">
        <v>41647</v>
      </c>
      <c r="E28" s="270" t="s">
        <v>885</v>
      </c>
      <c r="F28" s="384">
        <v>125000</v>
      </c>
      <c r="G28" s="270">
        <v>190255977</v>
      </c>
      <c r="H28" s="270"/>
    </row>
    <row r="29" spans="1:8" x14ac:dyDescent="0.25">
      <c r="A29" s="257">
        <v>29</v>
      </c>
      <c r="B29" s="267">
        <v>28</v>
      </c>
      <c r="C29" s="268" t="s">
        <v>3739</v>
      </c>
      <c r="D29" s="269">
        <v>41647</v>
      </c>
      <c r="E29" s="270" t="s">
        <v>3502</v>
      </c>
      <c r="F29" s="384">
        <v>193000</v>
      </c>
      <c r="G29" s="270">
        <v>101581495</v>
      </c>
      <c r="H29" s="270"/>
    </row>
    <row r="30" spans="1:8" x14ac:dyDescent="0.25">
      <c r="A30" s="257">
        <v>30</v>
      </c>
      <c r="B30" s="263">
        <v>29</v>
      </c>
      <c r="C30" s="268" t="s">
        <v>1525</v>
      </c>
      <c r="D30" s="269">
        <v>41648</v>
      </c>
      <c r="E30" s="270" t="s">
        <v>1005</v>
      </c>
      <c r="F30" s="384">
        <v>224000</v>
      </c>
      <c r="G30" s="270">
        <v>101116081</v>
      </c>
      <c r="H30" s="270"/>
    </row>
    <row r="31" spans="1:8" x14ac:dyDescent="0.25">
      <c r="A31" s="257">
        <v>31</v>
      </c>
      <c r="B31" s="263">
        <v>30</v>
      </c>
      <c r="C31" s="268" t="s">
        <v>149</v>
      </c>
      <c r="D31" s="269">
        <v>41648</v>
      </c>
      <c r="E31" s="270" t="s">
        <v>3265</v>
      </c>
      <c r="F31" s="384">
        <v>322000</v>
      </c>
      <c r="G31" s="270">
        <v>691526945</v>
      </c>
      <c r="H31" s="270"/>
    </row>
    <row r="32" spans="1:8" x14ac:dyDescent="0.25">
      <c r="A32" s="257">
        <v>32</v>
      </c>
      <c r="B32" s="267">
        <v>31</v>
      </c>
      <c r="C32" s="268" t="s">
        <v>1055</v>
      </c>
      <c r="D32" s="269">
        <v>41648</v>
      </c>
      <c r="E32" s="270" t="s">
        <v>2361</v>
      </c>
      <c r="F32" s="384">
        <v>1260000</v>
      </c>
      <c r="G32" s="270">
        <v>100918940</v>
      </c>
      <c r="H32" s="270"/>
    </row>
    <row r="33" spans="1:8" x14ac:dyDescent="0.25">
      <c r="A33" s="257">
        <v>33</v>
      </c>
      <c r="B33" s="263">
        <v>32</v>
      </c>
      <c r="C33" s="268" t="s">
        <v>4213</v>
      </c>
      <c r="D33" s="269">
        <v>41648</v>
      </c>
      <c r="E33" s="270" t="s">
        <v>3605</v>
      </c>
      <c r="F33" s="384">
        <v>281000</v>
      </c>
      <c r="G33" s="270">
        <v>190398861</v>
      </c>
      <c r="H33" s="270"/>
    </row>
    <row r="34" spans="1:8" x14ac:dyDescent="0.25">
      <c r="A34" s="257">
        <v>34</v>
      </c>
      <c r="B34" s="267">
        <v>33</v>
      </c>
      <c r="C34" s="268" t="s">
        <v>230</v>
      </c>
      <c r="D34" s="269">
        <v>41648</v>
      </c>
      <c r="E34" s="270" t="s">
        <v>2691</v>
      </c>
      <c r="F34" s="384">
        <v>161000</v>
      </c>
      <c r="G34" s="270">
        <v>601072772</v>
      </c>
      <c r="H34" s="270"/>
    </row>
    <row r="35" spans="1:8" x14ac:dyDescent="0.25">
      <c r="A35" s="257">
        <v>35</v>
      </c>
      <c r="B35" s="263">
        <v>34</v>
      </c>
      <c r="C35" s="268" t="s">
        <v>230</v>
      </c>
      <c r="D35" s="269">
        <v>41648</v>
      </c>
      <c r="E35" s="270" t="s">
        <v>2691</v>
      </c>
      <c r="F35" s="384">
        <v>161000</v>
      </c>
      <c r="G35" s="270">
        <v>601072772</v>
      </c>
      <c r="H35" s="270"/>
    </row>
    <row r="36" spans="1:8" x14ac:dyDescent="0.25">
      <c r="A36" s="257">
        <v>36</v>
      </c>
      <c r="B36" s="267">
        <v>35</v>
      </c>
      <c r="C36" s="268" t="s">
        <v>266</v>
      </c>
      <c r="D36" s="269">
        <v>41649</v>
      </c>
      <c r="E36" s="270" t="s">
        <v>3120</v>
      </c>
      <c r="F36" s="384">
        <v>174000</v>
      </c>
      <c r="G36" s="270">
        <v>101280900</v>
      </c>
      <c r="H36" s="270"/>
    </row>
    <row r="37" spans="1:8" x14ac:dyDescent="0.25">
      <c r="A37" s="257">
        <v>37</v>
      </c>
      <c r="B37" s="267">
        <v>36</v>
      </c>
      <c r="C37" s="268" t="s">
        <v>266</v>
      </c>
      <c r="D37" s="269">
        <v>41649</v>
      </c>
      <c r="E37" s="270" t="s">
        <v>3120</v>
      </c>
      <c r="F37" s="384">
        <v>224000</v>
      </c>
      <c r="G37" s="270">
        <v>101280900</v>
      </c>
      <c r="H37" s="270"/>
    </row>
    <row r="38" spans="1:8" x14ac:dyDescent="0.25">
      <c r="A38" s="257">
        <v>38</v>
      </c>
      <c r="B38" s="267">
        <v>37</v>
      </c>
      <c r="C38" s="268" t="s">
        <v>2735</v>
      </c>
      <c r="D38" s="269">
        <v>41650</v>
      </c>
      <c r="E38" s="270" t="s">
        <v>141</v>
      </c>
      <c r="F38" s="384">
        <v>420000</v>
      </c>
      <c r="G38" s="270">
        <v>600049547</v>
      </c>
      <c r="H38" s="270"/>
    </row>
    <row r="39" spans="1:8" x14ac:dyDescent="0.25">
      <c r="A39" s="257">
        <v>39</v>
      </c>
      <c r="B39" s="267">
        <v>38</v>
      </c>
      <c r="C39" s="268" t="s">
        <v>3103</v>
      </c>
      <c r="D39" s="269">
        <v>41650</v>
      </c>
      <c r="E39" s="270" t="s">
        <v>267</v>
      </c>
      <c r="F39" s="384">
        <v>224000</v>
      </c>
      <c r="G39" s="270">
        <v>190934046</v>
      </c>
      <c r="H39" s="270"/>
    </row>
    <row r="40" spans="1:8" x14ac:dyDescent="0.25">
      <c r="A40" s="257">
        <v>40</v>
      </c>
      <c r="B40" s="267">
        <v>39</v>
      </c>
      <c r="C40" s="268" t="s">
        <v>4215</v>
      </c>
      <c r="D40" s="269">
        <v>41650</v>
      </c>
      <c r="E40" s="270" t="s">
        <v>4200</v>
      </c>
      <c r="F40" s="384">
        <v>1344000</v>
      </c>
      <c r="G40" s="270">
        <v>691577739</v>
      </c>
      <c r="H40" s="270"/>
    </row>
    <row r="41" spans="1:8" x14ac:dyDescent="0.25">
      <c r="A41" s="257">
        <v>41</v>
      </c>
      <c r="B41" s="267">
        <v>40</v>
      </c>
      <c r="C41" s="268" t="s">
        <v>3735</v>
      </c>
      <c r="D41" s="269">
        <v>41650</v>
      </c>
      <c r="E41" s="270" t="s">
        <v>2723</v>
      </c>
      <c r="F41" s="384">
        <v>161000</v>
      </c>
      <c r="G41" s="270">
        <v>101378747</v>
      </c>
      <c r="H41" s="270"/>
    </row>
    <row r="42" spans="1:8" x14ac:dyDescent="0.25">
      <c r="A42" s="257">
        <v>42</v>
      </c>
      <c r="B42" s="267">
        <v>41</v>
      </c>
      <c r="C42" s="268" t="s">
        <v>3624</v>
      </c>
      <c r="D42" s="269">
        <v>41651</v>
      </c>
      <c r="E42" s="270" t="s">
        <v>528</v>
      </c>
      <c r="F42" s="384">
        <v>130000</v>
      </c>
      <c r="G42" s="270">
        <v>100068356</v>
      </c>
      <c r="H42" s="270"/>
    </row>
    <row r="43" spans="1:8" x14ac:dyDescent="0.25">
      <c r="A43" s="257">
        <v>43</v>
      </c>
      <c r="B43" s="267">
        <v>42</v>
      </c>
      <c r="C43" s="268" t="s">
        <v>1103</v>
      </c>
      <c r="D43" s="269">
        <v>41651</v>
      </c>
      <c r="E43" s="270" t="s">
        <v>2639</v>
      </c>
      <c r="F43" s="384">
        <v>193000</v>
      </c>
      <c r="G43" s="270">
        <v>191353446</v>
      </c>
      <c r="H43" s="270"/>
    </row>
    <row r="44" spans="1:8" x14ac:dyDescent="0.25">
      <c r="A44" s="257">
        <v>44</v>
      </c>
      <c r="B44" s="267">
        <v>43</v>
      </c>
      <c r="C44" s="268" t="s">
        <v>3143</v>
      </c>
      <c r="D44" s="269">
        <v>41652</v>
      </c>
      <c r="E44" s="270" t="s">
        <v>3635</v>
      </c>
      <c r="F44" s="384">
        <v>3521000</v>
      </c>
      <c r="G44" s="270">
        <v>100059044</v>
      </c>
      <c r="H44" s="270"/>
    </row>
    <row r="45" spans="1:8" x14ac:dyDescent="0.25">
      <c r="A45" s="257">
        <v>45</v>
      </c>
      <c r="B45" s="267">
        <v>44</v>
      </c>
      <c r="C45" s="268" t="s">
        <v>3143</v>
      </c>
      <c r="D45" s="269">
        <v>41652</v>
      </c>
      <c r="E45" s="270" t="s">
        <v>3635</v>
      </c>
      <c r="F45" s="384">
        <v>375000</v>
      </c>
      <c r="G45" s="270">
        <v>100059044</v>
      </c>
      <c r="H45" s="270"/>
    </row>
    <row r="46" spans="1:8" x14ac:dyDescent="0.25">
      <c r="A46" s="257">
        <v>46</v>
      </c>
      <c r="B46" s="267">
        <v>45</v>
      </c>
      <c r="C46" s="268" t="s">
        <v>417</v>
      </c>
      <c r="D46" s="269">
        <v>41652</v>
      </c>
      <c r="E46" s="270" t="s">
        <v>1661</v>
      </c>
      <c r="F46" s="384">
        <v>448000</v>
      </c>
      <c r="G46" s="270">
        <v>190870267</v>
      </c>
      <c r="H46" s="270"/>
    </row>
    <row r="47" spans="1:8" x14ac:dyDescent="0.25">
      <c r="A47" s="257">
        <v>47</v>
      </c>
      <c r="B47" s="267">
        <v>46</v>
      </c>
      <c r="C47" s="268" t="s">
        <v>1546</v>
      </c>
      <c r="D47" s="269">
        <v>41652</v>
      </c>
      <c r="E47" s="270" t="s">
        <v>3761</v>
      </c>
      <c r="F47" s="384">
        <v>161000</v>
      </c>
      <c r="G47" s="270">
        <v>190539789</v>
      </c>
      <c r="H47" s="270"/>
    </row>
    <row r="48" spans="1:8" x14ac:dyDescent="0.25">
      <c r="A48" s="257">
        <v>48</v>
      </c>
      <c r="B48" s="267">
        <v>47</v>
      </c>
      <c r="C48" s="268" t="s">
        <v>1949</v>
      </c>
      <c r="D48" s="269">
        <v>41652</v>
      </c>
      <c r="E48" s="270" t="s">
        <v>1702</v>
      </c>
      <c r="F48" s="384">
        <v>224000</v>
      </c>
      <c r="G48" s="270">
        <v>100315395</v>
      </c>
      <c r="H48" s="270"/>
    </row>
    <row r="49" spans="1:8" x14ac:dyDescent="0.25">
      <c r="A49" s="257">
        <v>49</v>
      </c>
      <c r="B49" s="267">
        <v>48</v>
      </c>
      <c r="C49" s="268" t="s">
        <v>2963</v>
      </c>
      <c r="D49" s="269">
        <v>41652</v>
      </c>
      <c r="E49" s="270" t="s">
        <v>2666</v>
      </c>
      <c r="F49" s="384">
        <v>448000</v>
      </c>
      <c r="G49" s="270">
        <v>691314513</v>
      </c>
      <c r="H49" s="270"/>
    </row>
    <row r="50" spans="1:8" x14ac:dyDescent="0.25">
      <c r="A50" s="257">
        <v>50</v>
      </c>
      <c r="B50" s="267">
        <v>49</v>
      </c>
      <c r="C50" s="268" t="s">
        <v>802</v>
      </c>
      <c r="D50" s="269">
        <v>41652</v>
      </c>
      <c r="E50" s="270" t="s">
        <v>1641</v>
      </c>
      <c r="F50" s="384">
        <v>4480000</v>
      </c>
      <c r="G50" s="270">
        <v>100135464</v>
      </c>
      <c r="H50" s="270"/>
    </row>
    <row r="51" spans="1:8" x14ac:dyDescent="0.25">
      <c r="A51" s="257">
        <v>51</v>
      </c>
      <c r="B51" s="267">
        <v>50</v>
      </c>
      <c r="C51" s="268" t="s">
        <v>517</v>
      </c>
      <c r="D51" s="269">
        <v>41653</v>
      </c>
      <c r="E51" s="270" t="s">
        <v>803</v>
      </c>
      <c r="F51" s="384">
        <v>193000</v>
      </c>
      <c r="G51" s="270">
        <v>800002974</v>
      </c>
      <c r="H51" s="270"/>
    </row>
    <row r="52" spans="1:8" x14ac:dyDescent="0.25">
      <c r="A52" s="257">
        <v>52</v>
      </c>
      <c r="B52" s="267">
        <v>51</v>
      </c>
      <c r="C52" s="268" t="s">
        <v>1643</v>
      </c>
      <c r="D52" s="269">
        <v>41653</v>
      </c>
      <c r="E52" s="270" t="s">
        <v>3579</v>
      </c>
      <c r="F52" s="384">
        <v>349000</v>
      </c>
      <c r="G52" s="270">
        <v>590975601</v>
      </c>
      <c r="H52" s="270"/>
    </row>
    <row r="53" spans="1:8" x14ac:dyDescent="0.25">
      <c r="A53" s="257">
        <v>53</v>
      </c>
      <c r="B53" s="267">
        <v>52</v>
      </c>
      <c r="C53" s="268" t="s">
        <v>3752</v>
      </c>
      <c r="D53" s="269">
        <v>41653</v>
      </c>
      <c r="E53" s="270" t="s">
        <v>843</v>
      </c>
      <c r="F53" s="384">
        <v>349000</v>
      </c>
      <c r="G53" s="270">
        <v>191117762</v>
      </c>
      <c r="H53" s="270"/>
    </row>
    <row r="54" spans="1:8" x14ac:dyDescent="0.25">
      <c r="A54" s="257">
        <v>54</v>
      </c>
      <c r="B54" s="267">
        <v>53</v>
      </c>
      <c r="C54" s="268" t="s">
        <v>2741</v>
      </c>
      <c r="D54" s="269">
        <v>41653</v>
      </c>
      <c r="E54" s="270" t="s">
        <v>3758</v>
      </c>
      <c r="F54" s="384">
        <v>161000</v>
      </c>
      <c r="G54" s="270">
        <v>191376796</v>
      </c>
      <c r="H54" s="270"/>
    </row>
    <row r="55" spans="1:8" x14ac:dyDescent="0.25">
      <c r="A55" s="257">
        <v>55</v>
      </c>
      <c r="B55" s="267">
        <v>54</v>
      </c>
      <c r="C55" s="268" t="s">
        <v>3241</v>
      </c>
      <c r="D55" s="269">
        <v>41653</v>
      </c>
      <c r="E55" s="270" t="s">
        <v>3842</v>
      </c>
      <c r="F55" s="384">
        <v>2240000</v>
      </c>
      <c r="G55" s="270">
        <v>600124705</v>
      </c>
      <c r="H55" s="270"/>
    </row>
    <row r="56" spans="1:8" x14ac:dyDescent="0.25">
      <c r="A56" s="257">
        <v>56</v>
      </c>
      <c r="B56" s="267">
        <v>55</v>
      </c>
      <c r="C56" s="268" t="s">
        <v>51</v>
      </c>
      <c r="D56" s="269">
        <v>41653</v>
      </c>
      <c r="E56" s="270" t="s">
        <v>2439</v>
      </c>
      <c r="F56" s="384">
        <v>1120000</v>
      </c>
      <c r="G56" s="270">
        <v>101844835</v>
      </c>
      <c r="H56" s="270"/>
    </row>
    <row r="57" spans="1:8" x14ac:dyDescent="0.25">
      <c r="A57" s="257">
        <v>57</v>
      </c>
      <c r="B57" s="267">
        <v>56</v>
      </c>
      <c r="C57" s="268" t="s">
        <v>1103</v>
      </c>
      <c r="D57" s="269">
        <v>41653</v>
      </c>
      <c r="E57" s="270" t="s">
        <v>857</v>
      </c>
      <c r="F57" s="384">
        <v>51000</v>
      </c>
      <c r="G57" s="270">
        <v>191353446</v>
      </c>
      <c r="H57" s="270"/>
    </row>
    <row r="58" spans="1:8" x14ac:dyDescent="0.25">
      <c r="A58" s="257">
        <v>58</v>
      </c>
      <c r="B58" s="267">
        <v>57</v>
      </c>
      <c r="C58" s="268" t="s">
        <v>1932</v>
      </c>
      <c r="D58" s="269">
        <v>41654</v>
      </c>
      <c r="E58" s="270" t="s">
        <v>858</v>
      </c>
      <c r="F58" s="384">
        <v>161000</v>
      </c>
      <c r="G58" s="270">
        <v>1000450888</v>
      </c>
      <c r="H58" s="270"/>
    </row>
    <row r="59" spans="1:8" x14ac:dyDescent="0.25">
      <c r="A59" s="257">
        <v>59</v>
      </c>
      <c r="B59" s="267">
        <v>58</v>
      </c>
      <c r="C59" s="268" t="s">
        <v>3279</v>
      </c>
      <c r="D59" s="269">
        <v>41654</v>
      </c>
      <c r="E59" s="270" t="s">
        <v>1933</v>
      </c>
      <c r="F59" s="384">
        <v>55000</v>
      </c>
      <c r="G59" s="270">
        <v>691451068</v>
      </c>
      <c r="H59" s="270"/>
    </row>
    <row r="60" spans="1:8" x14ac:dyDescent="0.25">
      <c r="A60" s="257">
        <v>60</v>
      </c>
      <c r="B60" s="267">
        <v>59</v>
      </c>
      <c r="C60" s="268" t="s">
        <v>3279</v>
      </c>
      <c r="D60" s="269">
        <v>41655</v>
      </c>
      <c r="E60" s="270" t="s">
        <v>3585</v>
      </c>
      <c r="F60" s="384">
        <v>161000</v>
      </c>
      <c r="G60" s="270">
        <v>191283872</v>
      </c>
      <c r="H60" s="270"/>
    </row>
    <row r="61" spans="1:8" x14ac:dyDescent="0.25">
      <c r="A61" s="257">
        <v>61</v>
      </c>
      <c r="B61" s="267">
        <v>60</v>
      </c>
      <c r="C61" s="268" t="s">
        <v>3111</v>
      </c>
      <c r="D61" s="269">
        <v>41655</v>
      </c>
      <c r="E61" s="270" t="s">
        <v>1948</v>
      </c>
      <c r="F61" s="384">
        <v>130000</v>
      </c>
      <c r="G61" s="270">
        <v>808000755</v>
      </c>
      <c r="H61" s="270"/>
    </row>
    <row r="62" spans="1:8" x14ac:dyDescent="0.25">
      <c r="A62" s="257">
        <v>62</v>
      </c>
      <c r="B62" s="267">
        <v>61</v>
      </c>
      <c r="C62" s="268" t="s">
        <v>1826</v>
      </c>
      <c r="D62" s="269">
        <v>41655</v>
      </c>
      <c r="E62" s="270" t="s">
        <v>2424</v>
      </c>
      <c r="F62" s="384">
        <v>349000</v>
      </c>
      <c r="G62" s="270">
        <v>101326441</v>
      </c>
      <c r="H62" s="270"/>
    </row>
    <row r="63" spans="1:8" x14ac:dyDescent="0.25">
      <c r="A63" s="257">
        <v>63</v>
      </c>
      <c r="B63" s="267">
        <v>62</v>
      </c>
      <c r="C63" s="268" t="s">
        <v>1826</v>
      </c>
      <c r="D63" s="269">
        <v>41655</v>
      </c>
      <c r="E63" s="270" t="s">
        <v>2424</v>
      </c>
      <c r="F63" s="384">
        <v>1192000</v>
      </c>
      <c r="G63" s="270">
        <v>101326441</v>
      </c>
      <c r="H63" s="270"/>
    </row>
    <row r="64" spans="1:8" x14ac:dyDescent="0.25">
      <c r="A64" s="257">
        <v>64</v>
      </c>
      <c r="B64" s="267">
        <v>63</v>
      </c>
      <c r="C64" s="268" t="s">
        <v>1826</v>
      </c>
      <c r="D64" s="269">
        <v>41655</v>
      </c>
      <c r="E64" s="270" t="s">
        <v>2424</v>
      </c>
      <c r="F64" s="384">
        <v>536000</v>
      </c>
      <c r="G64" s="270">
        <v>101326441</v>
      </c>
      <c r="H64" s="270"/>
    </row>
    <row r="65" spans="1:8" x14ac:dyDescent="0.25">
      <c r="A65" s="257">
        <v>65</v>
      </c>
      <c r="B65" s="267">
        <v>64</v>
      </c>
      <c r="C65" s="268" t="s">
        <v>3840</v>
      </c>
      <c r="D65" s="269">
        <v>41655</v>
      </c>
      <c r="E65" s="270" t="s">
        <v>369</v>
      </c>
      <c r="F65" s="384">
        <v>349000</v>
      </c>
      <c r="G65" s="270">
        <v>690703364</v>
      </c>
      <c r="H65" s="270"/>
    </row>
    <row r="66" spans="1:8" x14ac:dyDescent="0.25">
      <c r="A66" s="257">
        <v>66</v>
      </c>
      <c r="B66" s="267">
        <v>65</v>
      </c>
      <c r="C66" s="268" t="s">
        <v>3542</v>
      </c>
      <c r="D66" s="269">
        <v>41655</v>
      </c>
      <c r="E66" s="270" t="s">
        <v>3112</v>
      </c>
      <c r="F66" s="384">
        <v>135000</v>
      </c>
      <c r="G66" s="270">
        <v>191129037</v>
      </c>
      <c r="H66" s="270"/>
    </row>
    <row r="67" spans="1:8" x14ac:dyDescent="0.25">
      <c r="A67" s="257">
        <v>67</v>
      </c>
      <c r="B67" s="267">
        <v>66</v>
      </c>
      <c r="C67" s="268" t="s">
        <v>2741</v>
      </c>
      <c r="D67" s="269">
        <v>41656</v>
      </c>
      <c r="E67" s="270" t="s">
        <v>3758</v>
      </c>
      <c r="F67" s="384">
        <v>51000</v>
      </c>
      <c r="G67" s="270">
        <v>191376796</v>
      </c>
      <c r="H67" s="270"/>
    </row>
    <row r="68" spans="1:8" x14ac:dyDescent="0.25">
      <c r="A68" s="257">
        <v>68</v>
      </c>
      <c r="B68" s="267">
        <v>67</v>
      </c>
      <c r="C68" s="268" t="s">
        <v>846</v>
      </c>
      <c r="D68" s="269">
        <v>41656</v>
      </c>
      <c r="E68" s="270" t="s">
        <v>500</v>
      </c>
      <c r="F68" s="384">
        <v>224000</v>
      </c>
      <c r="G68" s="270">
        <v>690631984</v>
      </c>
      <c r="H68" s="270"/>
    </row>
    <row r="69" spans="1:8" x14ac:dyDescent="0.25">
      <c r="A69" s="257">
        <v>69</v>
      </c>
      <c r="B69" s="267">
        <v>68</v>
      </c>
      <c r="C69" s="268" t="s">
        <v>978</v>
      </c>
      <c r="D69" s="269">
        <v>41659</v>
      </c>
      <c r="E69" s="270" t="s">
        <v>847</v>
      </c>
      <c r="F69" s="384">
        <v>125000</v>
      </c>
      <c r="G69" s="270">
        <v>190853326</v>
      </c>
      <c r="H69" s="270"/>
    </row>
    <row r="70" spans="1:8" x14ac:dyDescent="0.25">
      <c r="A70" s="257">
        <v>70</v>
      </c>
      <c r="B70" s="267">
        <v>69</v>
      </c>
      <c r="C70" s="268" t="s">
        <v>1643</v>
      </c>
      <c r="D70" s="269">
        <v>41659</v>
      </c>
      <c r="E70" s="270" t="s">
        <v>3579</v>
      </c>
      <c r="F70" s="384">
        <v>704000</v>
      </c>
      <c r="G70" s="270">
        <v>590975601</v>
      </c>
      <c r="H70" s="270"/>
    </row>
    <row r="71" spans="1:8" x14ac:dyDescent="0.25">
      <c r="A71" s="257">
        <v>71</v>
      </c>
      <c r="B71" s="267">
        <v>70</v>
      </c>
      <c r="C71" s="268" t="s">
        <v>3765</v>
      </c>
      <c r="D71" s="269">
        <v>41659</v>
      </c>
      <c r="E71" s="270" t="s">
        <v>704</v>
      </c>
      <c r="F71" s="384">
        <v>280000</v>
      </c>
      <c r="G71" s="270">
        <v>100020797</v>
      </c>
      <c r="H71" s="270"/>
    </row>
    <row r="72" spans="1:8" x14ac:dyDescent="0.25">
      <c r="A72" s="257">
        <v>72</v>
      </c>
      <c r="B72" s="267">
        <v>71</v>
      </c>
      <c r="C72" s="268" t="s">
        <v>724</v>
      </c>
      <c r="D72" s="269">
        <v>41659</v>
      </c>
      <c r="E72" s="270" t="s">
        <v>1000</v>
      </c>
      <c r="F72" s="384">
        <v>349000</v>
      </c>
      <c r="G72" s="270">
        <v>808000410</v>
      </c>
      <c r="H72" s="270"/>
    </row>
    <row r="73" spans="1:8" x14ac:dyDescent="0.25">
      <c r="A73" s="257">
        <v>73</v>
      </c>
      <c r="B73" s="267">
        <v>72</v>
      </c>
      <c r="C73" s="268" t="s">
        <v>347</v>
      </c>
      <c r="D73" s="269">
        <v>41659</v>
      </c>
      <c r="E73" s="270" t="s">
        <v>3551</v>
      </c>
      <c r="F73" s="384">
        <v>243000</v>
      </c>
      <c r="G73" s="270">
        <v>600004004</v>
      </c>
      <c r="H73" s="270"/>
    </row>
    <row r="74" spans="1:8" x14ac:dyDescent="0.25">
      <c r="A74" s="257">
        <v>74</v>
      </c>
      <c r="B74" s="267">
        <v>73</v>
      </c>
      <c r="C74" s="268" t="s">
        <v>2714</v>
      </c>
      <c r="D74" s="269">
        <v>41659</v>
      </c>
      <c r="E74" s="270" t="s">
        <v>891</v>
      </c>
      <c r="F74" s="384">
        <v>193000</v>
      </c>
      <c r="G74" s="270">
        <v>190304936</v>
      </c>
      <c r="H74" s="270"/>
    </row>
    <row r="75" spans="1:8" x14ac:dyDescent="0.25">
      <c r="A75" s="257">
        <v>75</v>
      </c>
      <c r="B75" s="267">
        <v>74</v>
      </c>
      <c r="C75" s="268" t="s">
        <v>1643</v>
      </c>
      <c r="D75" s="269">
        <v>41660</v>
      </c>
      <c r="E75" s="270" t="s">
        <v>3579</v>
      </c>
      <c r="F75" s="384">
        <v>161000</v>
      </c>
      <c r="G75" s="270">
        <v>590975601</v>
      </c>
      <c r="H75" s="270"/>
    </row>
    <row r="76" spans="1:8" x14ac:dyDescent="0.25">
      <c r="A76" s="257">
        <v>76</v>
      </c>
      <c r="B76" s="267">
        <v>75</v>
      </c>
      <c r="C76" s="268" t="s">
        <v>1834</v>
      </c>
      <c r="D76" s="269">
        <v>41660</v>
      </c>
      <c r="E76" s="270" t="s">
        <v>453</v>
      </c>
      <c r="F76" s="384">
        <v>224000</v>
      </c>
      <c r="G76" s="270">
        <v>6915330341</v>
      </c>
      <c r="H76" s="270"/>
    </row>
    <row r="77" spans="1:8" x14ac:dyDescent="0.25">
      <c r="A77" s="257">
        <v>77</v>
      </c>
      <c r="B77" s="267">
        <v>76</v>
      </c>
      <c r="C77" s="268" t="s">
        <v>2687</v>
      </c>
      <c r="D77" s="269">
        <v>41660</v>
      </c>
      <c r="E77" s="270" t="s">
        <v>2775</v>
      </c>
      <c r="F77" s="384">
        <v>125000</v>
      </c>
      <c r="G77" s="270">
        <v>691301525</v>
      </c>
      <c r="H77" s="270"/>
    </row>
    <row r="78" spans="1:8" x14ac:dyDescent="0.25">
      <c r="A78" s="257">
        <v>78</v>
      </c>
      <c r="B78" s="267">
        <v>77</v>
      </c>
      <c r="C78" s="268" t="s">
        <v>2675</v>
      </c>
      <c r="D78" s="269">
        <v>41660</v>
      </c>
      <c r="E78" s="270" t="s">
        <v>837</v>
      </c>
      <c r="F78" s="384">
        <v>670000</v>
      </c>
      <c r="G78" s="270">
        <v>101449345</v>
      </c>
      <c r="H78" s="270"/>
    </row>
    <row r="79" spans="1:8" x14ac:dyDescent="0.25">
      <c r="A79" s="257">
        <v>79</v>
      </c>
      <c r="B79" s="267">
        <v>78</v>
      </c>
      <c r="C79" s="268" t="s">
        <v>3542</v>
      </c>
      <c r="D79" s="269">
        <v>41660</v>
      </c>
      <c r="E79" s="270" t="s">
        <v>3112</v>
      </c>
      <c r="F79" s="384">
        <v>25000</v>
      </c>
      <c r="G79" s="270">
        <v>191129037</v>
      </c>
      <c r="H79" s="270"/>
    </row>
    <row r="80" spans="1:8" x14ac:dyDescent="0.25">
      <c r="A80" s="257">
        <v>80</v>
      </c>
      <c r="B80" s="267">
        <v>79</v>
      </c>
      <c r="C80" s="268" t="s">
        <v>1658</v>
      </c>
      <c r="D80" s="269">
        <v>41660</v>
      </c>
      <c r="E80" s="270" t="s">
        <v>825</v>
      </c>
      <c r="F80" s="384">
        <v>349000</v>
      </c>
      <c r="G80" s="270">
        <v>100951254</v>
      </c>
      <c r="H80" s="270"/>
    </row>
    <row r="81" spans="1:8" x14ac:dyDescent="0.25">
      <c r="A81" s="257">
        <v>81</v>
      </c>
      <c r="B81" s="267">
        <v>80</v>
      </c>
      <c r="C81" s="268" t="s">
        <v>1658</v>
      </c>
      <c r="D81" s="269">
        <v>41660</v>
      </c>
      <c r="E81" s="270" t="s">
        <v>825</v>
      </c>
      <c r="F81" s="384">
        <v>161000</v>
      </c>
      <c r="G81" s="270">
        <v>100951254</v>
      </c>
      <c r="H81" s="270"/>
    </row>
    <row r="82" spans="1:8" x14ac:dyDescent="0.25">
      <c r="A82" s="257">
        <v>82</v>
      </c>
      <c r="B82" s="267">
        <v>81</v>
      </c>
      <c r="C82" s="268" t="s">
        <v>1643</v>
      </c>
      <c r="D82" s="269">
        <v>41660</v>
      </c>
      <c r="E82" s="270" t="s">
        <v>3579</v>
      </c>
      <c r="F82" s="384">
        <v>30000</v>
      </c>
      <c r="G82" s="270">
        <v>590975601</v>
      </c>
      <c r="H82" s="270"/>
    </row>
    <row r="83" spans="1:8" x14ac:dyDescent="0.25">
      <c r="A83" s="257">
        <v>83</v>
      </c>
      <c r="B83" s="267">
        <v>82</v>
      </c>
      <c r="C83" s="268" t="s">
        <v>1853</v>
      </c>
      <c r="D83" s="269">
        <v>41661</v>
      </c>
      <c r="E83" s="270" t="s">
        <v>447</v>
      </c>
      <c r="F83" s="384">
        <v>965000</v>
      </c>
      <c r="G83" s="270">
        <v>600004706</v>
      </c>
      <c r="H83" s="270"/>
    </row>
    <row r="84" spans="1:8" x14ac:dyDescent="0.25">
      <c r="A84" s="257">
        <v>84</v>
      </c>
      <c r="B84" s="267">
        <v>83</v>
      </c>
      <c r="C84" s="268" t="s">
        <v>3636</v>
      </c>
      <c r="D84" s="269">
        <v>41661</v>
      </c>
      <c r="E84" s="270" t="s">
        <v>3650</v>
      </c>
      <c r="F84" s="384">
        <v>479000</v>
      </c>
      <c r="G84" s="270">
        <v>600204179</v>
      </c>
      <c r="H84" s="270"/>
    </row>
    <row r="85" spans="1:8" x14ac:dyDescent="0.25">
      <c r="A85" s="257">
        <v>85</v>
      </c>
      <c r="B85" s="267">
        <v>84</v>
      </c>
      <c r="C85" s="268" t="s">
        <v>725</v>
      </c>
      <c r="D85" s="269">
        <v>41661</v>
      </c>
      <c r="E85" s="270" t="s">
        <v>861</v>
      </c>
      <c r="F85" s="384">
        <v>5110000</v>
      </c>
      <c r="G85" s="270">
        <v>100097541</v>
      </c>
      <c r="H85" s="270"/>
    </row>
    <row r="86" spans="1:8" x14ac:dyDescent="0.25">
      <c r="A86" s="257">
        <v>86</v>
      </c>
      <c r="B86" s="267">
        <v>85</v>
      </c>
      <c r="C86" s="268" t="s">
        <v>2166</v>
      </c>
      <c r="D86" s="269">
        <v>41661</v>
      </c>
      <c r="E86" s="270" t="s">
        <v>1685</v>
      </c>
      <c r="F86" s="384">
        <v>224000</v>
      </c>
      <c r="G86" s="270">
        <v>100315326</v>
      </c>
      <c r="H86" s="270"/>
    </row>
    <row r="87" spans="1:8" x14ac:dyDescent="0.25">
      <c r="A87" s="257">
        <v>87</v>
      </c>
      <c r="B87" s="267">
        <v>86</v>
      </c>
      <c r="C87" s="268" t="s">
        <v>994</v>
      </c>
      <c r="D87" s="269">
        <v>41662</v>
      </c>
      <c r="E87" s="270" t="s">
        <v>854</v>
      </c>
      <c r="F87" s="384">
        <v>130000</v>
      </c>
      <c r="G87" s="270">
        <v>100122726</v>
      </c>
      <c r="H87" s="270"/>
    </row>
    <row r="88" spans="1:8" x14ac:dyDescent="0.25">
      <c r="A88" s="257">
        <v>88</v>
      </c>
      <c r="B88" s="267">
        <v>87</v>
      </c>
      <c r="C88" s="268" t="s">
        <v>3309</v>
      </c>
      <c r="D88" s="269">
        <v>41662</v>
      </c>
      <c r="E88" s="270" t="s">
        <v>1692</v>
      </c>
      <c r="F88" s="384">
        <v>25000</v>
      </c>
      <c r="G88" s="270">
        <v>600537220</v>
      </c>
      <c r="H88" s="270"/>
    </row>
    <row r="89" spans="1:8" x14ac:dyDescent="0.25">
      <c r="A89" s="257">
        <v>89</v>
      </c>
      <c r="B89" s="267">
        <v>88</v>
      </c>
      <c r="C89" s="268" t="s">
        <v>3308</v>
      </c>
      <c r="D89" s="269">
        <v>41662</v>
      </c>
      <c r="E89" s="270" t="s">
        <v>2851</v>
      </c>
      <c r="F89" s="384">
        <v>349000</v>
      </c>
      <c r="G89" s="270">
        <v>691463537</v>
      </c>
      <c r="H89" s="270"/>
    </row>
    <row r="90" spans="1:8" x14ac:dyDescent="0.25">
      <c r="A90" s="257">
        <v>90</v>
      </c>
      <c r="B90" s="267">
        <v>89</v>
      </c>
      <c r="C90" s="268" t="s">
        <v>175</v>
      </c>
      <c r="D90" s="269">
        <v>41663</v>
      </c>
      <c r="E90" s="270" t="s">
        <v>2603</v>
      </c>
      <c r="F90" s="384">
        <v>193000</v>
      </c>
      <c r="G90" s="270">
        <v>190074151</v>
      </c>
      <c r="H90" s="270"/>
    </row>
    <row r="91" spans="1:8" x14ac:dyDescent="0.25">
      <c r="A91" s="257">
        <v>91</v>
      </c>
      <c r="B91" s="267">
        <v>90</v>
      </c>
      <c r="C91" s="268" t="s">
        <v>2602</v>
      </c>
      <c r="D91" s="269">
        <v>41663</v>
      </c>
      <c r="E91" s="270" t="s">
        <v>3321</v>
      </c>
      <c r="F91" s="384">
        <v>349000</v>
      </c>
      <c r="G91" s="270">
        <v>490492602</v>
      </c>
      <c r="H91" s="270"/>
    </row>
    <row r="92" spans="1:8" x14ac:dyDescent="0.25">
      <c r="A92" s="257">
        <v>92</v>
      </c>
      <c r="B92" s="267">
        <v>91</v>
      </c>
      <c r="C92" s="268" t="s">
        <v>2602</v>
      </c>
      <c r="D92" s="269">
        <v>41663</v>
      </c>
      <c r="E92" s="270" t="s">
        <v>3321</v>
      </c>
      <c r="F92" s="384">
        <v>349000</v>
      </c>
      <c r="G92" s="270">
        <v>490492602</v>
      </c>
      <c r="H92" s="270"/>
    </row>
    <row r="93" spans="1:8" x14ac:dyDescent="0.25">
      <c r="A93" s="257">
        <v>93</v>
      </c>
      <c r="B93" s="267">
        <v>92</v>
      </c>
      <c r="C93" s="268" t="s">
        <v>2602</v>
      </c>
      <c r="D93" s="269">
        <v>41663</v>
      </c>
      <c r="E93" s="270" t="s">
        <v>3321</v>
      </c>
      <c r="F93" s="384">
        <v>1112000</v>
      </c>
      <c r="G93" s="270">
        <v>490492602</v>
      </c>
      <c r="H93" s="270"/>
    </row>
    <row r="94" spans="1:8" x14ac:dyDescent="0.25">
      <c r="A94" s="257">
        <v>94</v>
      </c>
      <c r="B94" s="267">
        <v>93</v>
      </c>
      <c r="C94" s="268" t="s">
        <v>3734</v>
      </c>
      <c r="D94" s="269">
        <v>41663</v>
      </c>
      <c r="E94" s="270" t="s">
        <v>2358</v>
      </c>
      <c r="F94" s="384">
        <v>224000</v>
      </c>
      <c r="G94" s="270">
        <v>800008903</v>
      </c>
      <c r="H94" s="270"/>
    </row>
    <row r="95" spans="1:8" x14ac:dyDescent="0.25">
      <c r="A95" s="257">
        <v>95</v>
      </c>
      <c r="B95" s="267">
        <v>94</v>
      </c>
      <c r="C95" s="268" t="s">
        <v>910</v>
      </c>
      <c r="D95" s="269">
        <v>41663</v>
      </c>
      <c r="E95" s="270" t="s">
        <v>1656</v>
      </c>
      <c r="F95" s="384">
        <v>291000</v>
      </c>
      <c r="G95" s="270">
        <v>101439397</v>
      </c>
      <c r="H95" s="270"/>
    </row>
    <row r="96" spans="1:8" x14ac:dyDescent="0.25">
      <c r="A96" s="257">
        <v>96</v>
      </c>
      <c r="B96" s="267">
        <v>95</v>
      </c>
      <c r="C96" s="268" t="s">
        <v>1643</v>
      </c>
      <c r="D96" s="269">
        <v>41663</v>
      </c>
      <c r="E96" s="270" t="s">
        <v>3579</v>
      </c>
      <c r="F96" s="384">
        <v>30000</v>
      </c>
      <c r="G96" s="270">
        <v>590975601</v>
      </c>
      <c r="H96" s="270"/>
    </row>
    <row r="97" spans="1:8" x14ac:dyDescent="0.25">
      <c r="A97" s="257">
        <v>97</v>
      </c>
      <c r="B97" s="267">
        <v>96</v>
      </c>
      <c r="C97" s="268" t="s">
        <v>2645</v>
      </c>
      <c r="D97" s="269">
        <v>41664</v>
      </c>
      <c r="E97" s="270" t="s">
        <v>239</v>
      </c>
      <c r="F97" s="384">
        <v>349000</v>
      </c>
      <c r="G97" s="270">
        <v>101139097</v>
      </c>
      <c r="H97" s="270"/>
    </row>
    <row r="98" spans="1:8" x14ac:dyDescent="0.25">
      <c r="A98" s="257">
        <v>98</v>
      </c>
      <c r="B98" s="267">
        <v>97</v>
      </c>
      <c r="C98" s="268" t="s">
        <v>870</v>
      </c>
      <c r="D98" s="269">
        <v>41666</v>
      </c>
      <c r="E98" s="270" t="s">
        <v>428</v>
      </c>
      <c r="F98" s="384">
        <v>193000</v>
      </c>
      <c r="G98" s="270">
        <v>100783448</v>
      </c>
      <c r="H98" s="270"/>
    </row>
    <row r="99" spans="1:8" x14ac:dyDescent="0.25">
      <c r="A99" s="257">
        <v>99</v>
      </c>
      <c r="B99" s="267">
        <v>98</v>
      </c>
      <c r="C99" s="268" t="s">
        <v>2714</v>
      </c>
      <c r="D99" s="269">
        <v>41666</v>
      </c>
      <c r="E99" s="270" t="s">
        <v>891</v>
      </c>
      <c r="F99" s="384">
        <v>49000</v>
      </c>
      <c r="G99" s="270">
        <v>190304936</v>
      </c>
      <c r="H99" s="270"/>
    </row>
    <row r="100" spans="1:8" x14ac:dyDescent="0.25">
      <c r="A100" s="257">
        <v>100</v>
      </c>
      <c r="B100" s="267">
        <v>99</v>
      </c>
      <c r="C100" s="268" t="s">
        <v>724</v>
      </c>
      <c r="D100" s="269">
        <v>41667</v>
      </c>
      <c r="E100" s="270" t="s">
        <v>1000</v>
      </c>
      <c r="F100" s="384">
        <v>349000</v>
      </c>
      <c r="G100" s="270">
        <v>808000410</v>
      </c>
      <c r="H100" s="270"/>
    </row>
    <row r="101" spans="1:8" x14ac:dyDescent="0.25">
      <c r="A101" s="257">
        <v>101</v>
      </c>
      <c r="B101" s="267">
        <v>100</v>
      </c>
      <c r="C101" s="268" t="s">
        <v>2957</v>
      </c>
      <c r="D101" s="269">
        <v>41667</v>
      </c>
      <c r="E101" s="270" t="s">
        <v>2800</v>
      </c>
      <c r="F101" s="384">
        <v>1508000</v>
      </c>
      <c r="G101" s="270">
        <v>600481624</v>
      </c>
      <c r="H101" s="270"/>
    </row>
    <row r="102" spans="1:8" x14ac:dyDescent="0.25">
      <c r="A102" s="257">
        <v>102</v>
      </c>
      <c r="B102" s="267">
        <v>101</v>
      </c>
      <c r="C102" s="268" t="s">
        <v>2405</v>
      </c>
      <c r="D102" s="269">
        <v>41667</v>
      </c>
      <c r="E102" s="270" t="s">
        <v>1944</v>
      </c>
      <c r="F102" s="384">
        <v>161000</v>
      </c>
      <c r="G102" s="270">
        <v>100345799</v>
      </c>
      <c r="H102" s="270"/>
    </row>
    <row r="103" spans="1:8" x14ac:dyDescent="0.25">
      <c r="A103" s="257">
        <v>103</v>
      </c>
      <c r="B103" s="267">
        <v>102</v>
      </c>
      <c r="C103" s="268" t="s">
        <v>2828</v>
      </c>
      <c r="D103" s="269">
        <v>41667</v>
      </c>
      <c r="E103" s="270" t="s">
        <v>892</v>
      </c>
      <c r="F103" s="384">
        <v>161000</v>
      </c>
      <c r="G103" s="270">
        <v>100390954</v>
      </c>
      <c r="H103" s="270"/>
    </row>
    <row r="104" spans="1:8" x14ac:dyDescent="0.25">
      <c r="A104" s="257">
        <v>104</v>
      </c>
      <c r="B104" s="267">
        <v>103</v>
      </c>
      <c r="C104" s="268" t="s">
        <v>2437</v>
      </c>
      <c r="D104" s="269">
        <v>41667</v>
      </c>
      <c r="E104" s="270" t="s">
        <v>3584</v>
      </c>
      <c r="F104" s="384">
        <v>335000</v>
      </c>
      <c r="G104" s="270">
        <v>100297330</v>
      </c>
      <c r="H104" s="270"/>
    </row>
    <row r="105" spans="1:8" x14ac:dyDescent="0.25">
      <c r="A105" s="257">
        <v>105</v>
      </c>
      <c r="B105" s="267">
        <v>104</v>
      </c>
      <c r="C105" s="268" t="s">
        <v>2437</v>
      </c>
      <c r="D105" s="269">
        <v>41667</v>
      </c>
      <c r="E105" s="270" t="s">
        <v>3584</v>
      </c>
      <c r="F105" s="384">
        <v>224000</v>
      </c>
      <c r="G105" s="270">
        <v>100297330</v>
      </c>
      <c r="H105" s="270"/>
    </row>
    <row r="106" spans="1:8" x14ac:dyDescent="0.25">
      <c r="A106" s="257">
        <v>106</v>
      </c>
      <c r="B106" s="267">
        <v>105</v>
      </c>
      <c r="C106" s="268" t="s">
        <v>1808</v>
      </c>
      <c r="D106" s="269">
        <v>41667</v>
      </c>
      <c r="E106" s="270" t="s">
        <v>924</v>
      </c>
      <c r="F106" s="384">
        <v>224000</v>
      </c>
      <c r="G106" s="270">
        <v>290608776</v>
      </c>
      <c r="H106" s="270"/>
    </row>
    <row r="107" spans="1:8" x14ac:dyDescent="0.25">
      <c r="A107" s="257">
        <v>107</v>
      </c>
      <c r="B107" s="267">
        <v>106</v>
      </c>
      <c r="C107" s="268" t="s">
        <v>3298</v>
      </c>
      <c r="D107" s="269">
        <v>41667</v>
      </c>
      <c r="E107" s="270" t="s">
        <v>980</v>
      </c>
      <c r="F107" s="384">
        <v>161000</v>
      </c>
      <c r="G107" s="270">
        <v>100015784</v>
      </c>
      <c r="H107" s="270"/>
    </row>
    <row r="108" spans="1:8" x14ac:dyDescent="0.25">
      <c r="A108" s="257">
        <v>108</v>
      </c>
      <c r="B108" s="267">
        <v>107</v>
      </c>
      <c r="C108" s="268" t="s">
        <v>3209</v>
      </c>
      <c r="D108" s="269">
        <v>41667</v>
      </c>
      <c r="E108" s="270" t="s">
        <v>309</v>
      </c>
      <c r="F108" s="384">
        <v>386000</v>
      </c>
      <c r="G108" s="270">
        <v>691072211</v>
      </c>
      <c r="H108" s="270"/>
    </row>
    <row r="109" spans="1:8" x14ac:dyDescent="0.25">
      <c r="A109" s="257">
        <v>109</v>
      </c>
      <c r="B109" s="267">
        <v>108</v>
      </c>
      <c r="C109" s="268" t="s">
        <v>2957</v>
      </c>
      <c r="D109" s="269">
        <v>41667</v>
      </c>
      <c r="E109" s="270" t="s">
        <v>2800</v>
      </c>
      <c r="F109" s="384">
        <v>1112000</v>
      </c>
      <c r="G109" s="270">
        <v>600481624</v>
      </c>
      <c r="H109" s="270"/>
    </row>
    <row r="110" spans="1:8" x14ac:dyDescent="0.25">
      <c r="A110" s="257">
        <v>110</v>
      </c>
      <c r="B110" s="267">
        <v>109</v>
      </c>
      <c r="C110" s="268" t="s">
        <v>2957</v>
      </c>
      <c r="D110" s="269">
        <v>41668</v>
      </c>
      <c r="E110" s="270" t="s">
        <v>2800</v>
      </c>
      <c r="F110" s="384">
        <v>161000</v>
      </c>
      <c r="G110" s="270">
        <v>600481624</v>
      </c>
      <c r="H110" s="270"/>
    </row>
    <row r="111" spans="1:8" x14ac:dyDescent="0.25">
      <c r="A111" s="257">
        <v>111</v>
      </c>
      <c r="B111" s="267">
        <v>110</v>
      </c>
      <c r="C111" s="268" t="s">
        <v>3851</v>
      </c>
      <c r="D111" s="269">
        <v>41668</v>
      </c>
      <c r="E111" s="270" t="s">
        <v>2412</v>
      </c>
      <c r="F111" s="384">
        <v>161000</v>
      </c>
      <c r="G111" s="270">
        <v>190276474</v>
      </c>
      <c r="H111" s="270"/>
    </row>
    <row r="112" spans="1:8" x14ac:dyDescent="0.25">
      <c r="A112" s="257">
        <v>112</v>
      </c>
      <c r="B112" s="267">
        <v>111</v>
      </c>
      <c r="C112" s="268" t="s">
        <v>2622</v>
      </c>
      <c r="D112" s="269">
        <v>41668</v>
      </c>
      <c r="E112" s="270" t="s">
        <v>2673</v>
      </c>
      <c r="F112" s="384">
        <v>130000</v>
      </c>
      <c r="G112" s="270">
        <v>690387482</v>
      </c>
      <c r="H112" s="270"/>
    </row>
    <row r="113" spans="1:8" x14ac:dyDescent="0.25">
      <c r="A113" s="257">
        <v>113</v>
      </c>
      <c r="B113" s="267">
        <v>112</v>
      </c>
      <c r="C113" s="268" t="s">
        <v>833</v>
      </c>
      <c r="D113" s="269">
        <v>41669</v>
      </c>
      <c r="E113" s="270" t="s">
        <v>703</v>
      </c>
      <c r="F113" s="384">
        <v>349000</v>
      </c>
      <c r="G113" s="270">
        <v>690616622</v>
      </c>
      <c r="H113" s="270"/>
    </row>
    <row r="114" spans="1:8" x14ac:dyDescent="0.25">
      <c r="A114" s="257">
        <v>114</v>
      </c>
      <c r="B114" s="267">
        <v>113</v>
      </c>
      <c r="C114" s="268" t="s">
        <v>3846</v>
      </c>
      <c r="D114" s="269">
        <v>41669</v>
      </c>
      <c r="E114" s="270" t="s">
        <v>3264</v>
      </c>
      <c r="F114" s="384">
        <v>1120000</v>
      </c>
      <c r="G114" s="270">
        <v>100286452</v>
      </c>
      <c r="H114" s="270"/>
    </row>
    <row r="115" spans="1:8" x14ac:dyDescent="0.25">
      <c r="A115" s="257">
        <v>115</v>
      </c>
      <c r="B115" s="267">
        <v>114</v>
      </c>
      <c r="C115" s="268" t="s">
        <v>2444</v>
      </c>
      <c r="D115" s="269">
        <v>41669</v>
      </c>
      <c r="E115" s="270" t="s">
        <v>2631</v>
      </c>
      <c r="F115" s="384">
        <v>2688000</v>
      </c>
      <c r="G115" s="270">
        <v>100008077</v>
      </c>
      <c r="H115" s="270"/>
    </row>
    <row r="116" spans="1:8" x14ac:dyDescent="0.25">
      <c r="A116" s="257">
        <v>116</v>
      </c>
      <c r="B116" s="267">
        <v>115</v>
      </c>
      <c r="C116" s="268" t="s">
        <v>948</v>
      </c>
      <c r="D116" s="269">
        <v>41669</v>
      </c>
      <c r="E116" s="270" t="s">
        <v>225</v>
      </c>
      <c r="F116" s="384">
        <v>174000</v>
      </c>
      <c r="G116" s="270">
        <v>100152060</v>
      </c>
      <c r="H116" s="270"/>
    </row>
    <row r="117" spans="1:8" x14ac:dyDescent="0.25">
      <c r="A117" s="257">
        <v>117</v>
      </c>
      <c r="B117" s="267">
        <v>116</v>
      </c>
      <c r="C117" s="268" t="s">
        <v>1930</v>
      </c>
      <c r="D117" s="269">
        <v>41669</v>
      </c>
      <c r="E117" s="270" t="s">
        <v>4191</v>
      </c>
      <c r="F117" s="384">
        <v>224000</v>
      </c>
      <c r="G117" s="270">
        <v>101482164</v>
      </c>
      <c r="H117" s="270"/>
    </row>
    <row r="118" spans="1:8" x14ac:dyDescent="0.25">
      <c r="A118" s="257">
        <v>118</v>
      </c>
      <c r="B118" s="267">
        <v>117</v>
      </c>
      <c r="C118" s="268" t="s">
        <v>3864</v>
      </c>
      <c r="D118" s="269">
        <v>41669</v>
      </c>
      <c r="E118" s="270" t="s">
        <v>906</v>
      </c>
      <c r="F118" s="384">
        <v>243000</v>
      </c>
      <c r="G118" s="270">
        <v>100348119</v>
      </c>
      <c r="H118" s="270"/>
    </row>
    <row r="119" spans="1:8" x14ac:dyDescent="0.25">
      <c r="A119" s="257">
        <v>119</v>
      </c>
      <c r="B119" s="267">
        <v>118</v>
      </c>
      <c r="C119" s="268" t="s">
        <v>3102</v>
      </c>
      <c r="D119" s="269">
        <v>41669</v>
      </c>
      <c r="E119" s="270" t="s">
        <v>2825</v>
      </c>
      <c r="F119" s="384">
        <v>193000</v>
      </c>
      <c r="G119" s="270">
        <v>500011238</v>
      </c>
      <c r="H119" s="270"/>
    </row>
    <row r="120" spans="1:8" x14ac:dyDescent="0.25">
      <c r="A120" s="257">
        <v>120</v>
      </c>
      <c r="B120" s="267">
        <v>119</v>
      </c>
      <c r="C120" s="268" t="s">
        <v>3091</v>
      </c>
      <c r="D120" s="269">
        <v>41669</v>
      </c>
      <c r="E120" s="270" t="s">
        <v>1848</v>
      </c>
      <c r="F120" s="384">
        <v>161000</v>
      </c>
      <c r="G120" s="270">
        <v>690697161</v>
      </c>
      <c r="H120" s="270"/>
    </row>
    <row r="121" spans="1:8" x14ac:dyDescent="0.25">
      <c r="A121" s="257">
        <v>121</v>
      </c>
      <c r="B121" s="267">
        <v>120</v>
      </c>
      <c r="C121" s="268" t="s">
        <v>3601</v>
      </c>
      <c r="D121" s="269">
        <v>41669</v>
      </c>
      <c r="E121" s="270" t="s">
        <v>2445</v>
      </c>
      <c r="F121" s="384">
        <v>193000</v>
      </c>
      <c r="G121" s="270">
        <v>190739139</v>
      </c>
      <c r="H121" s="270"/>
    </row>
    <row r="122" spans="1:8" x14ac:dyDescent="0.25">
      <c r="A122" s="257">
        <v>122</v>
      </c>
      <c r="B122" s="267">
        <v>121</v>
      </c>
      <c r="C122" s="268" t="s">
        <v>2095</v>
      </c>
      <c r="D122" s="269">
        <v>41670</v>
      </c>
      <c r="E122" s="270" t="s">
        <v>2688</v>
      </c>
      <c r="F122" s="384">
        <v>349000</v>
      </c>
      <c r="G122" s="270">
        <v>100261801</v>
      </c>
      <c r="H122" s="270"/>
    </row>
    <row r="123" spans="1:8" x14ac:dyDescent="0.25">
      <c r="A123" s="257">
        <v>123</v>
      </c>
      <c r="B123" s="267">
        <v>122</v>
      </c>
      <c r="C123" s="268" t="s">
        <v>3601</v>
      </c>
      <c r="D123" s="269">
        <v>41670</v>
      </c>
      <c r="E123" s="270" t="s">
        <v>2445</v>
      </c>
      <c r="F123" s="384">
        <v>624000</v>
      </c>
      <c r="G123" s="270">
        <v>190739139</v>
      </c>
      <c r="H123" s="270"/>
    </row>
    <row r="124" spans="1:8" x14ac:dyDescent="0.25">
      <c r="A124" s="257">
        <v>124</v>
      </c>
      <c r="B124" s="267">
        <v>123</v>
      </c>
      <c r="C124" s="268" t="s">
        <v>870</v>
      </c>
      <c r="D124" s="269">
        <v>41671</v>
      </c>
      <c r="E124" s="270" t="s">
        <v>428</v>
      </c>
      <c r="F124" s="384">
        <v>55000</v>
      </c>
      <c r="G124" s="270">
        <v>100783448</v>
      </c>
      <c r="H124" s="270"/>
    </row>
    <row r="125" spans="1:8" x14ac:dyDescent="0.25">
      <c r="A125" s="257">
        <v>125</v>
      </c>
      <c r="B125" s="267">
        <v>124</v>
      </c>
      <c r="C125" s="268" t="s">
        <v>3864</v>
      </c>
      <c r="D125" s="269">
        <v>41671</v>
      </c>
      <c r="E125" s="270" t="s">
        <v>906</v>
      </c>
      <c r="F125" s="384">
        <v>55000</v>
      </c>
      <c r="G125" s="270">
        <v>100348119</v>
      </c>
      <c r="H125" s="270"/>
    </row>
    <row r="126" spans="1:8" x14ac:dyDescent="0.25">
      <c r="A126" s="257">
        <v>126</v>
      </c>
      <c r="B126" s="267">
        <v>125</v>
      </c>
      <c r="C126" s="268" t="s">
        <v>3573</v>
      </c>
      <c r="D126" s="269">
        <v>41671</v>
      </c>
      <c r="E126" s="270" t="s">
        <v>62</v>
      </c>
      <c r="F126" s="384">
        <v>135000</v>
      </c>
      <c r="G126" s="270">
        <v>101332568</v>
      </c>
      <c r="H126" s="270"/>
    </row>
    <row r="127" spans="1:8" x14ac:dyDescent="0.25">
      <c r="A127" s="257">
        <v>127</v>
      </c>
      <c r="B127" s="267">
        <v>126</v>
      </c>
      <c r="C127" s="268" t="s">
        <v>910</v>
      </c>
      <c r="D127" s="269">
        <v>41673</v>
      </c>
      <c r="E127" s="270" t="s">
        <v>1656</v>
      </c>
      <c r="F127" s="384">
        <v>174000</v>
      </c>
      <c r="G127" s="270">
        <v>101439397</v>
      </c>
      <c r="H127" s="270"/>
    </row>
    <row r="128" spans="1:8" x14ac:dyDescent="0.25">
      <c r="A128" s="257">
        <v>128</v>
      </c>
      <c r="B128" s="267">
        <v>127</v>
      </c>
      <c r="C128" s="268" t="s">
        <v>3311</v>
      </c>
      <c r="D128" s="269">
        <v>41673</v>
      </c>
      <c r="E128" s="270" t="s">
        <v>1612</v>
      </c>
      <c r="F128" s="384">
        <v>377000</v>
      </c>
      <c r="G128" s="270">
        <v>0</v>
      </c>
      <c r="H128" s="270"/>
    </row>
    <row r="129" spans="1:8" x14ac:dyDescent="0.25">
      <c r="A129" s="257">
        <v>129</v>
      </c>
      <c r="B129" s="267">
        <v>128</v>
      </c>
      <c r="C129" s="268" t="s">
        <v>3311</v>
      </c>
      <c r="D129" s="269">
        <v>41673</v>
      </c>
      <c r="E129" s="270" t="s">
        <v>1612</v>
      </c>
      <c r="F129" s="384">
        <v>242000</v>
      </c>
      <c r="G129" s="270">
        <v>0</v>
      </c>
      <c r="H129" s="270"/>
    </row>
    <row r="130" spans="1:8" x14ac:dyDescent="0.25">
      <c r="A130" s="257">
        <v>130</v>
      </c>
      <c r="B130" s="267">
        <v>129</v>
      </c>
      <c r="C130" s="268" t="s">
        <v>1658</v>
      </c>
      <c r="D130" s="269">
        <v>41673</v>
      </c>
      <c r="E130" s="270" t="s">
        <v>825</v>
      </c>
      <c r="F130" s="384">
        <v>377000</v>
      </c>
      <c r="G130" s="270">
        <v>100951254</v>
      </c>
      <c r="H130" s="270"/>
    </row>
    <row r="131" spans="1:8" x14ac:dyDescent="0.25">
      <c r="A131" s="257">
        <v>131</v>
      </c>
      <c r="B131" s="267">
        <v>130</v>
      </c>
      <c r="C131" s="268" t="s">
        <v>1836</v>
      </c>
      <c r="D131" s="269">
        <v>41673</v>
      </c>
      <c r="E131" s="270" t="s">
        <v>2624</v>
      </c>
      <c r="F131" s="384">
        <v>188000</v>
      </c>
      <c r="G131" s="270">
        <v>600004086</v>
      </c>
      <c r="H131" s="270"/>
    </row>
    <row r="132" spans="1:8" x14ac:dyDescent="0.25">
      <c r="A132" s="257">
        <v>132</v>
      </c>
      <c r="B132" s="267">
        <v>131</v>
      </c>
      <c r="C132" s="268" t="s">
        <v>1</v>
      </c>
      <c r="D132" s="269">
        <v>41673</v>
      </c>
      <c r="E132" s="270" t="s">
        <v>2671</v>
      </c>
      <c r="F132" s="384">
        <v>174000</v>
      </c>
      <c r="G132" s="270">
        <v>101094935</v>
      </c>
      <c r="H132" s="270"/>
    </row>
    <row r="133" spans="1:8" x14ac:dyDescent="0.25">
      <c r="A133" s="257">
        <v>133</v>
      </c>
      <c r="B133" s="267">
        <v>132</v>
      </c>
      <c r="C133" s="268" t="s">
        <v>2406</v>
      </c>
      <c r="D133" s="269">
        <v>41673</v>
      </c>
      <c r="E133" s="270" t="s">
        <v>687</v>
      </c>
      <c r="F133" s="384">
        <v>242000</v>
      </c>
      <c r="G133" s="270">
        <v>690699297</v>
      </c>
      <c r="H133" s="270"/>
    </row>
    <row r="134" spans="1:8" x14ac:dyDescent="0.25">
      <c r="A134" s="257">
        <v>134</v>
      </c>
      <c r="B134" s="267">
        <v>133</v>
      </c>
      <c r="C134" s="268" t="s">
        <v>2684</v>
      </c>
      <c r="D134" s="269">
        <v>41673</v>
      </c>
      <c r="E134" s="270" t="s">
        <v>2805</v>
      </c>
      <c r="F134" s="384">
        <v>174000</v>
      </c>
      <c r="G134" s="270">
        <v>101107946</v>
      </c>
      <c r="H134" s="270"/>
    </row>
    <row r="135" spans="1:8" x14ac:dyDescent="0.25">
      <c r="A135" s="257">
        <v>135</v>
      </c>
      <c r="B135" s="267">
        <v>134</v>
      </c>
      <c r="C135" s="268" t="s">
        <v>252</v>
      </c>
      <c r="D135" s="269">
        <v>41673</v>
      </c>
      <c r="E135" s="270" t="s">
        <v>3582</v>
      </c>
      <c r="F135" s="384">
        <v>208000</v>
      </c>
      <c r="G135" s="270">
        <v>100338635</v>
      </c>
      <c r="H135" s="270"/>
    </row>
    <row r="136" spans="1:8" x14ac:dyDescent="0.25">
      <c r="A136" s="257">
        <v>136</v>
      </c>
      <c r="B136" s="267">
        <v>135</v>
      </c>
      <c r="C136" s="268" t="s">
        <v>2444</v>
      </c>
      <c r="D136" s="269">
        <v>41673</v>
      </c>
      <c r="E136" s="270" t="s">
        <v>2631</v>
      </c>
      <c r="F136" s="384">
        <v>348000</v>
      </c>
      <c r="G136" s="270">
        <v>100008077</v>
      </c>
      <c r="H136" s="270"/>
    </row>
    <row r="137" spans="1:8" x14ac:dyDescent="0.25">
      <c r="A137" s="257">
        <v>137</v>
      </c>
      <c r="B137" s="267">
        <v>136</v>
      </c>
      <c r="C137" s="268" t="s">
        <v>1941</v>
      </c>
      <c r="D137" s="269">
        <v>41674</v>
      </c>
      <c r="E137" s="270" t="s">
        <v>2871</v>
      </c>
      <c r="F137" s="384">
        <v>1142000</v>
      </c>
      <c r="G137" s="270">
        <v>101015738</v>
      </c>
      <c r="H137" s="270"/>
    </row>
    <row r="138" spans="1:8" x14ac:dyDescent="0.25">
      <c r="A138" s="257">
        <v>138</v>
      </c>
      <c r="B138" s="267">
        <v>137</v>
      </c>
      <c r="C138" s="268" t="s">
        <v>3752</v>
      </c>
      <c r="D138" s="269">
        <v>41674</v>
      </c>
      <c r="E138" s="270" t="s">
        <v>843</v>
      </c>
      <c r="F138" s="384">
        <v>59000</v>
      </c>
      <c r="G138" s="270">
        <v>191117762</v>
      </c>
      <c r="H138" s="270"/>
    </row>
    <row r="139" spans="1:8" x14ac:dyDescent="0.25">
      <c r="A139" s="257">
        <v>139</v>
      </c>
      <c r="B139" s="267">
        <v>138</v>
      </c>
      <c r="C139" s="268" t="s">
        <v>1784</v>
      </c>
      <c r="D139" s="269">
        <v>41674</v>
      </c>
      <c r="E139" s="270" t="s">
        <v>739</v>
      </c>
      <c r="F139" s="384">
        <v>343000</v>
      </c>
      <c r="G139" s="270">
        <v>190345942</v>
      </c>
      <c r="H139" s="270"/>
    </row>
    <row r="140" spans="1:8" x14ac:dyDescent="0.25">
      <c r="A140" s="257">
        <v>140</v>
      </c>
      <c r="B140" s="267">
        <v>139</v>
      </c>
      <c r="C140" s="268" t="s">
        <v>175</v>
      </c>
      <c r="D140" s="269">
        <v>41674</v>
      </c>
      <c r="E140" s="270" t="s">
        <v>2603</v>
      </c>
      <c r="F140" s="384">
        <v>32000</v>
      </c>
      <c r="G140" s="270">
        <v>190074151</v>
      </c>
      <c r="H140" s="270"/>
    </row>
    <row r="141" spans="1:8" x14ac:dyDescent="0.25">
      <c r="A141" s="257">
        <v>141</v>
      </c>
      <c r="B141" s="267">
        <v>140</v>
      </c>
      <c r="C141" s="268" t="s">
        <v>1658</v>
      </c>
      <c r="D141" s="269">
        <v>41674</v>
      </c>
      <c r="E141" s="270" t="s">
        <v>825</v>
      </c>
      <c r="F141" s="384">
        <v>55000</v>
      </c>
      <c r="G141" s="270">
        <v>100951254</v>
      </c>
      <c r="H141" s="270"/>
    </row>
    <row r="142" spans="1:8" x14ac:dyDescent="0.25">
      <c r="A142" s="257">
        <v>142</v>
      </c>
      <c r="B142" s="267">
        <v>141</v>
      </c>
      <c r="C142" s="268" t="s">
        <v>2870</v>
      </c>
      <c r="D142" s="269">
        <v>41674</v>
      </c>
      <c r="E142" s="270" t="s">
        <v>877</v>
      </c>
      <c r="F142" s="384">
        <v>1643000</v>
      </c>
      <c r="G142" s="270">
        <v>100064641</v>
      </c>
      <c r="H142" s="270"/>
    </row>
    <row r="143" spans="1:8" x14ac:dyDescent="0.25">
      <c r="A143" s="257">
        <v>143</v>
      </c>
      <c r="B143" s="267">
        <v>142</v>
      </c>
      <c r="C143" s="268" t="s">
        <v>963</v>
      </c>
      <c r="D143" s="269">
        <v>41674</v>
      </c>
      <c r="E143" s="270" t="s">
        <v>890</v>
      </c>
      <c r="F143" s="384">
        <v>242000</v>
      </c>
      <c r="G143" s="270">
        <v>190774241</v>
      </c>
      <c r="H143" s="270"/>
    </row>
    <row r="144" spans="1:8" x14ac:dyDescent="0.25">
      <c r="A144" s="257">
        <v>144</v>
      </c>
      <c r="B144" s="267">
        <v>143</v>
      </c>
      <c r="C144" s="268" t="s">
        <v>1658</v>
      </c>
      <c r="D144" s="269">
        <v>41675</v>
      </c>
      <c r="E144" s="270" t="s">
        <v>825</v>
      </c>
      <c r="F144" s="384">
        <v>377000</v>
      </c>
      <c r="G144" s="270">
        <v>100951254</v>
      </c>
      <c r="H144" s="270"/>
    </row>
    <row r="145" spans="1:8" x14ac:dyDescent="0.25">
      <c r="A145" s="257">
        <v>145</v>
      </c>
      <c r="B145" s="267">
        <v>145</v>
      </c>
      <c r="C145" s="268" t="s">
        <v>1021</v>
      </c>
      <c r="D145" s="269">
        <v>41675</v>
      </c>
      <c r="E145" s="270" t="s">
        <v>320</v>
      </c>
      <c r="F145" s="384">
        <v>242000</v>
      </c>
      <c r="G145" s="270">
        <v>690831296</v>
      </c>
      <c r="H145" s="270"/>
    </row>
    <row r="146" spans="1:8" x14ac:dyDescent="0.25">
      <c r="A146" s="257">
        <v>146</v>
      </c>
      <c r="B146" s="267">
        <v>146</v>
      </c>
      <c r="C146" s="268" t="s">
        <v>1120</v>
      </c>
      <c r="D146" s="269">
        <v>41675</v>
      </c>
      <c r="E146" s="270" t="s">
        <v>493</v>
      </c>
      <c r="F146" s="384">
        <v>135000</v>
      </c>
      <c r="G146" s="270">
        <v>191727606</v>
      </c>
      <c r="H146" s="270"/>
    </row>
    <row r="147" spans="1:8" x14ac:dyDescent="0.25">
      <c r="A147" s="257">
        <v>147</v>
      </c>
      <c r="B147" s="267">
        <v>147</v>
      </c>
      <c r="C147" s="268" t="s">
        <v>978</v>
      </c>
      <c r="D147" s="269">
        <v>41675</v>
      </c>
      <c r="E147" s="270" t="s">
        <v>847</v>
      </c>
      <c r="F147" s="384">
        <v>135000</v>
      </c>
      <c r="G147" s="270">
        <v>190853326</v>
      </c>
      <c r="H147" s="270"/>
    </row>
    <row r="148" spans="1:8" x14ac:dyDescent="0.25">
      <c r="A148" s="257">
        <v>148</v>
      </c>
      <c r="B148" s="267">
        <v>148</v>
      </c>
      <c r="C148" s="268" t="s">
        <v>2143</v>
      </c>
      <c r="D148" s="269">
        <v>41677</v>
      </c>
      <c r="E148" s="270" t="s">
        <v>1927</v>
      </c>
      <c r="F148" s="384">
        <v>1083000</v>
      </c>
      <c r="G148" s="270">
        <v>190032958</v>
      </c>
      <c r="H148" s="270"/>
    </row>
    <row r="149" spans="1:8" x14ac:dyDescent="0.25">
      <c r="A149" s="257">
        <v>149</v>
      </c>
      <c r="B149" s="267">
        <v>149</v>
      </c>
      <c r="C149" s="268" t="s">
        <v>2684</v>
      </c>
      <c r="D149" s="269">
        <v>41677</v>
      </c>
      <c r="E149" s="270" t="s">
        <v>2805</v>
      </c>
      <c r="F149" s="384">
        <v>81000</v>
      </c>
      <c r="G149" s="270">
        <v>101107946</v>
      </c>
      <c r="H149" s="270"/>
    </row>
    <row r="150" spans="1:8" x14ac:dyDescent="0.25">
      <c r="A150" s="257">
        <v>150</v>
      </c>
      <c r="B150" s="267">
        <v>150</v>
      </c>
      <c r="C150" s="268" t="s">
        <v>2709</v>
      </c>
      <c r="D150" s="269">
        <v>41677</v>
      </c>
      <c r="E150" s="270" t="s">
        <v>162</v>
      </c>
      <c r="F150" s="384">
        <v>551000</v>
      </c>
      <c r="G150" s="270">
        <v>690594325</v>
      </c>
      <c r="H150" s="270"/>
    </row>
    <row r="151" spans="1:8" x14ac:dyDescent="0.25">
      <c r="A151" s="257">
        <v>151</v>
      </c>
      <c r="B151" s="267">
        <v>151</v>
      </c>
      <c r="C151" s="268" t="s">
        <v>1113</v>
      </c>
      <c r="D151" s="269">
        <v>41677</v>
      </c>
      <c r="E151" s="270" t="s">
        <v>3296</v>
      </c>
      <c r="F151" s="384">
        <v>158000</v>
      </c>
      <c r="G151" s="270">
        <v>690652042</v>
      </c>
      <c r="H151" s="270"/>
    </row>
    <row r="152" spans="1:8" x14ac:dyDescent="0.25">
      <c r="A152" s="257">
        <v>152</v>
      </c>
      <c r="B152" s="267">
        <v>152</v>
      </c>
      <c r="C152" s="268" t="s">
        <v>3100</v>
      </c>
      <c r="D152" s="269">
        <v>41677</v>
      </c>
      <c r="E152" s="270" t="s">
        <v>1934</v>
      </c>
      <c r="F152" s="384">
        <v>208000</v>
      </c>
      <c r="G152" s="270">
        <v>300053077</v>
      </c>
      <c r="H152" s="270"/>
    </row>
    <row r="153" spans="1:8" x14ac:dyDescent="0.25">
      <c r="A153" s="257">
        <v>153</v>
      </c>
      <c r="B153" s="267">
        <v>153</v>
      </c>
      <c r="C153" s="268" t="s">
        <v>2645</v>
      </c>
      <c r="D153" s="269">
        <v>41677</v>
      </c>
      <c r="E153" s="270" t="s">
        <v>239</v>
      </c>
      <c r="F153" s="384">
        <v>377000</v>
      </c>
      <c r="G153" s="270">
        <v>101139097</v>
      </c>
      <c r="H153" s="270"/>
    </row>
    <row r="154" spans="1:8" x14ac:dyDescent="0.25">
      <c r="A154" s="257">
        <v>154</v>
      </c>
      <c r="B154" s="267">
        <v>154</v>
      </c>
      <c r="C154" s="268" t="s">
        <v>3628</v>
      </c>
      <c r="D154" s="269">
        <v>41680</v>
      </c>
      <c r="E154" s="270" t="s">
        <v>2720</v>
      </c>
      <c r="F154" s="384">
        <v>450000</v>
      </c>
      <c r="G154" s="270">
        <v>101026338</v>
      </c>
      <c r="H154" s="270"/>
    </row>
    <row r="155" spans="1:8" x14ac:dyDescent="0.25">
      <c r="A155" s="257">
        <v>155</v>
      </c>
      <c r="B155" s="267">
        <v>155</v>
      </c>
      <c r="C155" s="268" t="s">
        <v>128</v>
      </c>
      <c r="D155" s="269">
        <v>41680</v>
      </c>
      <c r="E155" s="270" t="s">
        <v>3259</v>
      </c>
      <c r="F155" s="384">
        <v>208000</v>
      </c>
      <c r="G155" s="270">
        <v>190904186</v>
      </c>
      <c r="H155" s="270"/>
    </row>
    <row r="156" spans="1:8" x14ac:dyDescent="0.25">
      <c r="A156" s="257">
        <v>156</v>
      </c>
      <c r="B156" s="267">
        <v>156</v>
      </c>
      <c r="C156" s="268" t="s">
        <v>1109</v>
      </c>
      <c r="D156" s="269">
        <v>41680</v>
      </c>
      <c r="E156" s="270" t="s">
        <v>734</v>
      </c>
      <c r="F156" s="384">
        <v>242000</v>
      </c>
      <c r="G156" s="270">
        <v>191023005</v>
      </c>
      <c r="H156" s="270"/>
    </row>
    <row r="157" spans="1:8" x14ac:dyDescent="0.25">
      <c r="A157" s="257">
        <v>158</v>
      </c>
      <c r="B157" s="267">
        <v>157</v>
      </c>
      <c r="C157" s="268" t="s">
        <v>2444</v>
      </c>
      <c r="D157" s="269">
        <v>41681</v>
      </c>
      <c r="E157" s="270" t="s">
        <v>2631</v>
      </c>
      <c r="F157" s="384">
        <v>174000</v>
      </c>
      <c r="G157" s="270">
        <v>100008077</v>
      </c>
      <c r="H157" s="270"/>
    </row>
    <row r="158" spans="1:8" x14ac:dyDescent="0.25">
      <c r="A158" s="257">
        <v>159</v>
      </c>
      <c r="B158" s="267">
        <v>158</v>
      </c>
      <c r="C158" s="268" t="s">
        <v>3752</v>
      </c>
      <c r="D158" s="269">
        <v>41681</v>
      </c>
      <c r="E158" s="270" t="s">
        <v>843</v>
      </c>
      <c r="F158" s="384">
        <v>32000</v>
      </c>
      <c r="G158" s="270">
        <v>191117762</v>
      </c>
      <c r="H158" s="270"/>
    </row>
    <row r="159" spans="1:8" x14ac:dyDescent="0.25">
      <c r="A159" s="257">
        <v>160</v>
      </c>
      <c r="B159" s="267">
        <v>159</v>
      </c>
      <c r="C159" s="268" t="s">
        <v>3133</v>
      </c>
      <c r="D159" s="269">
        <v>41681</v>
      </c>
      <c r="E159" s="270" t="s">
        <v>3587</v>
      </c>
      <c r="F159" s="384">
        <v>556000</v>
      </c>
      <c r="G159" s="270">
        <v>101254783</v>
      </c>
      <c r="H159" s="270"/>
    </row>
    <row r="160" spans="1:8" x14ac:dyDescent="0.25">
      <c r="A160" s="257">
        <v>161</v>
      </c>
      <c r="B160" s="267">
        <v>160</v>
      </c>
      <c r="C160" s="268" t="s">
        <v>1658</v>
      </c>
      <c r="D160" s="269">
        <v>41681</v>
      </c>
      <c r="E160" s="270" t="s">
        <v>825</v>
      </c>
      <c r="F160" s="384">
        <v>377000</v>
      </c>
      <c r="G160" s="270">
        <v>100951254</v>
      </c>
      <c r="H160" s="270"/>
    </row>
    <row r="161" spans="1:8" x14ac:dyDescent="0.25">
      <c r="A161" s="257">
        <v>162</v>
      </c>
      <c r="B161" s="267">
        <v>161</v>
      </c>
      <c r="C161" s="268" t="s">
        <v>1109</v>
      </c>
      <c r="D161" s="269">
        <v>41681</v>
      </c>
      <c r="E161" s="270" t="s">
        <v>737</v>
      </c>
      <c r="F161" s="384">
        <v>174000</v>
      </c>
      <c r="G161" s="270">
        <v>191090782</v>
      </c>
      <c r="H161" s="270"/>
    </row>
    <row r="162" spans="1:8" x14ac:dyDescent="0.25">
      <c r="A162" s="257">
        <v>163</v>
      </c>
      <c r="B162" s="267">
        <v>162</v>
      </c>
      <c r="C162" s="268" t="s">
        <v>252</v>
      </c>
      <c r="D162" s="269">
        <v>41681</v>
      </c>
      <c r="E162" s="270" t="s">
        <v>3582</v>
      </c>
      <c r="F162" s="384">
        <v>242000</v>
      </c>
      <c r="G162" s="270">
        <v>100338635</v>
      </c>
      <c r="H162" s="270"/>
    </row>
    <row r="163" spans="1:8" x14ac:dyDescent="0.25">
      <c r="A163" s="257">
        <v>164</v>
      </c>
      <c r="B163" s="267">
        <v>163</v>
      </c>
      <c r="C163" s="268" t="s">
        <v>2645</v>
      </c>
      <c r="D163" s="269">
        <v>41682</v>
      </c>
      <c r="E163" s="270" t="s">
        <v>239</v>
      </c>
      <c r="F163" s="384">
        <v>87000</v>
      </c>
      <c r="G163" s="270">
        <v>101139097</v>
      </c>
      <c r="H163" s="270"/>
    </row>
    <row r="164" spans="1:8" x14ac:dyDescent="0.25">
      <c r="A164" s="257">
        <v>165</v>
      </c>
      <c r="B164" s="267">
        <v>164</v>
      </c>
      <c r="C164" s="268" t="s">
        <v>2645</v>
      </c>
      <c r="D164" s="269">
        <v>41682</v>
      </c>
      <c r="E164" s="270" t="s">
        <v>239</v>
      </c>
      <c r="F164" s="384">
        <v>55000</v>
      </c>
      <c r="G164" s="270">
        <v>101139097</v>
      </c>
      <c r="H164" s="270"/>
    </row>
    <row r="165" spans="1:8" x14ac:dyDescent="0.25">
      <c r="A165" s="257">
        <v>166</v>
      </c>
      <c r="B165" s="267">
        <v>165</v>
      </c>
      <c r="C165" s="268" t="s">
        <v>1113</v>
      </c>
      <c r="D165" s="269">
        <v>41682</v>
      </c>
      <c r="E165" s="270" t="s">
        <v>3296</v>
      </c>
      <c r="F165" s="384">
        <v>59000</v>
      </c>
      <c r="G165" s="270">
        <v>690652042</v>
      </c>
      <c r="H165" s="270"/>
    </row>
    <row r="166" spans="1:8" x14ac:dyDescent="0.25">
      <c r="A166" s="257">
        <v>167</v>
      </c>
      <c r="B166" s="267">
        <v>166</v>
      </c>
      <c r="C166" s="268" t="s">
        <v>2781</v>
      </c>
      <c r="D166" s="269">
        <v>41682</v>
      </c>
      <c r="E166" s="270" t="s">
        <v>2850</v>
      </c>
      <c r="F166" s="384">
        <v>1210000</v>
      </c>
      <c r="G166" s="270">
        <v>190409867</v>
      </c>
      <c r="H166" s="270"/>
    </row>
    <row r="167" spans="1:8" x14ac:dyDescent="0.25">
      <c r="A167" s="257">
        <v>168</v>
      </c>
      <c r="B167" s="267">
        <v>167</v>
      </c>
      <c r="C167" s="268" t="s">
        <v>211</v>
      </c>
      <c r="D167" s="269">
        <v>41683</v>
      </c>
      <c r="E167" s="270" t="s">
        <v>2789</v>
      </c>
      <c r="F167" s="384">
        <v>188000</v>
      </c>
      <c r="G167" s="270">
        <v>391097749</v>
      </c>
      <c r="H167" s="270"/>
    </row>
    <row r="168" spans="1:8" x14ac:dyDescent="0.25">
      <c r="A168" s="257">
        <v>169</v>
      </c>
      <c r="B168" s="267">
        <v>168</v>
      </c>
      <c r="C168" s="268" t="s">
        <v>1</v>
      </c>
      <c r="D168" s="269">
        <v>41683</v>
      </c>
      <c r="E168" s="270" t="s">
        <v>2671</v>
      </c>
      <c r="F168" s="384">
        <v>158000</v>
      </c>
      <c r="G168" s="270">
        <v>101094935</v>
      </c>
      <c r="H168" s="270"/>
    </row>
    <row r="169" spans="1:8" x14ac:dyDescent="0.25">
      <c r="A169" s="257">
        <v>170</v>
      </c>
      <c r="B169" s="267">
        <v>169</v>
      </c>
      <c r="C169" s="268" t="s">
        <v>3549</v>
      </c>
      <c r="D169" s="269">
        <v>41683</v>
      </c>
      <c r="E169" s="270" t="s">
        <v>208</v>
      </c>
      <c r="F169" s="384">
        <v>135000</v>
      </c>
      <c r="G169" s="270">
        <v>190884210</v>
      </c>
      <c r="H169" s="270"/>
    </row>
    <row r="170" spans="1:8" x14ac:dyDescent="0.25">
      <c r="A170" s="257">
        <v>171</v>
      </c>
      <c r="B170" s="267">
        <v>170</v>
      </c>
      <c r="C170" s="268" t="s">
        <v>190</v>
      </c>
      <c r="D170" s="269">
        <v>41684</v>
      </c>
      <c r="E170" s="270" t="s">
        <v>188</v>
      </c>
      <c r="F170" s="384">
        <v>174000</v>
      </c>
      <c r="G170" s="270">
        <v>190270596</v>
      </c>
      <c r="H170" s="270"/>
    </row>
    <row r="171" spans="1:8" x14ac:dyDescent="0.25">
      <c r="A171" s="257">
        <v>172</v>
      </c>
      <c r="B171" s="267">
        <v>170</v>
      </c>
      <c r="C171" s="268" t="s">
        <v>462</v>
      </c>
      <c r="D171" s="269">
        <v>41685</v>
      </c>
      <c r="E171" s="270" t="s">
        <v>183</v>
      </c>
      <c r="F171" s="384">
        <v>754000</v>
      </c>
      <c r="G171" s="270">
        <v>190905167</v>
      </c>
      <c r="H171" s="270"/>
    </row>
    <row r="172" spans="1:8" x14ac:dyDescent="0.25">
      <c r="A172" s="257">
        <v>173</v>
      </c>
      <c r="B172" s="267">
        <v>171</v>
      </c>
      <c r="C172" s="268" t="s">
        <v>3658</v>
      </c>
      <c r="D172" s="269">
        <v>41686</v>
      </c>
      <c r="E172" s="270" t="s">
        <v>3552</v>
      </c>
      <c r="F172" s="384">
        <v>135000</v>
      </c>
      <c r="G172" s="270">
        <v>191569368</v>
      </c>
      <c r="H172" s="270"/>
    </row>
    <row r="173" spans="1:8" x14ac:dyDescent="0.25">
      <c r="A173" s="257">
        <v>174</v>
      </c>
      <c r="B173" s="267">
        <v>172</v>
      </c>
      <c r="C173" s="268" t="s">
        <v>3281</v>
      </c>
      <c r="D173" s="269">
        <v>41687</v>
      </c>
      <c r="E173" s="270" t="s">
        <v>2875</v>
      </c>
      <c r="F173" s="384">
        <v>174000</v>
      </c>
      <c r="G173" s="270">
        <v>190996805</v>
      </c>
      <c r="H173" s="270"/>
    </row>
    <row r="174" spans="1:8" x14ac:dyDescent="0.25">
      <c r="A174" s="257">
        <v>175</v>
      </c>
      <c r="B174" s="267">
        <v>173</v>
      </c>
      <c r="C174" s="268" t="s">
        <v>1004</v>
      </c>
      <c r="D174" s="269">
        <v>41687</v>
      </c>
      <c r="E174" s="270" t="s">
        <v>2383</v>
      </c>
      <c r="F174" s="384">
        <v>174000</v>
      </c>
      <c r="G174" s="270">
        <v>690655317</v>
      </c>
      <c r="H174" s="270"/>
    </row>
    <row r="175" spans="1:8" x14ac:dyDescent="0.25">
      <c r="A175" s="257">
        <v>176</v>
      </c>
      <c r="B175" s="267">
        <v>174</v>
      </c>
      <c r="C175" s="268" t="s">
        <v>262</v>
      </c>
      <c r="D175" s="269">
        <v>41687</v>
      </c>
      <c r="E175" s="270" t="s">
        <v>927</v>
      </c>
      <c r="F175" s="384">
        <v>140000</v>
      </c>
      <c r="G175" s="270">
        <v>190454318</v>
      </c>
      <c r="H175" s="270"/>
    </row>
    <row r="176" spans="1:8" x14ac:dyDescent="0.25">
      <c r="A176" s="257">
        <v>177</v>
      </c>
      <c r="B176" s="267">
        <v>175</v>
      </c>
      <c r="C176" s="268" t="s">
        <v>2105</v>
      </c>
      <c r="D176" s="269">
        <v>41687</v>
      </c>
      <c r="E176" s="270" t="s">
        <v>2720</v>
      </c>
      <c r="F176" s="384">
        <v>262000</v>
      </c>
      <c r="G176" s="270">
        <v>101026338</v>
      </c>
      <c r="H176" s="270"/>
    </row>
    <row r="177" spans="1:8" x14ac:dyDescent="0.25">
      <c r="A177" s="257">
        <v>178</v>
      </c>
      <c r="B177" s="267">
        <v>176</v>
      </c>
      <c r="C177" s="268" t="s">
        <v>173</v>
      </c>
      <c r="D177" s="269">
        <v>41688</v>
      </c>
      <c r="E177" s="270" t="s">
        <v>2849</v>
      </c>
      <c r="F177" s="384">
        <v>135000</v>
      </c>
      <c r="G177" s="270">
        <v>491031825</v>
      </c>
      <c r="H177" s="270"/>
    </row>
    <row r="178" spans="1:8" x14ac:dyDescent="0.25">
      <c r="A178" s="257">
        <v>179</v>
      </c>
      <c r="B178" s="267">
        <v>177</v>
      </c>
      <c r="C178" s="268" t="s">
        <v>2143</v>
      </c>
      <c r="D178" s="269">
        <v>41688</v>
      </c>
      <c r="E178" s="270" t="s">
        <v>1927</v>
      </c>
      <c r="F178" s="384">
        <v>87000</v>
      </c>
      <c r="G178" s="270">
        <v>190032958</v>
      </c>
      <c r="H178" s="270"/>
    </row>
    <row r="179" spans="1:8" x14ac:dyDescent="0.25">
      <c r="A179" s="257">
        <v>180</v>
      </c>
      <c r="B179" s="267">
        <v>178</v>
      </c>
      <c r="C179" s="268" t="s">
        <v>3105</v>
      </c>
      <c r="D179" s="269">
        <v>41688</v>
      </c>
      <c r="E179" s="270" t="s">
        <v>2764</v>
      </c>
      <c r="F179" s="384">
        <v>140000</v>
      </c>
      <c r="G179" s="270">
        <v>808001220</v>
      </c>
      <c r="H179" s="270"/>
    </row>
    <row r="180" spans="1:8" x14ac:dyDescent="0.25">
      <c r="A180" s="257">
        <v>181</v>
      </c>
      <c r="B180" s="267">
        <v>179</v>
      </c>
      <c r="C180" s="268" t="s">
        <v>462</v>
      </c>
      <c r="D180" s="269">
        <v>41689</v>
      </c>
      <c r="E180" s="270" t="s">
        <v>183</v>
      </c>
      <c r="F180" s="384">
        <v>377000</v>
      </c>
      <c r="G180" s="270">
        <v>190905167</v>
      </c>
      <c r="H180" s="270"/>
    </row>
    <row r="181" spans="1:8" x14ac:dyDescent="0.25">
      <c r="A181" s="257">
        <v>182</v>
      </c>
      <c r="B181" s="267">
        <v>180</v>
      </c>
      <c r="C181" s="268" t="s">
        <v>2962</v>
      </c>
      <c r="D181" s="269">
        <v>41689</v>
      </c>
      <c r="E181" s="270" t="s">
        <v>1667</v>
      </c>
      <c r="F181" s="384">
        <v>377000</v>
      </c>
      <c r="G181" s="270">
        <v>191644937</v>
      </c>
      <c r="H181" s="270"/>
    </row>
    <row r="182" spans="1:8" x14ac:dyDescent="0.25">
      <c r="A182" s="257">
        <v>183</v>
      </c>
      <c r="B182" s="267">
        <v>181</v>
      </c>
      <c r="C182" s="268" t="s">
        <v>386</v>
      </c>
      <c r="D182" s="269">
        <v>41689</v>
      </c>
      <c r="E182" s="270" t="s">
        <v>1951</v>
      </c>
      <c r="F182" s="384">
        <v>402000</v>
      </c>
      <c r="G182" s="270">
        <v>400424686</v>
      </c>
      <c r="H182" s="270"/>
    </row>
    <row r="183" spans="1:8" x14ac:dyDescent="0.25">
      <c r="A183" s="257">
        <v>184</v>
      </c>
      <c r="B183" s="267">
        <v>182</v>
      </c>
      <c r="C183" s="268" t="s">
        <v>870</v>
      </c>
      <c r="D183" s="269">
        <v>41689</v>
      </c>
      <c r="E183" s="270" t="s">
        <v>428</v>
      </c>
      <c r="F183" s="384">
        <v>208000</v>
      </c>
      <c r="G183" s="270">
        <v>100783448</v>
      </c>
      <c r="H183" s="270"/>
    </row>
    <row r="184" spans="1:8" x14ac:dyDescent="0.25">
      <c r="A184" s="257">
        <v>185</v>
      </c>
      <c r="B184" s="267">
        <v>183</v>
      </c>
      <c r="C184" s="268" t="s">
        <v>2645</v>
      </c>
      <c r="D184" s="269">
        <v>41689</v>
      </c>
      <c r="E184" s="270" t="s">
        <v>239</v>
      </c>
      <c r="F184" s="384">
        <v>377000</v>
      </c>
      <c r="G184" s="270">
        <v>101139097</v>
      </c>
      <c r="H184" s="270"/>
    </row>
    <row r="185" spans="1:8" x14ac:dyDescent="0.25">
      <c r="A185" s="257">
        <v>186</v>
      </c>
      <c r="B185" s="267">
        <v>184</v>
      </c>
      <c r="C185" s="268" t="s">
        <v>3261</v>
      </c>
      <c r="D185" s="269">
        <v>41689</v>
      </c>
      <c r="E185" s="270" t="s">
        <v>710</v>
      </c>
      <c r="F185" s="384">
        <v>140000</v>
      </c>
      <c r="G185" s="270">
        <v>690630416</v>
      </c>
      <c r="H185" s="270"/>
    </row>
    <row r="186" spans="1:8" x14ac:dyDescent="0.25">
      <c r="A186" s="257">
        <v>187</v>
      </c>
      <c r="B186" s="267">
        <v>185</v>
      </c>
      <c r="C186" s="268" t="s">
        <v>1918</v>
      </c>
      <c r="D186" s="269">
        <v>41689</v>
      </c>
      <c r="E186" s="270" t="s">
        <v>1607</v>
      </c>
      <c r="F186" s="384">
        <v>135000</v>
      </c>
      <c r="G186" s="270">
        <v>690643672</v>
      </c>
      <c r="H186" s="270"/>
    </row>
    <row r="187" spans="1:8" x14ac:dyDescent="0.25">
      <c r="A187" s="257">
        <v>188</v>
      </c>
      <c r="B187" s="267">
        <v>186</v>
      </c>
      <c r="C187" s="268" t="s">
        <v>3207</v>
      </c>
      <c r="D187" s="269">
        <v>41689</v>
      </c>
      <c r="E187" s="270" t="s">
        <v>140</v>
      </c>
      <c r="F187" s="384">
        <v>242000</v>
      </c>
      <c r="G187" s="270">
        <v>190902091</v>
      </c>
      <c r="H187" s="270"/>
    </row>
    <row r="188" spans="1:8" x14ac:dyDescent="0.25">
      <c r="A188" s="257">
        <v>189</v>
      </c>
      <c r="B188" s="267">
        <v>187</v>
      </c>
      <c r="C188" s="268" t="s">
        <v>2143</v>
      </c>
      <c r="D188" s="269">
        <v>41689</v>
      </c>
      <c r="E188" s="270" t="s">
        <v>1927</v>
      </c>
      <c r="F188" s="384">
        <v>55000</v>
      </c>
      <c r="G188" s="270">
        <v>190032958</v>
      </c>
      <c r="H188" s="270"/>
    </row>
    <row r="189" spans="1:8" x14ac:dyDescent="0.25">
      <c r="A189" s="257">
        <v>190</v>
      </c>
      <c r="B189" s="267">
        <v>188</v>
      </c>
      <c r="C189" s="268" t="s">
        <v>2765</v>
      </c>
      <c r="D189" s="269">
        <v>41689</v>
      </c>
      <c r="E189" s="270" t="s">
        <v>801</v>
      </c>
      <c r="F189" s="384">
        <v>377000</v>
      </c>
      <c r="G189" s="270">
        <v>691420768</v>
      </c>
      <c r="H189" s="270"/>
    </row>
    <row r="190" spans="1:8" x14ac:dyDescent="0.25">
      <c r="A190" s="257">
        <v>191</v>
      </c>
      <c r="B190" s="267">
        <v>189</v>
      </c>
      <c r="C190" s="268" t="s">
        <v>3572</v>
      </c>
      <c r="D190" s="269">
        <v>41690</v>
      </c>
      <c r="E190" s="270" t="s">
        <v>58</v>
      </c>
      <c r="F190" s="384">
        <v>242000</v>
      </c>
      <c r="G190" s="270">
        <v>191536177</v>
      </c>
      <c r="H190" s="270"/>
    </row>
    <row r="191" spans="1:8" x14ac:dyDescent="0.25">
      <c r="A191" s="257">
        <v>192</v>
      </c>
      <c r="B191" s="267">
        <v>190</v>
      </c>
      <c r="C191" s="268" t="s">
        <v>387</v>
      </c>
      <c r="D191" s="269">
        <v>41690</v>
      </c>
      <c r="E191" s="270" t="s">
        <v>2837</v>
      </c>
      <c r="F191" s="384">
        <v>174000</v>
      </c>
      <c r="G191" s="270">
        <v>100320487</v>
      </c>
      <c r="H191" s="270"/>
    </row>
    <row r="192" spans="1:8" x14ac:dyDescent="0.25">
      <c r="A192" s="257">
        <v>193</v>
      </c>
      <c r="B192" s="267">
        <v>191</v>
      </c>
      <c r="C192" s="268" t="s">
        <v>2105</v>
      </c>
      <c r="D192" s="269">
        <v>41690</v>
      </c>
      <c r="E192" s="270" t="s">
        <v>2720</v>
      </c>
      <c r="F192" s="384">
        <v>208000</v>
      </c>
      <c r="G192" s="270">
        <v>101026338</v>
      </c>
      <c r="H192" s="270"/>
    </row>
    <row r="193" spans="1:8" x14ac:dyDescent="0.25">
      <c r="A193" s="257">
        <v>194</v>
      </c>
      <c r="B193" s="267">
        <v>192</v>
      </c>
      <c r="C193" s="268" t="s">
        <v>151</v>
      </c>
      <c r="D193" s="269">
        <v>41690</v>
      </c>
      <c r="E193" s="270" t="s">
        <v>1797</v>
      </c>
      <c r="F193" s="384">
        <v>242000</v>
      </c>
      <c r="G193" s="270">
        <v>101195406</v>
      </c>
      <c r="H193" s="270"/>
    </row>
    <row r="194" spans="1:8" x14ac:dyDescent="0.25">
      <c r="A194" s="257">
        <v>195</v>
      </c>
      <c r="B194" s="267">
        <v>193</v>
      </c>
      <c r="C194" s="268" t="s">
        <v>365</v>
      </c>
      <c r="D194" s="269">
        <v>41691</v>
      </c>
      <c r="E194" s="270" t="s">
        <v>679</v>
      </c>
      <c r="F194" s="384">
        <v>27000</v>
      </c>
      <c r="G194" s="270">
        <v>700031724</v>
      </c>
      <c r="H194" s="270"/>
    </row>
    <row r="195" spans="1:8" x14ac:dyDescent="0.25">
      <c r="A195" s="257">
        <v>196</v>
      </c>
      <c r="B195" s="267">
        <v>194</v>
      </c>
      <c r="C195" s="268" t="s">
        <v>3091</v>
      </c>
      <c r="D195" s="269">
        <v>41691</v>
      </c>
      <c r="E195" s="270" t="s">
        <v>1848</v>
      </c>
      <c r="F195" s="384">
        <v>55000</v>
      </c>
      <c r="G195" s="270">
        <v>690697161</v>
      </c>
      <c r="H195" s="270"/>
    </row>
    <row r="196" spans="1:8" x14ac:dyDescent="0.25">
      <c r="A196" s="257">
        <v>197</v>
      </c>
      <c r="B196" s="267">
        <v>195</v>
      </c>
      <c r="C196" s="268" t="s">
        <v>3550</v>
      </c>
      <c r="D196" s="269">
        <v>41691</v>
      </c>
      <c r="E196" s="270" t="s">
        <v>2676</v>
      </c>
      <c r="F196" s="384">
        <v>377000</v>
      </c>
      <c r="G196" s="270">
        <v>690594220</v>
      </c>
      <c r="H196" s="270"/>
    </row>
    <row r="197" spans="1:8" x14ac:dyDescent="0.25">
      <c r="A197" s="257">
        <v>198</v>
      </c>
      <c r="B197" s="267">
        <v>196</v>
      </c>
      <c r="C197" s="268" t="s">
        <v>494</v>
      </c>
      <c r="D197" s="269">
        <v>41691</v>
      </c>
      <c r="E197" s="270" t="s">
        <v>339</v>
      </c>
      <c r="F197" s="384">
        <v>135000</v>
      </c>
      <c r="G197" s="270">
        <v>690629013</v>
      </c>
      <c r="H197" s="270"/>
    </row>
    <row r="198" spans="1:8" x14ac:dyDescent="0.25">
      <c r="A198" s="257">
        <v>199</v>
      </c>
      <c r="B198" s="267">
        <v>197</v>
      </c>
      <c r="C198" s="268" t="s">
        <v>3839</v>
      </c>
      <c r="D198" s="269">
        <v>41691</v>
      </c>
      <c r="E198" s="270" t="s">
        <v>2451</v>
      </c>
      <c r="F198" s="384">
        <v>174000</v>
      </c>
      <c r="G198" s="270">
        <v>100301806</v>
      </c>
      <c r="H198" s="270"/>
    </row>
    <row r="199" spans="1:8" x14ac:dyDescent="0.25">
      <c r="A199" s="257">
        <v>200</v>
      </c>
      <c r="B199" s="267">
        <v>198</v>
      </c>
      <c r="C199" s="268" t="s">
        <v>365</v>
      </c>
      <c r="D199" s="269">
        <v>41691</v>
      </c>
      <c r="E199" s="270" t="s">
        <v>679</v>
      </c>
      <c r="F199" s="384">
        <v>32000</v>
      </c>
      <c r="G199" s="270">
        <v>700031724</v>
      </c>
      <c r="H199" s="270"/>
    </row>
    <row r="200" spans="1:8" x14ac:dyDescent="0.25">
      <c r="A200" s="257">
        <v>201</v>
      </c>
      <c r="B200" s="267">
        <v>199</v>
      </c>
      <c r="C200" s="268" t="s">
        <v>2105</v>
      </c>
      <c r="D200" s="269">
        <v>41691</v>
      </c>
      <c r="E200" s="270" t="s">
        <v>2720</v>
      </c>
      <c r="F200" s="384">
        <v>188000</v>
      </c>
      <c r="G200" s="270">
        <v>101026338</v>
      </c>
      <c r="H200" s="270"/>
    </row>
    <row r="201" spans="1:8" x14ac:dyDescent="0.25">
      <c r="A201" s="257">
        <v>202</v>
      </c>
      <c r="B201" s="267">
        <v>200</v>
      </c>
      <c r="C201" s="268" t="s">
        <v>2095</v>
      </c>
      <c r="D201" s="269">
        <v>41691</v>
      </c>
      <c r="E201" s="270" t="s">
        <v>2859</v>
      </c>
      <c r="F201" s="384">
        <v>726000</v>
      </c>
      <c r="G201" s="270">
        <v>100261801</v>
      </c>
      <c r="H201" s="270"/>
    </row>
    <row r="202" spans="1:8" x14ac:dyDescent="0.25">
      <c r="A202" s="257">
        <v>203</v>
      </c>
      <c r="B202" s="267">
        <v>201</v>
      </c>
      <c r="C202" s="268" t="s">
        <v>2405</v>
      </c>
      <c r="D202" s="269">
        <v>41691</v>
      </c>
      <c r="E202" s="270" t="s">
        <v>1944</v>
      </c>
      <c r="F202" s="384">
        <v>174000</v>
      </c>
      <c r="G202" s="270">
        <v>100345799</v>
      </c>
      <c r="H202" s="270"/>
    </row>
    <row r="203" spans="1:8" x14ac:dyDescent="0.25">
      <c r="A203" s="257">
        <v>204</v>
      </c>
      <c r="B203" s="267">
        <v>202</v>
      </c>
      <c r="C203" s="268" t="s">
        <v>3239</v>
      </c>
      <c r="D203" s="269">
        <v>41691</v>
      </c>
      <c r="E203" s="270" t="s">
        <v>176</v>
      </c>
      <c r="F203" s="384">
        <v>174000</v>
      </c>
      <c r="G203" s="270">
        <v>100008993</v>
      </c>
      <c r="H203" s="270"/>
    </row>
    <row r="204" spans="1:8" x14ac:dyDescent="0.25">
      <c r="A204" s="257">
        <v>205</v>
      </c>
      <c r="B204" s="267">
        <v>203</v>
      </c>
      <c r="C204" s="268" t="s">
        <v>252</v>
      </c>
      <c r="D204" s="269">
        <v>41691</v>
      </c>
      <c r="E204" s="270" t="s">
        <v>3582</v>
      </c>
      <c r="F204" s="384">
        <v>55000</v>
      </c>
      <c r="G204" s="270">
        <v>100338635</v>
      </c>
      <c r="H204" s="270"/>
    </row>
    <row r="205" spans="1:8" x14ac:dyDescent="0.25">
      <c r="A205" s="257">
        <v>206</v>
      </c>
      <c r="B205" s="267">
        <v>204</v>
      </c>
      <c r="C205" s="268" t="s">
        <v>2784</v>
      </c>
      <c r="D205" s="269">
        <v>41694</v>
      </c>
      <c r="E205" s="270" t="s">
        <v>810</v>
      </c>
      <c r="F205" s="384">
        <v>208000</v>
      </c>
      <c r="G205" s="270">
        <v>190761996</v>
      </c>
      <c r="H205" s="270"/>
    </row>
    <row r="206" spans="1:8" x14ac:dyDescent="0.25">
      <c r="A206" s="257">
        <v>207</v>
      </c>
      <c r="B206" s="267">
        <v>205</v>
      </c>
      <c r="C206" s="268" t="s">
        <v>1119</v>
      </c>
      <c r="D206" s="269">
        <v>41694</v>
      </c>
      <c r="E206" s="270" t="s">
        <v>392</v>
      </c>
      <c r="F206" s="384">
        <v>140000</v>
      </c>
      <c r="G206" s="270">
        <v>190611338</v>
      </c>
      <c r="H206" s="270"/>
    </row>
    <row r="207" spans="1:8" x14ac:dyDescent="0.25">
      <c r="A207" s="257">
        <v>208</v>
      </c>
      <c r="B207" s="267">
        <v>206</v>
      </c>
      <c r="C207" s="268" t="s">
        <v>897</v>
      </c>
      <c r="D207" s="269">
        <v>41694</v>
      </c>
      <c r="E207" s="270" t="s">
        <v>1050</v>
      </c>
      <c r="F207" s="384">
        <v>145000</v>
      </c>
      <c r="G207" s="270">
        <v>190780314</v>
      </c>
      <c r="H207" s="270"/>
    </row>
    <row r="208" spans="1:8" x14ac:dyDescent="0.25">
      <c r="A208" s="257">
        <v>209</v>
      </c>
      <c r="B208" s="267">
        <v>207</v>
      </c>
      <c r="C208" s="268" t="s">
        <v>897</v>
      </c>
      <c r="D208" s="269">
        <v>41694</v>
      </c>
      <c r="E208" s="270" t="s">
        <v>1050</v>
      </c>
      <c r="F208" s="384">
        <v>140000</v>
      </c>
      <c r="G208" s="270">
        <v>190780314</v>
      </c>
      <c r="H208" s="270"/>
    </row>
    <row r="209" spans="1:8" x14ac:dyDescent="0.25">
      <c r="A209" s="257">
        <v>210</v>
      </c>
      <c r="B209" s="267">
        <v>208</v>
      </c>
      <c r="C209" s="268" t="s">
        <v>2828</v>
      </c>
      <c r="D209" s="269">
        <v>41694</v>
      </c>
      <c r="E209" s="270" t="s">
        <v>892</v>
      </c>
      <c r="F209" s="384">
        <v>348000</v>
      </c>
      <c r="G209" s="270">
        <v>100390954</v>
      </c>
      <c r="H209" s="270"/>
    </row>
    <row r="210" spans="1:8" x14ac:dyDescent="0.25">
      <c r="A210" s="257">
        <v>211</v>
      </c>
      <c r="B210" s="267">
        <v>209</v>
      </c>
      <c r="C210" s="268" t="s">
        <v>1918</v>
      </c>
      <c r="D210" s="269">
        <v>41695</v>
      </c>
      <c r="E210" s="270" t="s">
        <v>1607</v>
      </c>
      <c r="F210" s="384">
        <v>242000</v>
      </c>
      <c r="G210" s="270">
        <v>690643672</v>
      </c>
      <c r="H210" s="270"/>
    </row>
    <row r="211" spans="1:8" x14ac:dyDescent="0.25">
      <c r="A211" s="257">
        <v>212</v>
      </c>
      <c r="B211" s="267">
        <v>210</v>
      </c>
      <c r="C211" s="268" t="s">
        <v>897</v>
      </c>
      <c r="D211" s="269">
        <v>41695</v>
      </c>
      <c r="E211" s="270" t="s">
        <v>1050</v>
      </c>
      <c r="F211" s="384">
        <v>55000</v>
      </c>
      <c r="G211" s="270">
        <v>190780314</v>
      </c>
      <c r="H211" s="270"/>
    </row>
    <row r="212" spans="1:8" x14ac:dyDescent="0.25">
      <c r="A212" s="257">
        <v>213</v>
      </c>
      <c r="B212" s="267">
        <v>211</v>
      </c>
      <c r="C212" s="268" t="s">
        <v>159</v>
      </c>
      <c r="D212" s="269">
        <v>41695</v>
      </c>
      <c r="E212" s="270" t="s">
        <v>1684</v>
      </c>
      <c r="F212" s="384">
        <v>1040000</v>
      </c>
      <c r="G212" s="270">
        <v>100819821</v>
      </c>
      <c r="H212" s="270"/>
    </row>
    <row r="213" spans="1:8" x14ac:dyDescent="0.25">
      <c r="A213" s="257">
        <v>214</v>
      </c>
      <c r="B213" s="267">
        <v>212</v>
      </c>
      <c r="C213" s="268" t="s">
        <v>151</v>
      </c>
      <c r="D213" s="269">
        <v>41695</v>
      </c>
      <c r="E213" s="270" t="s">
        <v>926</v>
      </c>
      <c r="F213" s="384">
        <v>242000</v>
      </c>
      <c r="G213" s="270">
        <v>101195406</v>
      </c>
      <c r="H213" s="270"/>
    </row>
    <row r="214" spans="1:8" x14ac:dyDescent="0.25">
      <c r="A214" s="257">
        <v>215</v>
      </c>
      <c r="B214" s="267">
        <v>213</v>
      </c>
      <c r="C214" s="268" t="s">
        <v>384</v>
      </c>
      <c r="D214" s="269">
        <v>41695</v>
      </c>
      <c r="E214" s="270" t="s">
        <v>804</v>
      </c>
      <c r="F214" s="384">
        <v>140000</v>
      </c>
      <c r="G214" s="270">
        <v>100122328</v>
      </c>
      <c r="H214" s="270"/>
    </row>
    <row r="215" spans="1:8" x14ac:dyDescent="0.25">
      <c r="A215" s="257">
        <v>216</v>
      </c>
      <c r="B215" s="267">
        <v>214</v>
      </c>
      <c r="C215" s="268" t="s">
        <v>3310</v>
      </c>
      <c r="D215" s="269">
        <v>41696</v>
      </c>
      <c r="E215" s="270" t="s">
        <v>2435</v>
      </c>
      <c r="F215" s="384">
        <v>242000</v>
      </c>
      <c r="G215" s="270">
        <v>690640433</v>
      </c>
      <c r="H215" s="270"/>
    </row>
    <row r="216" spans="1:8" x14ac:dyDescent="0.25">
      <c r="A216" s="257">
        <v>217</v>
      </c>
      <c r="B216" s="267">
        <v>215</v>
      </c>
      <c r="C216" s="268" t="s">
        <v>708</v>
      </c>
      <c r="D216" s="269">
        <v>41696</v>
      </c>
      <c r="E216" s="270" t="s">
        <v>2731</v>
      </c>
      <c r="F216" s="384">
        <v>377000</v>
      </c>
      <c r="G216" s="270">
        <v>190999368</v>
      </c>
      <c r="H216" s="270"/>
    </row>
    <row r="217" spans="1:8" x14ac:dyDescent="0.25">
      <c r="A217" s="257">
        <v>218</v>
      </c>
      <c r="B217" s="267">
        <v>216</v>
      </c>
      <c r="C217" s="268" t="s">
        <v>1113</v>
      </c>
      <c r="D217" s="269">
        <v>41696</v>
      </c>
      <c r="E217" s="270" t="s">
        <v>3296</v>
      </c>
      <c r="F217" s="384">
        <v>174000</v>
      </c>
      <c r="G217" s="270">
        <v>690652042</v>
      </c>
      <c r="H217" s="270"/>
    </row>
    <row r="218" spans="1:8" x14ac:dyDescent="0.25">
      <c r="A218" s="257">
        <v>219</v>
      </c>
      <c r="B218" s="267">
        <v>217</v>
      </c>
      <c r="C218" s="268" t="s">
        <v>241</v>
      </c>
      <c r="D218" s="269">
        <v>41696</v>
      </c>
      <c r="E218" s="270" t="s">
        <v>979</v>
      </c>
      <c r="F218" s="384">
        <v>416000</v>
      </c>
      <c r="G218" s="270">
        <v>100099465</v>
      </c>
      <c r="H218" s="270"/>
    </row>
    <row r="219" spans="1:8" x14ac:dyDescent="0.25">
      <c r="A219" s="257">
        <v>220</v>
      </c>
      <c r="B219" s="267">
        <v>218</v>
      </c>
      <c r="C219" s="268" t="s">
        <v>3507</v>
      </c>
      <c r="D219" s="269">
        <v>41696</v>
      </c>
      <c r="E219" s="270" t="s">
        <v>1642</v>
      </c>
      <c r="F219" s="384">
        <v>262000</v>
      </c>
      <c r="G219" s="270">
        <v>691453402</v>
      </c>
      <c r="H219" s="270"/>
    </row>
    <row r="220" spans="1:8" x14ac:dyDescent="0.25">
      <c r="A220" s="257">
        <v>221</v>
      </c>
      <c r="B220" s="267">
        <v>219</v>
      </c>
      <c r="C220" s="268" t="s">
        <v>2963</v>
      </c>
      <c r="D220" s="269">
        <v>41697</v>
      </c>
      <c r="E220" s="270" t="s">
        <v>2666</v>
      </c>
      <c r="F220" s="384">
        <v>484000</v>
      </c>
      <c r="G220" s="270">
        <v>691314513</v>
      </c>
      <c r="H220" s="270"/>
    </row>
    <row r="221" spans="1:8" x14ac:dyDescent="0.25">
      <c r="A221" s="257">
        <v>222</v>
      </c>
      <c r="B221" s="267">
        <v>220</v>
      </c>
      <c r="C221" s="268" t="s">
        <v>3326</v>
      </c>
      <c r="D221" s="269">
        <v>41697</v>
      </c>
      <c r="E221" s="270" t="s">
        <v>164</v>
      </c>
      <c r="F221" s="384">
        <v>82000</v>
      </c>
      <c r="G221" s="270">
        <v>100534485</v>
      </c>
      <c r="H221" s="270"/>
    </row>
    <row r="222" spans="1:8" x14ac:dyDescent="0.25">
      <c r="A222" s="257">
        <v>223</v>
      </c>
      <c r="B222" s="267">
        <v>221</v>
      </c>
      <c r="C222" s="268" t="s">
        <v>2399</v>
      </c>
      <c r="D222" s="269">
        <v>41697</v>
      </c>
      <c r="E222" s="270" t="s">
        <v>400</v>
      </c>
      <c r="F222" s="384">
        <v>135000</v>
      </c>
      <c r="G222" s="270">
        <v>191569156</v>
      </c>
      <c r="H222" s="270"/>
    </row>
    <row r="223" spans="1:8" x14ac:dyDescent="0.25">
      <c r="A223" s="257">
        <v>224</v>
      </c>
      <c r="B223" s="267">
        <v>222</v>
      </c>
      <c r="C223" s="268" t="s">
        <v>365</v>
      </c>
      <c r="D223" s="269">
        <v>41697</v>
      </c>
      <c r="E223" s="270" t="s">
        <v>679</v>
      </c>
      <c r="F223" s="384">
        <v>55000</v>
      </c>
      <c r="G223" s="270">
        <v>700031724</v>
      </c>
      <c r="H223" s="270"/>
    </row>
    <row r="224" spans="1:8" x14ac:dyDescent="0.25">
      <c r="A224" s="257">
        <v>225</v>
      </c>
      <c r="B224" s="267">
        <v>223</v>
      </c>
      <c r="C224" s="268" t="s">
        <v>3621</v>
      </c>
      <c r="D224" s="269">
        <v>41697</v>
      </c>
      <c r="E224" s="270" t="s">
        <v>3121</v>
      </c>
      <c r="F224" s="384">
        <v>377000</v>
      </c>
      <c r="G224" s="270">
        <v>190892779</v>
      </c>
      <c r="H224" s="270"/>
    </row>
    <row r="225" spans="1:8" x14ac:dyDescent="0.25">
      <c r="A225" s="257">
        <v>226</v>
      </c>
      <c r="B225" s="267">
        <v>224</v>
      </c>
      <c r="C225" s="268" t="s">
        <v>3607</v>
      </c>
      <c r="D225" s="269">
        <v>41697</v>
      </c>
      <c r="E225" s="270" t="s">
        <v>3113</v>
      </c>
      <c r="F225" s="384">
        <v>174000</v>
      </c>
      <c r="G225" s="270">
        <v>100068501</v>
      </c>
      <c r="H225" s="270"/>
    </row>
    <row r="226" spans="1:8" x14ac:dyDescent="0.25">
      <c r="A226" s="257">
        <v>227</v>
      </c>
      <c r="B226" s="267">
        <v>225</v>
      </c>
      <c r="C226" s="268" t="s">
        <v>494</v>
      </c>
      <c r="D226" s="269">
        <v>41698</v>
      </c>
      <c r="E226" s="270" t="s">
        <v>339</v>
      </c>
      <c r="F226" s="384">
        <v>377000</v>
      </c>
      <c r="G226" s="270">
        <v>690629013</v>
      </c>
      <c r="H226" s="270"/>
    </row>
    <row r="227" spans="1:8" x14ac:dyDescent="0.25">
      <c r="A227" s="257">
        <v>228</v>
      </c>
      <c r="B227" s="267">
        <v>226</v>
      </c>
      <c r="C227" s="268" t="s">
        <v>494</v>
      </c>
      <c r="D227" s="269">
        <v>41698</v>
      </c>
      <c r="E227" s="270" t="s">
        <v>339</v>
      </c>
      <c r="F227" s="384">
        <v>146000</v>
      </c>
      <c r="G227" s="270">
        <v>690629013</v>
      </c>
      <c r="H227" s="270"/>
    </row>
    <row r="228" spans="1:8" x14ac:dyDescent="0.25">
      <c r="A228" s="257">
        <v>229</v>
      </c>
      <c r="B228" s="267">
        <v>227</v>
      </c>
      <c r="C228" s="268" t="s">
        <v>3649</v>
      </c>
      <c r="D228" s="269">
        <v>41698</v>
      </c>
      <c r="E228" s="270" t="s">
        <v>988</v>
      </c>
      <c r="F228" s="384">
        <v>619000</v>
      </c>
      <c r="G228" s="270">
        <v>191571052</v>
      </c>
      <c r="H228" s="270"/>
    </row>
    <row r="229" spans="1:8" x14ac:dyDescent="0.25">
      <c r="A229" s="257">
        <v>230</v>
      </c>
      <c r="B229" s="267">
        <v>228</v>
      </c>
      <c r="C229" s="268" t="s">
        <v>3865</v>
      </c>
      <c r="D229" s="269">
        <v>41698</v>
      </c>
      <c r="E229" s="270" t="s">
        <v>2663</v>
      </c>
      <c r="F229" s="384">
        <v>174000</v>
      </c>
      <c r="G229" s="270">
        <v>100557582</v>
      </c>
      <c r="H229" s="270"/>
    </row>
    <row r="230" spans="1:8" x14ac:dyDescent="0.25">
      <c r="A230" s="257">
        <v>231</v>
      </c>
      <c r="B230" s="267">
        <v>229</v>
      </c>
      <c r="C230" s="268" t="s">
        <v>2645</v>
      </c>
      <c r="D230" s="269">
        <v>41698</v>
      </c>
      <c r="E230" s="270" t="s">
        <v>239</v>
      </c>
      <c r="F230" s="384">
        <v>242000</v>
      </c>
      <c r="G230" s="270">
        <v>101139097</v>
      </c>
      <c r="H230" s="270"/>
    </row>
    <row r="231" spans="1:8" x14ac:dyDescent="0.25">
      <c r="A231" s="257">
        <v>232</v>
      </c>
      <c r="B231" s="267">
        <v>230</v>
      </c>
      <c r="C231" s="268" t="s">
        <v>2645</v>
      </c>
      <c r="D231" s="269">
        <v>41698</v>
      </c>
      <c r="E231" s="270" t="s">
        <v>239</v>
      </c>
      <c r="F231" s="384">
        <v>135000</v>
      </c>
      <c r="G231" s="270">
        <v>101139097</v>
      </c>
      <c r="H231" s="270"/>
    </row>
    <row r="232" spans="1:8" x14ac:dyDescent="0.25">
      <c r="A232" s="257">
        <v>233</v>
      </c>
      <c r="B232" s="267">
        <v>231</v>
      </c>
      <c r="C232" s="268" t="s">
        <v>684</v>
      </c>
      <c r="D232" s="269">
        <v>41698</v>
      </c>
      <c r="E232" s="270" t="s">
        <v>1107</v>
      </c>
      <c r="F232" s="384">
        <v>754000</v>
      </c>
      <c r="G232" s="270">
        <v>190834982</v>
      </c>
      <c r="H232" s="270"/>
    </row>
    <row r="233" spans="1:8" x14ac:dyDescent="0.25">
      <c r="A233" s="257">
        <v>234</v>
      </c>
      <c r="B233" s="267">
        <v>232</v>
      </c>
      <c r="C233" s="268" t="s">
        <v>10</v>
      </c>
      <c r="D233" s="269">
        <v>41701</v>
      </c>
      <c r="E233" s="270" t="s">
        <v>1054</v>
      </c>
      <c r="F233" s="384">
        <v>280000</v>
      </c>
      <c r="G233" s="270">
        <v>102298650</v>
      </c>
      <c r="H233" s="270"/>
    </row>
    <row r="234" spans="1:8" x14ac:dyDescent="0.25">
      <c r="A234" s="257">
        <v>235</v>
      </c>
      <c r="B234" s="267">
        <v>233</v>
      </c>
      <c r="C234" s="268" t="s">
        <v>1113</v>
      </c>
      <c r="D234" s="269">
        <v>41701</v>
      </c>
      <c r="E234" s="270" t="s">
        <v>3296</v>
      </c>
      <c r="F234" s="384">
        <v>150000</v>
      </c>
      <c r="G234" s="270">
        <v>690652042</v>
      </c>
      <c r="H234" s="270"/>
    </row>
    <row r="235" spans="1:8" x14ac:dyDescent="0.25">
      <c r="A235" s="257">
        <v>236</v>
      </c>
      <c r="B235" s="267">
        <v>234</v>
      </c>
      <c r="C235" s="268" t="s">
        <v>1121</v>
      </c>
      <c r="D235" s="269">
        <v>41701</v>
      </c>
      <c r="E235" s="270" t="s">
        <v>836</v>
      </c>
      <c r="F235" s="384">
        <v>208000</v>
      </c>
      <c r="G235" s="270">
        <v>101220208</v>
      </c>
      <c r="H235" s="270"/>
    </row>
    <row r="236" spans="1:8" x14ac:dyDescent="0.25">
      <c r="A236" s="257">
        <v>237</v>
      </c>
      <c r="B236" s="267">
        <v>235</v>
      </c>
      <c r="C236" s="268" t="s">
        <v>3132</v>
      </c>
      <c r="D236" s="269">
        <v>41701</v>
      </c>
      <c r="E236" s="270" t="s">
        <v>3493</v>
      </c>
      <c r="F236" s="384">
        <v>242000</v>
      </c>
      <c r="G236" s="270">
        <v>200700928</v>
      </c>
      <c r="H236" s="270"/>
    </row>
    <row r="237" spans="1:8" x14ac:dyDescent="0.25">
      <c r="A237" s="257">
        <v>238</v>
      </c>
      <c r="B237" s="267">
        <v>236</v>
      </c>
      <c r="C237" s="268" t="s">
        <v>8</v>
      </c>
      <c r="D237" s="269">
        <v>41701</v>
      </c>
      <c r="E237" s="270" t="s">
        <v>2834</v>
      </c>
      <c r="F237" s="384">
        <v>67000</v>
      </c>
      <c r="G237" s="270">
        <v>190187145</v>
      </c>
      <c r="H237" s="270"/>
    </row>
    <row r="238" spans="1:8" x14ac:dyDescent="0.25">
      <c r="A238" s="257">
        <v>239</v>
      </c>
      <c r="B238" s="267">
        <v>237</v>
      </c>
      <c r="C238" s="268" t="s">
        <v>347</v>
      </c>
      <c r="D238" s="269">
        <v>41701</v>
      </c>
      <c r="E238" s="270" t="s">
        <v>3551</v>
      </c>
      <c r="F238" s="384">
        <v>242000</v>
      </c>
      <c r="G238" s="270">
        <v>600004004</v>
      </c>
      <c r="H238" s="270"/>
    </row>
    <row r="239" spans="1:8" x14ac:dyDescent="0.25">
      <c r="A239" s="257">
        <v>240</v>
      </c>
      <c r="B239" s="267">
        <v>238</v>
      </c>
      <c r="C239" s="268" t="s">
        <v>3132</v>
      </c>
      <c r="D239" s="269">
        <v>41701</v>
      </c>
      <c r="E239" s="270" t="s">
        <v>3493</v>
      </c>
      <c r="F239" s="384">
        <v>242000</v>
      </c>
      <c r="G239" s="270">
        <v>200700928</v>
      </c>
      <c r="H239" s="270"/>
    </row>
    <row r="240" spans="1:8" x14ac:dyDescent="0.25">
      <c r="A240" s="257">
        <v>241</v>
      </c>
      <c r="B240" s="267">
        <v>239</v>
      </c>
      <c r="C240" s="268" t="s">
        <v>3132</v>
      </c>
      <c r="D240" s="269">
        <v>41701</v>
      </c>
      <c r="E240" s="270" t="s">
        <v>3493</v>
      </c>
      <c r="F240" s="384">
        <v>27000</v>
      </c>
      <c r="G240" s="270">
        <v>200700928</v>
      </c>
      <c r="H240" s="270"/>
    </row>
    <row r="241" spans="1:8" x14ac:dyDescent="0.25">
      <c r="A241" s="257">
        <v>242</v>
      </c>
      <c r="B241" s="267">
        <v>240</v>
      </c>
      <c r="C241" s="268" t="s">
        <v>2618</v>
      </c>
      <c r="D241" s="269">
        <v>41701</v>
      </c>
      <c r="E241" s="270" t="s">
        <v>1622</v>
      </c>
      <c r="F241" s="384">
        <v>174000</v>
      </c>
      <c r="G241" s="270">
        <v>190513098</v>
      </c>
      <c r="H241" s="270"/>
    </row>
    <row r="242" spans="1:8" x14ac:dyDescent="0.25">
      <c r="A242" s="257">
        <v>243</v>
      </c>
      <c r="B242" s="267">
        <v>241</v>
      </c>
      <c r="C242" s="268" t="s">
        <v>2618</v>
      </c>
      <c r="D242" s="269">
        <v>41701</v>
      </c>
      <c r="E242" s="270" t="s">
        <v>1622</v>
      </c>
      <c r="F242" s="384">
        <v>1131000</v>
      </c>
      <c r="G242" s="270">
        <v>190513098</v>
      </c>
      <c r="H242" s="270"/>
    </row>
    <row r="243" spans="1:8" x14ac:dyDescent="0.25">
      <c r="A243" s="257">
        <v>244</v>
      </c>
      <c r="B243" s="267">
        <v>242</v>
      </c>
      <c r="C243" s="268" t="s">
        <v>1834</v>
      </c>
      <c r="D243" s="269">
        <v>41702</v>
      </c>
      <c r="E243" s="270" t="s">
        <v>453</v>
      </c>
      <c r="F243" s="384">
        <v>242000</v>
      </c>
      <c r="G243" s="270">
        <v>6915330341</v>
      </c>
      <c r="H243" s="270"/>
    </row>
    <row r="244" spans="1:8" x14ac:dyDescent="0.25">
      <c r="A244" s="257">
        <v>245</v>
      </c>
      <c r="B244" s="267">
        <v>243</v>
      </c>
      <c r="C244" s="268" t="s">
        <v>2406</v>
      </c>
      <c r="D244" s="269">
        <v>41702</v>
      </c>
      <c r="E244" s="270" t="s">
        <v>687</v>
      </c>
      <c r="F244" s="384">
        <v>450000</v>
      </c>
      <c r="G244" s="270">
        <v>690699297</v>
      </c>
      <c r="H244" s="270"/>
    </row>
    <row r="245" spans="1:8" x14ac:dyDescent="0.25">
      <c r="A245" s="257">
        <v>246</v>
      </c>
      <c r="B245" s="267">
        <v>244</v>
      </c>
      <c r="C245" s="268" t="s">
        <v>420</v>
      </c>
      <c r="D245" s="269">
        <v>41702</v>
      </c>
      <c r="E245" s="270" t="s">
        <v>242</v>
      </c>
      <c r="F245" s="384">
        <v>624000</v>
      </c>
      <c r="G245" s="270">
        <v>100009627</v>
      </c>
      <c r="H245" s="270"/>
    </row>
    <row r="246" spans="1:8" x14ac:dyDescent="0.25">
      <c r="A246" s="257">
        <v>247</v>
      </c>
      <c r="B246" s="267">
        <v>245</v>
      </c>
      <c r="C246" s="268" t="s">
        <v>241</v>
      </c>
      <c r="D246" s="269">
        <v>41702</v>
      </c>
      <c r="E246" s="270" t="s">
        <v>979</v>
      </c>
      <c r="F246" s="384">
        <v>32000</v>
      </c>
      <c r="G246" s="270">
        <v>100099465</v>
      </c>
      <c r="H246" s="270"/>
    </row>
    <row r="247" spans="1:8" x14ac:dyDescent="0.25">
      <c r="A247" s="257">
        <v>248</v>
      </c>
      <c r="B247" s="267">
        <v>246</v>
      </c>
      <c r="C247" s="268" t="s">
        <v>1540</v>
      </c>
      <c r="D247" s="269">
        <v>41702</v>
      </c>
      <c r="E247" s="270" t="s">
        <v>1818</v>
      </c>
      <c r="F247" s="384">
        <v>493000</v>
      </c>
      <c r="G247" s="270">
        <v>190835019</v>
      </c>
      <c r="H247" s="270"/>
    </row>
    <row r="248" spans="1:8" x14ac:dyDescent="0.25">
      <c r="A248" s="257">
        <v>249</v>
      </c>
      <c r="B248" s="267">
        <v>247</v>
      </c>
      <c r="C248" s="268" t="s">
        <v>318</v>
      </c>
      <c r="D248" s="269">
        <v>41702</v>
      </c>
      <c r="E248" s="270" t="s">
        <v>4226</v>
      </c>
      <c r="F248" s="384">
        <v>188000</v>
      </c>
      <c r="G248" s="270">
        <v>191112043</v>
      </c>
      <c r="H248" s="270"/>
    </row>
    <row r="249" spans="1:8" x14ac:dyDescent="0.25">
      <c r="A249" s="257">
        <v>250</v>
      </c>
      <c r="B249" s="267">
        <v>248</v>
      </c>
      <c r="C249" s="268" t="s">
        <v>3211</v>
      </c>
      <c r="D249" s="269">
        <v>41702</v>
      </c>
      <c r="E249" s="270" t="s">
        <v>364</v>
      </c>
      <c r="F249" s="384">
        <v>348000</v>
      </c>
      <c r="G249" s="270">
        <v>691600964</v>
      </c>
      <c r="H249" s="270"/>
    </row>
    <row r="250" spans="1:8" x14ac:dyDescent="0.25">
      <c r="A250" s="257">
        <v>251</v>
      </c>
      <c r="B250" s="267">
        <v>249</v>
      </c>
      <c r="C250" s="268" t="s">
        <v>347</v>
      </c>
      <c r="D250" s="269">
        <v>41702</v>
      </c>
      <c r="E250" s="270" t="s">
        <v>3551</v>
      </c>
      <c r="F250" s="384">
        <v>262000</v>
      </c>
      <c r="G250" s="270">
        <v>600004004</v>
      </c>
      <c r="H250" s="270"/>
    </row>
    <row r="251" spans="1:8" x14ac:dyDescent="0.25">
      <c r="A251" s="257">
        <v>252</v>
      </c>
      <c r="B251" s="267">
        <v>250</v>
      </c>
      <c r="C251" s="268" t="s">
        <v>1633</v>
      </c>
      <c r="D251" s="269">
        <v>41702</v>
      </c>
      <c r="E251" s="270" t="s">
        <v>3659</v>
      </c>
      <c r="F251" s="384">
        <v>242000</v>
      </c>
      <c r="G251" s="270">
        <v>101042497</v>
      </c>
      <c r="H251" s="270"/>
    </row>
    <row r="252" spans="1:8" x14ac:dyDescent="0.25">
      <c r="A252" s="257">
        <v>253</v>
      </c>
      <c r="B252" s="267">
        <v>251</v>
      </c>
      <c r="C252" s="268" t="s">
        <v>2864</v>
      </c>
      <c r="D252" s="269">
        <v>41702</v>
      </c>
      <c r="E252" s="270" t="s">
        <v>2456</v>
      </c>
      <c r="F252" s="384">
        <v>450000</v>
      </c>
      <c r="G252" s="270">
        <v>100039768</v>
      </c>
      <c r="H252" s="270"/>
    </row>
    <row r="253" spans="1:8" x14ac:dyDescent="0.25">
      <c r="A253" s="257">
        <v>254</v>
      </c>
      <c r="B253" s="267">
        <v>252</v>
      </c>
      <c r="C253" s="268" t="s">
        <v>2360</v>
      </c>
      <c r="D253" s="269">
        <v>41702</v>
      </c>
      <c r="E253" s="270" t="s">
        <v>1807</v>
      </c>
      <c r="F253" s="384">
        <v>208000</v>
      </c>
      <c r="G253" s="270">
        <v>101277625</v>
      </c>
      <c r="H253" s="270"/>
    </row>
    <row r="254" spans="1:8" x14ac:dyDescent="0.25">
      <c r="A254" s="257">
        <v>255</v>
      </c>
      <c r="B254" s="267">
        <v>253</v>
      </c>
      <c r="C254" s="268" t="s">
        <v>1798</v>
      </c>
      <c r="D254" s="269">
        <v>41703</v>
      </c>
      <c r="E254" s="270" t="s">
        <v>3847</v>
      </c>
      <c r="F254" s="384">
        <v>242000</v>
      </c>
      <c r="G254" s="270">
        <v>191747030</v>
      </c>
      <c r="H254" s="270"/>
    </row>
    <row r="255" spans="1:8" x14ac:dyDescent="0.25">
      <c r="A255" s="257">
        <v>256</v>
      </c>
      <c r="B255" s="267">
        <v>254</v>
      </c>
      <c r="C255" s="268" t="s">
        <v>3621</v>
      </c>
      <c r="D255" s="269">
        <v>41703</v>
      </c>
      <c r="E255" s="270" t="s">
        <v>3121</v>
      </c>
      <c r="F255" s="384">
        <v>242000</v>
      </c>
      <c r="G255" s="270">
        <v>190892779</v>
      </c>
      <c r="H255" s="270"/>
    </row>
    <row r="256" spans="1:8" x14ac:dyDescent="0.25">
      <c r="A256" s="257">
        <v>257</v>
      </c>
      <c r="B256" s="267">
        <v>255</v>
      </c>
      <c r="C256" s="268" t="s">
        <v>2399</v>
      </c>
      <c r="D256" s="269">
        <v>41703</v>
      </c>
      <c r="E256" s="270" t="s">
        <v>400</v>
      </c>
      <c r="F256" s="384">
        <v>82000</v>
      </c>
      <c r="G256" s="270">
        <v>191569156</v>
      </c>
      <c r="H256" s="270"/>
    </row>
    <row r="257" spans="1:8" x14ac:dyDescent="0.25">
      <c r="A257" s="257">
        <v>258</v>
      </c>
      <c r="B257" s="267">
        <v>256</v>
      </c>
      <c r="C257" s="268" t="s">
        <v>1633</v>
      </c>
      <c r="D257" s="269">
        <v>41703</v>
      </c>
      <c r="E257" s="270" t="s">
        <v>3659</v>
      </c>
      <c r="F257" s="384">
        <v>55000</v>
      </c>
      <c r="G257" s="270">
        <v>101042497</v>
      </c>
      <c r="H257" s="270"/>
    </row>
    <row r="258" spans="1:8" x14ac:dyDescent="0.25">
      <c r="A258" s="257">
        <v>259</v>
      </c>
      <c r="B258" s="267">
        <v>257</v>
      </c>
      <c r="C258" s="268" t="s">
        <v>1928</v>
      </c>
      <c r="D258" s="269">
        <v>41703</v>
      </c>
      <c r="E258" s="270" t="s">
        <v>2801</v>
      </c>
      <c r="F258" s="384">
        <v>208000</v>
      </c>
      <c r="G258" s="270">
        <v>190334745</v>
      </c>
      <c r="H258" s="270"/>
    </row>
    <row r="259" spans="1:8" x14ac:dyDescent="0.25">
      <c r="A259" s="257">
        <v>260</v>
      </c>
      <c r="B259" s="267">
        <v>258</v>
      </c>
      <c r="C259" s="268" t="s">
        <v>2714</v>
      </c>
      <c r="D259" s="269">
        <v>41704</v>
      </c>
      <c r="E259" s="270" t="s">
        <v>891</v>
      </c>
      <c r="F259" s="384">
        <v>242000</v>
      </c>
      <c r="G259" s="270">
        <v>190304936</v>
      </c>
      <c r="H259" s="270"/>
    </row>
    <row r="260" spans="1:8" x14ac:dyDescent="0.25">
      <c r="A260" s="257">
        <v>261</v>
      </c>
      <c r="B260" s="267">
        <v>259</v>
      </c>
      <c r="C260" s="268" t="s">
        <v>2829</v>
      </c>
      <c r="D260" s="269">
        <v>41704</v>
      </c>
      <c r="E260" s="270" t="s">
        <v>70</v>
      </c>
      <c r="F260" s="384">
        <v>13100000</v>
      </c>
      <c r="G260" s="270">
        <v>600048566</v>
      </c>
      <c r="H260" s="270"/>
    </row>
    <row r="261" spans="1:8" x14ac:dyDescent="0.25">
      <c r="A261" s="257">
        <v>262</v>
      </c>
      <c r="B261" s="267">
        <v>260</v>
      </c>
      <c r="C261" s="268" t="s">
        <v>1806</v>
      </c>
      <c r="D261" s="269">
        <v>41704</v>
      </c>
      <c r="E261" s="270" t="s">
        <v>2370</v>
      </c>
      <c r="F261" s="384">
        <v>416000</v>
      </c>
      <c r="G261" s="270">
        <v>100315382</v>
      </c>
      <c r="H261" s="270"/>
    </row>
    <row r="262" spans="1:8" x14ac:dyDescent="0.25">
      <c r="A262" s="257">
        <v>263</v>
      </c>
      <c r="B262" s="267">
        <v>261</v>
      </c>
      <c r="C262" s="268" t="s">
        <v>1624</v>
      </c>
      <c r="D262" s="269">
        <v>41704</v>
      </c>
      <c r="E262" s="270" t="s">
        <v>472</v>
      </c>
      <c r="F262" s="384">
        <v>242000</v>
      </c>
      <c r="G262" s="270">
        <v>190927518</v>
      </c>
      <c r="H262" s="270"/>
    </row>
    <row r="263" spans="1:8" x14ac:dyDescent="0.25">
      <c r="A263" s="257">
        <v>264</v>
      </c>
      <c r="B263" s="267">
        <v>262</v>
      </c>
      <c r="C263" s="268" t="s">
        <v>341</v>
      </c>
      <c r="D263" s="269">
        <v>41704</v>
      </c>
      <c r="E263" s="270" t="s">
        <v>237</v>
      </c>
      <c r="F263" s="384">
        <v>585000</v>
      </c>
      <c r="G263" s="270">
        <v>690578804</v>
      </c>
      <c r="H263" s="270"/>
    </row>
    <row r="264" spans="1:8" x14ac:dyDescent="0.25">
      <c r="A264" s="257">
        <v>265</v>
      </c>
      <c r="B264" s="267">
        <v>263</v>
      </c>
      <c r="C264" s="268" t="s">
        <v>3133</v>
      </c>
      <c r="D264" s="269">
        <v>41704</v>
      </c>
      <c r="E264" s="270" t="s">
        <v>3587</v>
      </c>
      <c r="F264" s="384">
        <v>208000</v>
      </c>
      <c r="G264" s="270">
        <v>101254783</v>
      </c>
      <c r="H264" s="270"/>
    </row>
    <row r="265" spans="1:8" x14ac:dyDescent="0.25">
      <c r="A265" s="257">
        <v>266</v>
      </c>
      <c r="B265" s="267">
        <v>264</v>
      </c>
      <c r="C265" s="268" t="s">
        <v>3207</v>
      </c>
      <c r="D265" s="269">
        <v>41704</v>
      </c>
      <c r="E265" s="270" t="s">
        <v>2785</v>
      </c>
      <c r="F265" s="384">
        <v>208000</v>
      </c>
      <c r="G265" s="270">
        <v>190902091</v>
      </c>
      <c r="H265" s="270"/>
    </row>
    <row r="266" spans="1:8" x14ac:dyDescent="0.25">
      <c r="A266" s="257">
        <v>267</v>
      </c>
      <c r="B266" s="267">
        <v>265</v>
      </c>
      <c r="C266" s="268" t="s">
        <v>3776</v>
      </c>
      <c r="D266" s="269">
        <v>41705</v>
      </c>
      <c r="E266" s="270" t="s">
        <v>182</v>
      </c>
      <c r="F266" s="384">
        <v>377000</v>
      </c>
      <c r="G266" s="270">
        <v>190113200</v>
      </c>
      <c r="H266" s="270"/>
    </row>
    <row r="267" spans="1:8" x14ac:dyDescent="0.25">
      <c r="A267" s="257">
        <v>268</v>
      </c>
      <c r="B267" s="267">
        <v>266</v>
      </c>
      <c r="C267" s="268" t="s">
        <v>1819</v>
      </c>
      <c r="D267" s="269">
        <v>41708</v>
      </c>
      <c r="E267" s="270" t="s">
        <v>2155</v>
      </c>
      <c r="F267" s="384">
        <v>968000</v>
      </c>
      <c r="G267" s="270">
        <v>790610130</v>
      </c>
      <c r="H267" s="270"/>
    </row>
    <row r="268" spans="1:8" x14ac:dyDescent="0.25">
      <c r="A268" s="257">
        <v>269</v>
      </c>
      <c r="B268" s="267">
        <v>267</v>
      </c>
      <c r="C268" s="268" t="s">
        <v>2959</v>
      </c>
      <c r="D268" s="269">
        <v>41708</v>
      </c>
      <c r="E268" s="270" t="s">
        <v>726</v>
      </c>
      <c r="F268" s="384">
        <v>242000</v>
      </c>
      <c r="G268" s="270">
        <v>100211261</v>
      </c>
      <c r="H268" s="270"/>
    </row>
    <row r="269" spans="1:8" x14ac:dyDescent="0.25">
      <c r="A269" s="257">
        <v>270</v>
      </c>
      <c r="B269" s="267">
        <v>268</v>
      </c>
      <c r="C269" s="268" t="s">
        <v>4222</v>
      </c>
      <c r="D269" s="269">
        <v>41708</v>
      </c>
      <c r="E269" s="270" t="s">
        <v>1825</v>
      </c>
      <c r="F269" s="384">
        <v>208000</v>
      </c>
      <c r="G269" s="270">
        <v>190922876</v>
      </c>
      <c r="H269" s="270"/>
    </row>
    <row r="270" spans="1:8" x14ac:dyDescent="0.25">
      <c r="A270" s="257">
        <v>271</v>
      </c>
      <c r="B270" s="267">
        <v>269</v>
      </c>
      <c r="C270" s="268" t="s">
        <v>1664</v>
      </c>
      <c r="D270" s="269">
        <v>41708</v>
      </c>
      <c r="E270" s="270" t="s">
        <v>2103</v>
      </c>
      <c r="F270" s="384">
        <v>416000</v>
      </c>
      <c r="G270" s="270">
        <v>191774080</v>
      </c>
      <c r="H270" s="270"/>
    </row>
    <row r="271" spans="1:8" x14ac:dyDescent="0.25">
      <c r="A271" s="257">
        <v>272</v>
      </c>
      <c r="B271" s="267">
        <v>270</v>
      </c>
      <c r="C271" s="268" t="s">
        <v>145</v>
      </c>
      <c r="D271" s="269">
        <v>41708</v>
      </c>
      <c r="E271" s="270" t="s">
        <v>403</v>
      </c>
      <c r="F271" s="384">
        <v>377000</v>
      </c>
      <c r="G271" s="270">
        <v>190471062</v>
      </c>
      <c r="H271" s="270"/>
    </row>
    <row r="272" spans="1:8" x14ac:dyDescent="0.25">
      <c r="A272" s="257">
        <v>273</v>
      </c>
      <c r="B272" s="267">
        <v>271</v>
      </c>
      <c r="C272" s="268" t="s">
        <v>1119</v>
      </c>
      <c r="D272" s="269">
        <v>41708</v>
      </c>
      <c r="E272" s="270" t="s">
        <v>392</v>
      </c>
      <c r="F272" s="384">
        <v>87000</v>
      </c>
      <c r="G272" s="270">
        <v>190611338</v>
      </c>
      <c r="H272" s="270"/>
    </row>
    <row r="273" spans="1:8" x14ac:dyDescent="0.25">
      <c r="A273" s="257">
        <v>274</v>
      </c>
      <c r="B273" s="267">
        <v>272</v>
      </c>
      <c r="C273" s="268" t="s">
        <v>1928</v>
      </c>
      <c r="D273" s="269">
        <v>41708</v>
      </c>
      <c r="E273" s="270" t="s">
        <v>2801</v>
      </c>
      <c r="F273" s="384">
        <v>208000</v>
      </c>
      <c r="G273" s="270">
        <v>190334745</v>
      </c>
      <c r="H273" s="270"/>
    </row>
    <row r="274" spans="1:8" x14ac:dyDescent="0.25">
      <c r="A274" s="257">
        <v>275</v>
      </c>
      <c r="B274" s="267">
        <v>273</v>
      </c>
      <c r="C274" s="268" t="s">
        <v>2880</v>
      </c>
      <c r="D274" s="269">
        <v>41708</v>
      </c>
      <c r="E274" s="270" t="s">
        <v>2657</v>
      </c>
      <c r="F274" s="384">
        <v>135000</v>
      </c>
      <c r="G274" s="270">
        <v>691468740</v>
      </c>
      <c r="H274" s="270"/>
    </row>
    <row r="275" spans="1:8" x14ac:dyDescent="0.25">
      <c r="A275" s="257">
        <v>276</v>
      </c>
      <c r="B275" s="267">
        <v>274</v>
      </c>
      <c r="C275" s="268" t="s">
        <v>2835</v>
      </c>
      <c r="D275" s="269">
        <v>41709</v>
      </c>
      <c r="E275" s="270" t="s">
        <v>2890</v>
      </c>
      <c r="F275" s="384">
        <v>377000</v>
      </c>
      <c r="G275" s="270">
        <v>690367172</v>
      </c>
      <c r="H275" s="270"/>
    </row>
    <row r="276" spans="1:8" x14ac:dyDescent="0.25">
      <c r="A276" s="257">
        <v>277</v>
      </c>
      <c r="B276" s="267">
        <v>275</v>
      </c>
      <c r="C276" s="268" t="s">
        <v>1910</v>
      </c>
      <c r="D276" s="269">
        <v>41709</v>
      </c>
      <c r="E276" s="270" t="s">
        <v>2609</v>
      </c>
      <c r="F276" s="384">
        <v>208000</v>
      </c>
      <c r="G276" s="270">
        <v>190549048</v>
      </c>
      <c r="H276" s="270"/>
    </row>
    <row r="277" spans="1:8" x14ac:dyDescent="0.25">
      <c r="A277" s="257">
        <v>278</v>
      </c>
      <c r="B277" s="267">
        <v>276</v>
      </c>
      <c r="C277" s="268" t="s">
        <v>3216</v>
      </c>
      <c r="D277" s="269">
        <v>41709</v>
      </c>
      <c r="E277" s="270" t="s">
        <v>1644</v>
      </c>
      <c r="F277" s="384">
        <v>2420000</v>
      </c>
      <c r="G277" s="270">
        <v>100315288</v>
      </c>
      <c r="H277" s="270"/>
    </row>
    <row r="278" spans="1:8" x14ac:dyDescent="0.25">
      <c r="A278" s="257">
        <v>279</v>
      </c>
      <c r="B278" s="267">
        <v>277</v>
      </c>
      <c r="C278" s="268" t="s">
        <v>2036</v>
      </c>
      <c r="D278" s="269">
        <v>41709</v>
      </c>
      <c r="E278" s="270" t="s">
        <v>3594</v>
      </c>
      <c r="F278" s="384">
        <v>377000</v>
      </c>
      <c r="G278" s="270">
        <v>190882802</v>
      </c>
      <c r="H278" s="270"/>
    </row>
    <row r="279" spans="1:8" x14ac:dyDescent="0.25">
      <c r="A279" s="257">
        <v>280</v>
      </c>
      <c r="B279" s="267">
        <v>278</v>
      </c>
      <c r="C279" s="268" t="s">
        <v>2864</v>
      </c>
      <c r="D279" s="269">
        <v>41709</v>
      </c>
      <c r="E279" s="270" t="s">
        <v>2456</v>
      </c>
      <c r="F279" s="384">
        <v>174000</v>
      </c>
      <c r="G279" s="270">
        <v>100039768</v>
      </c>
      <c r="H279" s="270"/>
    </row>
    <row r="280" spans="1:8" x14ac:dyDescent="0.25">
      <c r="A280" s="257">
        <v>281</v>
      </c>
      <c r="B280" s="267">
        <v>279</v>
      </c>
      <c r="C280" s="268" t="s">
        <v>1658</v>
      </c>
      <c r="D280" s="269">
        <v>41709</v>
      </c>
      <c r="E280" s="270" t="s">
        <v>825</v>
      </c>
      <c r="F280" s="384">
        <v>242000</v>
      </c>
      <c r="G280" s="270">
        <v>100951254</v>
      </c>
      <c r="H280" s="270"/>
    </row>
    <row r="281" spans="1:8" x14ac:dyDescent="0.25">
      <c r="A281" s="257">
        <v>282</v>
      </c>
      <c r="B281" s="267">
        <v>280</v>
      </c>
      <c r="C281" s="268" t="s">
        <v>3302</v>
      </c>
      <c r="D281" s="269">
        <v>41709</v>
      </c>
      <c r="E281" s="270" t="s">
        <v>1529</v>
      </c>
      <c r="F281" s="384">
        <v>242000</v>
      </c>
      <c r="G281" s="270">
        <v>600125079</v>
      </c>
      <c r="H281" s="270"/>
    </row>
    <row r="282" spans="1:8" x14ac:dyDescent="0.25">
      <c r="A282" s="257">
        <v>283</v>
      </c>
      <c r="B282" s="267">
        <v>281</v>
      </c>
      <c r="C282" s="268" t="s">
        <v>145</v>
      </c>
      <c r="D282" s="269">
        <v>41709</v>
      </c>
      <c r="E282" s="270" t="s">
        <v>403</v>
      </c>
      <c r="F282" s="384">
        <v>87000</v>
      </c>
      <c r="G282" s="270">
        <v>190471062</v>
      </c>
      <c r="H282" s="270"/>
    </row>
    <row r="283" spans="1:8" x14ac:dyDescent="0.25">
      <c r="A283" s="257">
        <v>284</v>
      </c>
      <c r="B283" s="267">
        <v>282</v>
      </c>
      <c r="C283" s="268" t="s">
        <v>2377</v>
      </c>
      <c r="D283" s="269">
        <v>41709</v>
      </c>
      <c r="E283" s="270" t="s">
        <v>226</v>
      </c>
      <c r="F283" s="384">
        <v>135000</v>
      </c>
      <c r="G283" s="270">
        <v>190654467</v>
      </c>
      <c r="H283" s="270"/>
    </row>
    <row r="284" spans="1:8" x14ac:dyDescent="0.25">
      <c r="A284" s="257">
        <v>285</v>
      </c>
      <c r="B284" s="267">
        <v>283</v>
      </c>
      <c r="C284" s="268" t="s">
        <v>1049</v>
      </c>
      <c r="D284" s="269">
        <v>41709</v>
      </c>
      <c r="E284" s="270" t="s">
        <v>3581</v>
      </c>
      <c r="F284" s="384">
        <v>551000</v>
      </c>
      <c r="G284" s="270">
        <v>190571479</v>
      </c>
      <c r="H284" s="270"/>
    </row>
    <row r="285" spans="1:8" x14ac:dyDescent="0.25">
      <c r="A285" s="257">
        <v>286</v>
      </c>
      <c r="B285" s="267">
        <v>284</v>
      </c>
      <c r="C285" s="268" t="s">
        <v>3211</v>
      </c>
      <c r="D285" s="269">
        <v>41709</v>
      </c>
      <c r="E285" s="270" t="s">
        <v>2881</v>
      </c>
      <c r="F285" s="384">
        <v>55000</v>
      </c>
      <c r="G285" s="270">
        <v>691600964</v>
      </c>
      <c r="H285" s="270"/>
    </row>
    <row r="286" spans="1:8" x14ac:dyDescent="0.25">
      <c r="A286" s="257">
        <v>287</v>
      </c>
      <c r="B286" s="267">
        <v>285</v>
      </c>
      <c r="C286" s="268" t="s">
        <v>888</v>
      </c>
      <c r="D286" s="269">
        <v>41709</v>
      </c>
      <c r="E286" s="270" t="s">
        <v>441</v>
      </c>
      <c r="F286" s="384">
        <v>484000</v>
      </c>
      <c r="G286" s="270">
        <v>100086492</v>
      </c>
      <c r="H286" s="270"/>
    </row>
    <row r="287" spans="1:8" x14ac:dyDescent="0.25">
      <c r="A287" s="257">
        <v>288</v>
      </c>
      <c r="B287" s="267">
        <v>286</v>
      </c>
      <c r="C287" s="268" t="s">
        <v>2362</v>
      </c>
      <c r="D287" s="269">
        <v>41710</v>
      </c>
      <c r="E287" s="270" t="s">
        <v>2142</v>
      </c>
      <c r="F287" s="384">
        <v>135000</v>
      </c>
      <c r="G287" s="270">
        <v>100172462</v>
      </c>
      <c r="H287" s="270"/>
    </row>
    <row r="288" spans="1:8" x14ac:dyDescent="0.25">
      <c r="A288" s="257">
        <v>289</v>
      </c>
      <c r="B288" s="267">
        <v>287</v>
      </c>
      <c r="C288" s="268" t="s">
        <v>3734</v>
      </c>
      <c r="D288" s="269">
        <v>41710</v>
      </c>
      <c r="E288" s="270" t="s">
        <v>2358</v>
      </c>
      <c r="F288" s="384">
        <v>377000</v>
      </c>
      <c r="G288" s="270">
        <v>800008903</v>
      </c>
      <c r="H288" s="270"/>
    </row>
    <row r="289" spans="1:8" x14ac:dyDescent="0.25">
      <c r="A289" s="257">
        <v>290</v>
      </c>
      <c r="B289" s="267">
        <v>288</v>
      </c>
      <c r="C289" s="268" t="s">
        <v>451</v>
      </c>
      <c r="D289" s="269">
        <v>41710</v>
      </c>
      <c r="E289" s="270" t="s">
        <v>527</v>
      </c>
      <c r="F289" s="384">
        <v>208000</v>
      </c>
      <c r="G289" s="270">
        <v>100626241</v>
      </c>
      <c r="H289" s="270"/>
    </row>
    <row r="290" spans="1:8" x14ac:dyDescent="0.25">
      <c r="A290" s="257">
        <v>291</v>
      </c>
      <c r="B290" s="267">
        <v>289</v>
      </c>
      <c r="C290" s="268" t="s">
        <v>1798</v>
      </c>
      <c r="D290" s="269">
        <v>41710</v>
      </c>
      <c r="E290" s="270" t="s">
        <v>3847</v>
      </c>
      <c r="F290" s="384">
        <v>108000</v>
      </c>
      <c r="G290" s="270">
        <v>191747030</v>
      </c>
      <c r="H290" s="270"/>
    </row>
    <row r="291" spans="1:8" x14ac:dyDescent="0.25">
      <c r="A291" s="257">
        <v>292</v>
      </c>
      <c r="B291" s="267">
        <v>290</v>
      </c>
      <c r="C291" s="268" t="s">
        <v>2162</v>
      </c>
      <c r="D291" s="269">
        <v>41710</v>
      </c>
      <c r="E291" s="270" t="s">
        <v>3244</v>
      </c>
      <c r="F291" s="384">
        <v>208000</v>
      </c>
      <c r="G291" s="270">
        <v>600011780</v>
      </c>
      <c r="H291" s="270"/>
    </row>
    <row r="292" spans="1:8" x14ac:dyDescent="0.25">
      <c r="A292" s="257">
        <v>293</v>
      </c>
      <c r="B292" s="267">
        <v>291</v>
      </c>
      <c r="C292" s="268" t="s">
        <v>3534</v>
      </c>
      <c r="D292" s="269">
        <v>41710</v>
      </c>
      <c r="E292" s="270" t="s">
        <v>380</v>
      </c>
      <c r="F292" s="384">
        <v>145000</v>
      </c>
      <c r="G292" s="270">
        <v>191597159</v>
      </c>
      <c r="H292" s="270"/>
    </row>
    <row r="293" spans="1:8" x14ac:dyDescent="0.25">
      <c r="A293" s="257">
        <v>294</v>
      </c>
      <c r="B293" s="267">
        <v>292</v>
      </c>
      <c r="C293" s="268" t="s">
        <v>2959</v>
      </c>
      <c r="D293" s="269">
        <v>41710</v>
      </c>
      <c r="E293" s="270" t="s">
        <v>726</v>
      </c>
      <c r="F293" s="384">
        <v>55000</v>
      </c>
      <c r="G293" s="270">
        <v>100211261</v>
      </c>
      <c r="H293" s="270"/>
    </row>
    <row r="294" spans="1:8" x14ac:dyDescent="0.25">
      <c r="A294" s="257">
        <v>295</v>
      </c>
      <c r="B294" s="267">
        <v>293</v>
      </c>
      <c r="C294" s="268" t="s">
        <v>1775</v>
      </c>
      <c r="D294" s="269">
        <v>41711</v>
      </c>
      <c r="E294" s="270" t="s">
        <v>952</v>
      </c>
      <c r="F294" s="384">
        <v>208000</v>
      </c>
      <c r="G294" s="270">
        <v>100289211</v>
      </c>
      <c r="H294" s="270"/>
    </row>
    <row r="295" spans="1:8" x14ac:dyDescent="0.25">
      <c r="A295" s="257">
        <v>296</v>
      </c>
      <c r="B295" s="267">
        <v>294</v>
      </c>
      <c r="C295" s="268" t="s">
        <v>3752</v>
      </c>
      <c r="D295" s="269">
        <v>41711</v>
      </c>
      <c r="E295" s="270" t="s">
        <v>843</v>
      </c>
      <c r="F295" s="384">
        <v>208000</v>
      </c>
      <c r="G295" s="270">
        <v>191117762</v>
      </c>
      <c r="H295" s="270"/>
    </row>
    <row r="296" spans="1:8" x14ac:dyDescent="0.25">
      <c r="A296" s="257">
        <v>297</v>
      </c>
      <c r="B296" s="267">
        <v>295</v>
      </c>
      <c r="C296" s="268" t="s">
        <v>134</v>
      </c>
      <c r="D296" s="269">
        <v>41711</v>
      </c>
      <c r="E296" s="270" t="s">
        <v>3257</v>
      </c>
      <c r="F296" s="384">
        <v>0</v>
      </c>
      <c r="G296" s="270">
        <v>100099118</v>
      </c>
      <c r="H296" s="270"/>
    </row>
    <row r="297" spans="1:8" x14ac:dyDescent="0.25">
      <c r="A297" s="257">
        <v>298</v>
      </c>
      <c r="B297" s="267">
        <v>296</v>
      </c>
      <c r="C297" s="268" t="s">
        <v>134</v>
      </c>
      <c r="D297" s="269">
        <v>41711</v>
      </c>
      <c r="E297" s="270" t="s">
        <v>3257</v>
      </c>
      <c r="F297" s="384">
        <v>2420000</v>
      </c>
      <c r="G297" s="270">
        <v>100099118</v>
      </c>
      <c r="H297" s="270"/>
    </row>
    <row r="298" spans="1:8" x14ac:dyDescent="0.25">
      <c r="A298" s="257">
        <v>299</v>
      </c>
      <c r="B298" s="267">
        <v>297</v>
      </c>
      <c r="C298" s="268" t="s">
        <v>1049</v>
      </c>
      <c r="D298" s="269">
        <v>41711</v>
      </c>
      <c r="E298" s="270" t="s">
        <v>3581</v>
      </c>
      <c r="F298" s="384">
        <v>208000</v>
      </c>
      <c r="G298" s="270">
        <v>190571479</v>
      </c>
      <c r="H298" s="270"/>
    </row>
    <row r="299" spans="1:8" x14ac:dyDescent="0.25">
      <c r="A299" s="257">
        <v>300</v>
      </c>
      <c r="B299" s="267">
        <v>298</v>
      </c>
      <c r="C299" s="268" t="s">
        <v>1049</v>
      </c>
      <c r="D299" s="269">
        <v>41711</v>
      </c>
      <c r="E299" s="270" t="s">
        <v>3581</v>
      </c>
      <c r="F299" s="384">
        <v>377000</v>
      </c>
      <c r="G299" s="270">
        <v>190571479</v>
      </c>
      <c r="H299" s="270"/>
    </row>
    <row r="300" spans="1:8" x14ac:dyDescent="0.25">
      <c r="A300" s="257">
        <v>301</v>
      </c>
      <c r="B300" s="267">
        <v>299</v>
      </c>
      <c r="C300" s="268" t="s">
        <v>3858</v>
      </c>
      <c r="D300" s="269">
        <v>41711</v>
      </c>
      <c r="E300" s="270" t="s">
        <v>1632</v>
      </c>
      <c r="F300" s="384">
        <v>27000</v>
      </c>
      <c r="G300" s="270">
        <v>691531391</v>
      </c>
      <c r="H300" s="270"/>
    </row>
    <row r="301" spans="1:8" x14ac:dyDescent="0.25">
      <c r="A301" s="257">
        <v>302</v>
      </c>
      <c r="B301" s="267">
        <v>300</v>
      </c>
      <c r="C301" s="268" t="s">
        <v>802</v>
      </c>
      <c r="D301" s="269">
        <v>41712</v>
      </c>
      <c r="E301" s="270" t="s">
        <v>1641</v>
      </c>
      <c r="F301" s="384">
        <v>87000</v>
      </c>
      <c r="G301" s="270">
        <v>100135464</v>
      </c>
      <c r="H301" s="270"/>
    </row>
    <row r="302" spans="1:8" x14ac:dyDescent="0.25">
      <c r="A302" s="257">
        <v>303</v>
      </c>
      <c r="B302" s="267">
        <v>301</v>
      </c>
      <c r="C302" s="268" t="s">
        <v>334</v>
      </c>
      <c r="D302" s="269">
        <v>41712</v>
      </c>
      <c r="E302" s="270" t="s">
        <v>1694</v>
      </c>
      <c r="F302" s="384">
        <v>377000</v>
      </c>
      <c r="G302" s="270">
        <v>101392173</v>
      </c>
      <c r="H302" s="270"/>
    </row>
    <row r="303" spans="1:8" x14ac:dyDescent="0.25">
      <c r="A303" s="257">
        <v>304</v>
      </c>
      <c r="B303" s="267">
        <v>302</v>
      </c>
      <c r="C303" s="268" t="s">
        <v>3280</v>
      </c>
      <c r="D303" s="269">
        <v>41712</v>
      </c>
      <c r="E303" s="270" t="s">
        <v>439</v>
      </c>
      <c r="F303" s="384">
        <v>377000</v>
      </c>
      <c r="G303" s="270">
        <v>190531017</v>
      </c>
      <c r="H303" s="270"/>
    </row>
    <row r="304" spans="1:8" x14ac:dyDescent="0.25">
      <c r="A304" s="257">
        <v>305</v>
      </c>
      <c r="B304" s="267">
        <v>303</v>
      </c>
      <c r="C304" s="268" t="s">
        <v>802</v>
      </c>
      <c r="D304" s="269">
        <v>41712</v>
      </c>
      <c r="E304" s="270" t="s">
        <v>1641</v>
      </c>
      <c r="F304" s="384">
        <v>87000</v>
      </c>
      <c r="G304" s="270">
        <v>100135464</v>
      </c>
      <c r="H304" s="270"/>
    </row>
    <row r="305" spans="1:8" x14ac:dyDescent="0.25">
      <c r="A305" s="257">
        <v>306</v>
      </c>
      <c r="B305" s="267">
        <v>304</v>
      </c>
      <c r="C305" s="268" t="s">
        <v>802</v>
      </c>
      <c r="D305" s="269">
        <v>41712</v>
      </c>
      <c r="E305" s="270" t="s">
        <v>1641</v>
      </c>
      <c r="F305" s="384">
        <v>55000</v>
      </c>
      <c r="G305" s="270">
        <v>100135464</v>
      </c>
      <c r="H305" s="270"/>
    </row>
    <row r="306" spans="1:8" x14ac:dyDescent="0.25">
      <c r="A306" s="257">
        <v>307</v>
      </c>
      <c r="B306" s="267">
        <v>305</v>
      </c>
      <c r="C306" s="268" t="s">
        <v>1658</v>
      </c>
      <c r="D306" s="269">
        <v>41712</v>
      </c>
      <c r="E306" s="270" t="s">
        <v>825</v>
      </c>
      <c r="F306" s="384">
        <v>135000</v>
      </c>
      <c r="G306" s="270">
        <v>100951254</v>
      </c>
      <c r="H306" s="270"/>
    </row>
    <row r="307" spans="1:8" x14ac:dyDescent="0.25">
      <c r="A307" s="257">
        <v>308</v>
      </c>
      <c r="B307" s="267">
        <v>306</v>
      </c>
      <c r="C307" s="268" t="s">
        <v>1124</v>
      </c>
      <c r="D307" s="269">
        <v>41712</v>
      </c>
      <c r="E307" s="270" t="s">
        <v>226</v>
      </c>
      <c r="F307" s="384">
        <v>870000</v>
      </c>
      <c r="G307" s="270">
        <v>190654467</v>
      </c>
      <c r="H307" s="270"/>
    </row>
    <row r="308" spans="1:8" x14ac:dyDescent="0.25">
      <c r="A308" s="257">
        <v>309</v>
      </c>
      <c r="B308" s="267">
        <v>307</v>
      </c>
      <c r="C308" s="268" t="s">
        <v>1124</v>
      </c>
      <c r="D308" s="269">
        <v>41712</v>
      </c>
      <c r="E308" s="270" t="s">
        <v>226</v>
      </c>
      <c r="F308" s="384">
        <v>242000</v>
      </c>
      <c r="G308" s="270">
        <v>190654467</v>
      </c>
      <c r="H308" s="270"/>
    </row>
    <row r="309" spans="1:8" x14ac:dyDescent="0.25">
      <c r="A309" s="257">
        <v>310</v>
      </c>
      <c r="B309" s="267">
        <v>308</v>
      </c>
      <c r="C309" s="268" t="s">
        <v>802</v>
      </c>
      <c r="D309" s="269">
        <v>41712</v>
      </c>
      <c r="E309" s="270" t="s">
        <v>1641</v>
      </c>
      <c r="F309" s="384">
        <v>55000</v>
      </c>
      <c r="G309" s="270">
        <v>100135464</v>
      </c>
      <c r="H309" s="270"/>
    </row>
    <row r="310" spans="1:8" x14ac:dyDescent="0.25">
      <c r="A310" s="257">
        <v>311</v>
      </c>
      <c r="B310" s="267">
        <v>309</v>
      </c>
      <c r="C310" s="268" t="s">
        <v>802</v>
      </c>
      <c r="D310" s="269">
        <v>41712</v>
      </c>
      <c r="E310" s="270" t="s">
        <v>1641</v>
      </c>
      <c r="F310" s="384">
        <v>87000</v>
      </c>
      <c r="G310" s="270">
        <v>100135464</v>
      </c>
      <c r="H310" s="270"/>
    </row>
    <row r="311" spans="1:8" x14ac:dyDescent="0.25">
      <c r="A311" s="257">
        <v>312</v>
      </c>
      <c r="B311" s="267">
        <v>310</v>
      </c>
      <c r="C311" s="268" t="s">
        <v>3534</v>
      </c>
      <c r="D311" s="269">
        <v>41712</v>
      </c>
      <c r="E311" s="270" t="s">
        <v>380</v>
      </c>
      <c r="F311" s="384">
        <v>27000</v>
      </c>
      <c r="G311" s="270">
        <v>191597159</v>
      </c>
      <c r="H311" s="270"/>
    </row>
    <row r="312" spans="1:8" x14ac:dyDescent="0.25">
      <c r="A312" s="257">
        <v>313</v>
      </c>
      <c r="B312" s="267">
        <v>311</v>
      </c>
      <c r="C312" s="268" t="s">
        <v>3280</v>
      </c>
      <c r="D312" s="269">
        <v>41712</v>
      </c>
      <c r="E312" s="270" t="s">
        <v>439</v>
      </c>
      <c r="F312" s="384">
        <v>377000</v>
      </c>
      <c r="G312" s="270">
        <v>190531017</v>
      </c>
      <c r="H312" s="270"/>
    </row>
    <row r="313" spans="1:8" x14ac:dyDescent="0.25">
      <c r="A313" s="257">
        <v>314</v>
      </c>
      <c r="B313" s="267">
        <v>312</v>
      </c>
      <c r="C313" s="268" t="s">
        <v>3661</v>
      </c>
      <c r="D313" s="269">
        <v>41713</v>
      </c>
      <c r="E313" s="270" t="s">
        <v>4196</v>
      </c>
      <c r="F313" s="384">
        <v>174000</v>
      </c>
      <c r="G313" s="270">
        <v>690365565</v>
      </c>
      <c r="H313" s="270"/>
    </row>
    <row r="314" spans="1:8" x14ac:dyDescent="0.25">
      <c r="A314" s="257">
        <v>315</v>
      </c>
      <c r="B314" s="267">
        <v>313</v>
      </c>
      <c r="C314" s="268" t="s">
        <v>3261</v>
      </c>
      <c r="D314" s="269">
        <v>41713</v>
      </c>
      <c r="E314" s="270" t="s">
        <v>710</v>
      </c>
      <c r="F314" s="384">
        <v>59000</v>
      </c>
      <c r="G314" s="270">
        <v>690630416</v>
      </c>
      <c r="H314" s="270"/>
    </row>
    <row r="315" spans="1:8" x14ac:dyDescent="0.25">
      <c r="A315" s="257">
        <v>316</v>
      </c>
      <c r="B315" s="267">
        <v>314</v>
      </c>
      <c r="C315" s="268" t="s">
        <v>2753</v>
      </c>
      <c r="D315" s="269">
        <v>41715</v>
      </c>
      <c r="E315" s="270" t="s">
        <v>869</v>
      </c>
      <c r="F315" s="384">
        <v>208000</v>
      </c>
      <c r="G315" s="270">
        <v>190491278</v>
      </c>
      <c r="H315" s="270"/>
    </row>
    <row r="316" spans="1:8" x14ac:dyDescent="0.25">
      <c r="A316" s="257">
        <v>317</v>
      </c>
      <c r="B316" s="267">
        <v>315</v>
      </c>
      <c r="C316" s="268" t="s">
        <v>1102</v>
      </c>
      <c r="D316" s="269">
        <v>41715</v>
      </c>
      <c r="E316" s="270" t="s">
        <v>3738</v>
      </c>
      <c r="F316" s="384">
        <v>208000</v>
      </c>
      <c r="G316" s="270">
        <v>100185144</v>
      </c>
      <c r="H316" s="270"/>
    </row>
    <row r="317" spans="1:8" x14ac:dyDescent="0.25">
      <c r="A317" s="257">
        <v>318</v>
      </c>
      <c r="B317" s="267">
        <v>316</v>
      </c>
      <c r="C317" s="268" t="s">
        <v>732</v>
      </c>
      <c r="D317" s="269">
        <v>41715</v>
      </c>
      <c r="E317" s="270" t="s">
        <v>3238</v>
      </c>
      <c r="F317" s="384">
        <v>377000</v>
      </c>
      <c r="G317" s="270">
        <v>191870208</v>
      </c>
      <c r="H317" s="270"/>
    </row>
    <row r="318" spans="1:8" x14ac:dyDescent="0.25">
      <c r="A318" s="257">
        <v>319</v>
      </c>
      <c r="B318" s="267">
        <v>317</v>
      </c>
      <c r="C318" s="268" t="s">
        <v>3734</v>
      </c>
      <c r="D318" s="269">
        <v>41715</v>
      </c>
      <c r="E318" s="270" t="s">
        <v>2358</v>
      </c>
      <c r="F318" s="384">
        <v>377000</v>
      </c>
      <c r="G318" s="270">
        <v>800008903</v>
      </c>
      <c r="H318" s="270"/>
    </row>
    <row r="319" spans="1:8" x14ac:dyDescent="0.25">
      <c r="A319" s="257">
        <v>320</v>
      </c>
      <c r="B319" s="267">
        <v>318</v>
      </c>
      <c r="C319" s="268" t="s">
        <v>315</v>
      </c>
      <c r="D319" s="269">
        <v>41715</v>
      </c>
      <c r="E319" s="270" t="s">
        <v>3862</v>
      </c>
      <c r="F319" s="384">
        <v>140000</v>
      </c>
      <c r="G319" s="270">
        <v>601058802</v>
      </c>
      <c r="H319" s="270"/>
    </row>
    <row r="320" spans="1:8" x14ac:dyDescent="0.25">
      <c r="A320" s="257">
        <v>321</v>
      </c>
      <c r="B320" s="267">
        <v>319</v>
      </c>
      <c r="C320" s="268" t="s">
        <v>724</v>
      </c>
      <c r="D320" s="269">
        <v>41715</v>
      </c>
      <c r="E320" s="270" t="s">
        <v>1000</v>
      </c>
      <c r="F320" s="384">
        <v>241000</v>
      </c>
      <c r="G320" s="270">
        <v>808000410</v>
      </c>
      <c r="H320" s="270"/>
    </row>
    <row r="321" spans="1:8" x14ac:dyDescent="0.25">
      <c r="A321" s="257">
        <v>322</v>
      </c>
      <c r="B321" s="267">
        <v>320</v>
      </c>
      <c r="C321" s="268" t="s">
        <v>4222</v>
      </c>
      <c r="D321" s="269">
        <v>41715</v>
      </c>
      <c r="E321" s="270" t="s">
        <v>1825</v>
      </c>
      <c r="F321" s="384">
        <v>32000</v>
      </c>
      <c r="G321" s="270">
        <v>190922876</v>
      </c>
      <c r="H321" s="270"/>
    </row>
    <row r="322" spans="1:8" x14ac:dyDescent="0.25">
      <c r="A322" s="257">
        <v>323</v>
      </c>
      <c r="B322" s="267">
        <v>321</v>
      </c>
      <c r="C322" s="268" t="s">
        <v>2794</v>
      </c>
      <c r="D322" s="269">
        <v>41716</v>
      </c>
      <c r="E322" s="270" t="s">
        <v>3131</v>
      </c>
      <c r="F322" s="384">
        <v>174000</v>
      </c>
      <c r="G322" s="270">
        <v>100062465</v>
      </c>
      <c r="H322" s="270"/>
    </row>
    <row r="323" spans="1:8" x14ac:dyDescent="0.25">
      <c r="A323" s="257">
        <v>324</v>
      </c>
      <c r="B323" s="267">
        <v>322</v>
      </c>
      <c r="C323" s="268" t="s">
        <v>2794</v>
      </c>
      <c r="D323" s="269">
        <v>41716</v>
      </c>
      <c r="E323" s="270" t="s">
        <v>3131</v>
      </c>
      <c r="F323" s="384">
        <v>140000</v>
      </c>
      <c r="G323" s="270">
        <v>100062465</v>
      </c>
      <c r="H323" s="270"/>
    </row>
    <row r="324" spans="1:8" x14ac:dyDescent="0.25">
      <c r="A324" s="257">
        <v>325</v>
      </c>
      <c r="B324" s="267">
        <v>323</v>
      </c>
      <c r="C324" s="268" t="s">
        <v>1917</v>
      </c>
      <c r="D324" s="269">
        <v>41716</v>
      </c>
      <c r="E324" s="270" t="s">
        <v>874</v>
      </c>
      <c r="F324" s="384">
        <v>377000</v>
      </c>
      <c r="G324" s="270">
        <v>191360926</v>
      </c>
      <c r="H324" s="270"/>
    </row>
    <row r="325" spans="1:8" x14ac:dyDescent="0.25">
      <c r="A325" s="257">
        <v>326</v>
      </c>
      <c r="B325" s="267">
        <v>324</v>
      </c>
      <c r="C325" s="268" t="s">
        <v>135</v>
      </c>
      <c r="D325" s="269">
        <v>41716</v>
      </c>
      <c r="E325" s="270" t="s">
        <v>157</v>
      </c>
      <c r="F325" s="384">
        <v>377000</v>
      </c>
      <c r="G325" s="270">
        <v>691061027</v>
      </c>
      <c r="H325" s="270"/>
    </row>
    <row r="326" spans="1:8" x14ac:dyDescent="0.25">
      <c r="A326" s="257">
        <v>327</v>
      </c>
      <c r="B326" s="267">
        <v>325</v>
      </c>
      <c r="C326" s="268" t="s">
        <v>135</v>
      </c>
      <c r="D326" s="269">
        <v>41716</v>
      </c>
      <c r="E326" s="270" t="s">
        <v>157</v>
      </c>
      <c r="F326" s="384">
        <v>145000</v>
      </c>
      <c r="G326" s="270">
        <v>691061027</v>
      </c>
      <c r="H326" s="270"/>
    </row>
    <row r="327" spans="1:8" x14ac:dyDescent="0.25">
      <c r="A327" s="257">
        <v>328</v>
      </c>
      <c r="B327" s="267">
        <v>326</v>
      </c>
      <c r="C327" s="268" t="s">
        <v>1855</v>
      </c>
      <c r="D327" s="269">
        <v>41716</v>
      </c>
      <c r="E327" s="270" t="s">
        <v>3562</v>
      </c>
      <c r="F327" s="384">
        <v>51000</v>
      </c>
      <c r="G327" s="270">
        <v>600430524</v>
      </c>
      <c r="H327" s="270"/>
    </row>
    <row r="328" spans="1:8" x14ac:dyDescent="0.25">
      <c r="A328" s="257">
        <v>329</v>
      </c>
      <c r="B328" s="267">
        <v>327</v>
      </c>
      <c r="C328" s="268" t="s">
        <v>802</v>
      </c>
      <c r="D328" s="269">
        <v>41716</v>
      </c>
      <c r="E328" s="270" t="s">
        <v>1641</v>
      </c>
      <c r="F328" s="384">
        <v>4945000</v>
      </c>
      <c r="G328" s="270">
        <v>100135464</v>
      </c>
      <c r="H328" s="270"/>
    </row>
    <row r="329" spans="1:8" x14ac:dyDescent="0.25">
      <c r="A329" s="257">
        <v>330</v>
      </c>
      <c r="B329" s="267">
        <v>328</v>
      </c>
      <c r="C329" s="268" t="s">
        <v>2835</v>
      </c>
      <c r="D329" s="269">
        <v>41716</v>
      </c>
      <c r="E329" s="270" t="s">
        <v>2890</v>
      </c>
      <c r="F329" s="384">
        <v>169000</v>
      </c>
      <c r="G329" s="270">
        <v>690367172</v>
      </c>
      <c r="H329" s="270"/>
    </row>
    <row r="330" spans="1:8" x14ac:dyDescent="0.25">
      <c r="A330" s="257">
        <v>331</v>
      </c>
      <c r="B330" s="267">
        <v>329</v>
      </c>
      <c r="C330" s="268" t="s">
        <v>2822</v>
      </c>
      <c r="D330" s="269">
        <v>41716</v>
      </c>
      <c r="E330" s="270" t="s">
        <v>2769</v>
      </c>
      <c r="F330" s="384">
        <v>377000</v>
      </c>
      <c r="G330" s="270">
        <v>191516278</v>
      </c>
      <c r="H330" s="270"/>
    </row>
    <row r="331" spans="1:8" x14ac:dyDescent="0.25">
      <c r="A331" s="257">
        <v>332</v>
      </c>
      <c r="B331" s="267">
        <v>330</v>
      </c>
      <c r="C331" s="268" t="s">
        <v>3776</v>
      </c>
      <c r="D331" s="269">
        <v>41717</v>
      </c>
      <c r="E331" s="270" t="s">
        <v>182</v>
      </c>
      <c r="F331" s="384">
        <v>135000</v>
      </c>
      <c r="G331" s="270">
        <v>190113200</v>
      </c>
      <c r="H331" s="270"/>
    </row>
    <row r="332" spans="1:8" x14ac:dyDescent="0.25">
      <c r="A332" s="257">
        <v>333</v>
      </c>
      <c r="B332" s="267">
        <v>331</v>
      </c>
      <c r="C332" s="268" t="s">
        <v>373</v>
      </c>
      <c r="D332" s="269">
        <v>41717</v>
      </c>
      <c r="E332" s="270" t="s">
        <v>2682</v>
      </c>
      <c r="F332" s="384">
        <v>145000</v>
      </c>
      <c r="G332" s="270">
        <v>191047775</v>
      </c>
      <c r="H332" s="270"/>
    </row>
    <row r="333" spans="1:8" x14ac:dyDescent="0.25">
      <c r="A333" s="257">
        <v>334</v>
      </c>
      <c r="B333" s="267">
        <v>332</v>
      </c>
      <c r="C333" s="268" t="s">
        <v>3634</v>
      </c>
      <c r="D333" s="269">
        <v>41717</v>
      </c>
      <c r="E333" s="270" t="s">
        <v>1104</v>
      </c>
      <c r="F333" s="384">
        <v>174000</v>
      </c>
      <c r="G333" s="270">
        <v>190593605</v>
      </c>
      <c r="H333" s="270"/>
    </row>
    <row r="334" spans="1:8" x14ac:dyDescent="0.25">
      <c r="A334" s="257">
        <v>335</v>
      </c>
      <c r="B334" s="267">
        <v>333</v>
      </c>
      <c r="C334" s="268" t="s">
        <v>3636</v>
      </c>
      <c r="D334" s="269">
        <v>41717</v>
      </c>
      <c r="E334" s="270" t="s">
        <v>3650</v>
      </c>
      <c r="F334" s="384">
        <v>140000</v>
      </c>
      <c r="G334" s="270">
        <v>600204179</v>
      </c>
      <c r="H334" s="270"/>
    </row>
    <row r="335" spans="1:8" x14ac:dyDescent="0.25">
      <c r="A335" s="257">
        <v>336</v>
      </c>
      <c r="B335" s="267">
        <v>334</v>
      </c>
      <c r="C335" s="268" t="s">
        <v>262</v>
      </c>
      <c r="D335" s="269">
        <v>41718</v>
      </c>
      <c r="E335" s="270" t="s">
        <v>927</v>
      </c>
      <c r="F335" s="384">
        <v>140000</v>
      </c>
      <c r="G335" s="270">
        <v>190454318</v>
      </c>
      <c r="H335" s="270"/>
    </row>
    <row r="336" spans="1:8" x14ac:dyDescent="0.25">
      <c r="A336" s="257">
        <v>337</v>
      </c>
      <c r="B336" s="267">
        <v>335</v>
      </c>
      <c r="C336" s="268" t="s">
        <v>129</v>
      </c>
      <c r="D336" s="269">
        <v>41718</v>
      </c>
      <c r="E336" s="270" t="s">
        <v>1690</v>
      </c>
      <c r="F336" s="384">
        <v>242000</v>
      </c>
      <c r="G336" s="270">
        <v>191758715</v>
      </c>
      <c r="H336" s="270"/>
    </row>
    <row r="337" spans="1:8" x14ac:dyDescent="0.25">
      <c r="A337" s="257">
        <v>338</v>
      </c>
      <c r="B337" s="267">
        <v>336</v>
      </c>
      <c r="C337" s="268" t="s">
        <v>319</v>
      </c>
      <c r="D337" s="269">
        <v>41718</v>
      </c>
      <c r="E337" s="270" t="s">
        <v>3564</v>
      </c>
      <c r="F337" s="384">
        <v>174000</v>
      </c>
      <c r="G337" s="270">
        <v>690654706</v>
      </c>
      <c r="H337" s="270"/>
    </row>
    <row r="338" spans="1:8" x14ac:dyDescent="0.25">
      <c r="A338" s="257">
        <v>339</v>
      </c>
      <c r="B338" s="267">
        <v>337</v>
      </c>
      <c r="C338" s="268" t="s">
        <v>1928</v>
      </c>
      <c r="D338" s="269">
        <v>41718</v>
      </c>
      <c r="E338" s="270" t="s">
        <v>2801</v>
      </c>
      <c r="F338" s="384">
        <v>242000</v>
      </c>
      <c r="G338" s="270">
        <v>190334745</v>
      </c>
      <c r="H338" s="270"/>
    </row>
    <row r="339" spans="1:8" x14ac:dyDescent="0.25">
      <c r="A339" s="257">
        <v>340</v>
      </c>
      <c r="B339" s="267">
        <v>338</v>
      </c>
      <c r="C339" s="268" t="s">
        <v>3091</v>
      </c>
      <c r="D339" s="269">
        <v>41718</v>
      </c>
      <c r="E339" s="270" t="s">
        <v>1848</v>
      </c>
      <c r="F339" s="384">
        <v>174000</v>
      </c>
      <c r="G339" s="270">
        <v>690697161</v>
      </c>
      <c r="H339" s="270"/>
    </row>
    <row r="340" spans="1:8" x14ac:dyDescent="0.25">
      <c r="A340" s="257">
        <v>341</v>
      </c>
      <c r="B340" s="267">
        <v>339</v>
      </c>
      <c r="C340" s="268" t="s">
        <v>334</v>
      </c>
      <c r="D340" s="269">
        <v>41719</v>
      </c>
      <c r="E340" s="270" t="s">
        <v>1694</v>
      </c>
      <c r="F340" s="384">
        <v>377000</v>
      </c>
      <c r="G340" s="270">
        <v>101392173</v>
      </c>
      <c r="H340" s="270"/>
    </row>
    <row r="341" spans="1:8" x14ac:dyDescent="0.25">
      <c r="A341" s="257">
        <v>342</v>
      </c>
      <c r="B341" s="267">
        <v>340</v>
      </c>
      <c r="C341" s="268" t="s">
        <v>145</v>
      </c>
      <c r="D341" s="269">
        <v>41719</v>
      </c>
      <c r="E341" s="270" t="s">
        <v>403</v>
      </c>
      <c r="F341" s="384">
        <v>59000</v>
      </c>
      <c r="G341" s="270">
        <v>190471062</v>
      </c>
      <c r="H341" s="270"/>
    </row>
    <row r="342" spans="1:8" x14ac:dyDescent="0.25">
      <c r="A342" s="257">
        <v>343</v>
      </c>
      <c r="B342" s="267">
        <v>341</v>
      </c>
      <c r="C342" s="268" t="s">
        <v>4239</v>
      </c>
      <c r="D342" s="269">
        <v>41719</v>
      </c>
      <c r="E342" s="270" t="s">
        <v>3090</v>
      </c>
      <c r="F342" s="384">
        <v>174000</v>
      </c>
      <c r="G342" s="270">
        <v>191377629</v>
      </c>
      <c r="H342" s="270"/>
    </row>
    <row r="343" spans="1:8" x14ac:dyDescent="0.25">
      <c r="A343" s="257">
        <v>344</v>
      </c>
      <c r="B343" s="267">
        <v>342</v>
      </c>
      <c r="C343" s="268" t="s">
        <v>686</v>
      </c>
      <c r="D343" s="269">
        <v>41719</v>
      </c>
      <c r="E343" s="270" t="s">
        <v>421</v>
      </c>
      <c r="F343" s="384">
        <v>377000</v>
      </c>
      <c r="G343" s="270">
        <v>808000701</v>
      </c>
      <c r="H343" s="270"/>
    </row>
    <row r="344" spans="1:8" x14ac:dyDescent="0.25">
      <c r="A344" s="257">
        <v>345</v>
      </c>
      <c r="B344" s="267">
        <v>343</v>
      </c>
      <c r="C344" s="268" t="s">
        <v>3618</v>
      </c>
      <c r="D344" s="269">
        <v>41719</v>
      </c>
      <c r="E344" s="270" t="s">
        <v>163</v>
      </c>
      <c r="F344" s="384">
        <v>416000</v>
      </c>
      <c r="G344" s="270">
        <v>100843354</v>
      </c>
      <c r="H344" s="270"/>
    </row>
    <row r="345" spans="1:8" x14ac:dyDescent="0.25">
      <c r="A345" s="257">
        <v>346</v>
      </c>
      <c r="B345" s="267">
        <v>344</v>
      </c>
      <c r="C345" s="268" t="s">
        <v>3618</v>
      </c>
      <c r="D345" s="269">
        <v>41719</v>
      </c>
      <c r="E345" s="270" t="s">
        <v>163</v>
      </c>
      <c r="F345" s="384">
        <v>135000</v>
      </c>
      <c r="G345" s="270">
        <v>100843354</v>
      </c>
      <c r="H345" s="270"/>
    </row>
    <row r="346" spans="1:8" x14ac:dyDescent="0.25">
      <c r="A346" s="257">
        <v>347</v>
      </c>
      <c r="B346" s="267">
        <v>345</v>
      </c>
      <c r="C346" s="268" t="s">
        <v>1102</v>
      </c>
      <c r="D346" s="269">
        <v>41719</v>
      </c>
      <c r="E346" s="270" t="s">
        <v>3738</v>
      </c>
      <c r="F346" s="384">
        <v>102000</v>
      </c>
      <c r="G346" s="270">
        <v>100185144</v>
      </c>
      <c r="H346" s="270"/>
    </row>
    <row r="347" spans="1:8" x14ac:dyDescent="0.25">
      <c r="A347" s="257">
        <v>348</v>
      </c>
      <c r="B347" s="267">
        <v>346</v>
      </c>
      <c r="C347" s="268" t="s">
        <v>1028</v>
      </c>
      <c r="D347" s="269">
        <v>41719</v>
      </c>
      <c r="E347" s="270" t="s">
        <v>2970</v>
      </c>
      <c r="F347" s="384">
        <v>377000</v>
      </c>
      <c r="G347" s="270">
        <v>691313083</v>
      </c>
      <c r="H347" s="270"/>
    </row>
    <row r="348" spans="1:8" x14ac:dyDescent="0.25">
      <c r="A348" s="257">
        <v>349</v>
      </c>
      <c r="B348" s="267">
        <v>347</v>
      </c>
      <c r="C348" s="268" t="s">
        <v>1028</v>
      </c>
      <c r="D348" s="269">
        <v>41719</v>
      </c>
      <c r="E348" s="270" t="s">
        <v>2970</v>
      </c>
      <c r="F348" s="384">
        <v>188000</v>
      </c>
      <c r="G348" s="270">
        <v>691313083</v>
      </c>
      <c r="H348" s="270"/>
    </row>
    <row r="349" spans="1:8" x14ac:dyDescent="0.25">
      <c r="A349" s="257">
        <v>350</v>
      </c>
      <c r="B349" s="267">
        <v>348</v>
      </c>
      <c r="C349" s="268" t="s">
        <v>3734</v>
      </c>
      <c r="D349" s="269">
        <v>41719</v>
      </c>
      <c r="E349" s="270" t="s">
        <v>2358</v>
      </c>
      <c r="F349" s="384">
        <v>242000</v>
      </c>
      <c r="G349" s="270">
        <v>800008903</v>
      </c>
      <c r="H349" s="270"/>
    </row>
    <row r="350" spans="1:8" x14ac:dyDescent="0.25">
      <c r="A350" s="257">
        <v>351</v>
      </c>
      <c r="B350" s="267">
        <v>349</v>
      </c>
      <c r="C350" s="268" t="s">
        <v>2734</v>
      </c>
      <c r="D350" s="269">
        <v>41719</v>
      </c>
      <c r="E350" s="270" t="s">
        <v>3844</v>
      </c>
      <c r="F350" s="384">
        <v>188000</v>
      </c>
      <c r="G350" s="270">
        <v>190454729</v>
      </c>
      <c r="H350" s="270"/>
    </row>
    <row r="351" spans="1:8" x14ac:dyDescent="0.25">
      <c r="A351" s="257">
        <v>352</v>
      </c>
      <c r="B351" s="267">
        <v>350</v>
      </c>
      <c r="C351" s="268" t="s">
        <v>2645</v>
      </c>
      <c r="D351" s="269">
        <v>41719</v>
      </c>
      <c r="E351" s="270" t="s">
        <v>239</v>
      </c>
      <c r="F351" s="384">
        <v>377000</v>
      </c>
      <c r="G351" s="270">
        <v>101139097</v>
      </c>
      <c r="H351" s="270"/>
    </row>
    <row r="352" spans="1:8" x14ac:dyDescent="0.25">
      <c r="A352" s="257">
        <v>353</v>
      </c>
      <c r="B352" s="267">
        <v>351</v>
      </c>
      <c r="C352" s="268" t="s">
        <v>1658</v>
      </c>
      <c r="D352" s="269">
        <v>41720</v>
      </c>
      <c r="E352" s="270" t="s">
        <v>825</v>
      </c>
      <c r="F352" s="384">
        <v>377000</v>
      </c>
      <c r="G352" s="270">
        <v>100951254</v>
      </c>
      <c r="H352" s="270"/>
    </row>
    <row r="353" spans="1:8" x14ac:dyDescent="0.25">
      <c r="A353" s="257">
        <v>354</v>
      </c>
      <c r="B353" s="267">
        <v>352</v>
      </c>
      <c r="C353" s="268" t="s">
        <v>3093</v>
      </c>
      <c r="D353" s="269">
        <v>41720</v>
      </c>
      <c r="E353" s="270" t="s">
        <v>2417</v>
      </c>
      <c r="F353" s="384">
        <v>145000</v>
      </c>
      <c r="G353" s="270">
        <v>191139013</v>
      </c>
      <c r="H353" s="270"/>
    </row>
    <row r="354" spans="1:8" x14ac:dyDescent="0.25">
      <c r="A354" s="257">
        <v>355</v>
      </c>
      <c r="B354" s="267">
        <v>353</v>
      </c>
      <c r="C354" s="268" t="s">
        <v>1608</v>
      </c>
      <c r="D354" s="269">
        <v>41720</v>
      </c>
      <c r="E354" s="270" t="s">
        <v>2743</v>
      </c>
      <c r="F354" s="384">
        <v>836000</v>
      </c>
      <c r="G354" s="270">
        <v>600052544</v>
      </c>
      <c r="H354" s="270"/>
    </row>
    <row r="355" spans="1:8" x14ac:dyDescent="0.25">
      <c r="A355" s="257">
        <v>356</v>
      </c>
      <c r="B355" s="267">
        <v>354</v>
      </c>
      <c r="C355" s="268" t="s">
        <v>3599</v>
      </c>
      <c r="D355" s="269">
        <v>41722</v>
      </c>
      <c r="E355" s="270" t="s">
        <v>3277</v>
      </c>
      <c r="F355" s="384">
        <v>754000</v>
      </c>
      <c r="G355" s="270">
        <v>691536431</v>
      </c>
      <c r="H355" s="270"/>
    </row>
    <row r="356" spans="1:8" x14ac:dyDescent="0.25">
      <c r="A356" s="257">
        <v>357</v>
      </c>
      <c r="B356" s="267">
        <v>355</v>
      </c>
      <c r="C356" s="268" t="s">
        <v>457</v>
      </c>
      <c r="D356" s="269">
        <v>41722</v>
      </c>
      <c r="E356" s="270" t="s">
        <v>3835</v>
      </c>
      <c r="F356" s="384">
        <v>242000</v>
      </c>
      <c r="G356" s="270">
        <v>191687762</v>
      </c>
      <c r="H356" s="270"/>
    </row>
    <row r="357" spans="1:8" x14ac:dyDescent="0.25">
      <c r="A357" s="257">
        <v>358</v>
      </c>
      <c r="B357" s="267">
        <v>356</v>
      </c>
      <c r="C357" s="268" t="s">
        <v>3766</v>
      </c>
      <c r="D357" s="269">
        <v>41722</v>
      </c>
      <c r="E357" s="270" t="s">
        <v>485</v>
      </c>
      <c r="F357" s="384">
        <v>377000</v>
      </c>
      <c r="G357" s="270">
        <v>191523214</v>
      </c>
      <c r="H357" s="270"/>
    </row>
    <row r="358" spans="1:8" x14ac:dyDescent="0.25">
      <c r="A358" s="257">
        <v>359</v>
      </c>
      <c r="B358" s="267">
        <v>357</v>
      </c>
      <c r="C358" s="268" t="s">
        <v>411</v>
      </c>
      <c r="D358" s="269">
        <v>41722</v>
      </c>
      <c r="E358" s="270" t="s">
        <v>2681</v>
      </c>
      <c r="F358" s="384">
        <v>140000</v>
      </c>
      <c r="G358" s="270">
        <v>101541630</v>
      </c>
      <c r="H358" s="270"/>
    </row>
    <row r="359" spans="1:8" x14ac:dyDescent="0.25">
      <c r="A359" s="257">
        <v>360</v>
      </c>
      <c r="B359" s="267">
        <v>358</v>
      </c>
      <c r="C359" s="268" t="s">
        <v>895</v>
      </c>
      <c r="D359" s="269">
        <v>41722</v>
      </c>
      <c r="E359" s="270" t="s">
        <v>2804</v>
      </c>
      <c r="F359" s="384">
        <v>174000</v>
      </c>
      <c r="G359" s="270">
        <v>691433174</v>
      </c>
      <c r="H359" s="270"/>
    </row>
    <row r="360" spans="1:8" x14ac:dyDescent="0.25">
      <c r="A360" s="257">
        <v>361</v>
      </c>
      <c r="B360" s="267">
        <v>359</v>
      </c>
      <c r="C360" s="268" t="s">
        <v>51</v>
      </c>
      <c r="D360" s="269">
        <v>41722</v>
      </c>
      <c r="E360" s="270" t="s">
        <v>2439</v>
      </c>
      <c r="F360" s="384">
        <v>1210000</v>
      </c>
      <c r="G360" s="270">
        <v>101844835</v>
      </c>
      <c r="H360" s="270"/>
    </row>
    <row r="361" spans="1:8" x14ac:dyDescent="0.25">
      <c r="A361" s="257">
        <v>362</v>
      </c>
      <c r="B361" s="267">
        <v>360</v>
      </c>
      <c r="C361" s="268" t="s">
        <v>2722</v>
      </c>
      <c r="D361" s="269">
        <v>41722</v>
      </c>
      <c r="E361" s="270" t="s">
        <v>382</v>
      </c>
      <c r="F361" s="384">
        <v>208000</v>
      </c>
      <c r="G361" s="270">
        <v>100265715</v>
      </c>
      <c r="H361" s="270"/>
    </row>
    <row r="362" spans="1:8" x14ac:dyDescent="0.25">
      <c r="A362" s="257">
        <v>363</v>
      </c>
      <c r="B362" s="267">
        <v>361</v>
      </c>
      <c r="C362" s="268" t="s">
        <v>196</v>
      </c>
      <c r="D362" s="269">
        <v>41722</v>
      </c>
      <c r="E362" s="270" t="s">
        <v>3110</v>
      </c>
      <c r="F362" s="384">
        <v>377000</v>
      </c>
      <c r="G362" s="270">
        <v>101538513</v>
      </c>
      <c r="H362" s="270"/>
    </row>
    <row r="363" spans="1:8" x14ac:dyDescent="0.25">
      <c r="A363" s="257">
        <v>364</v>
      </c>
      <c r="B363" s="267">
        <v>362</v>
      </c>
      <c r="C363" s="268" t="s">
        <v>420</v>
      </c>
      <c r="D363" s="269">
        <v>41722</v>
      </c>
      <c r="E363" s="270" t="s">
        <v>242</v>
      </c>
      <c r="F363" s="384">
        <v>27000</v>
      </c>
      <c r="G363" s="270">
        <v>100009627</v>
      </c>
      <c r="H363" s="270"/>
    </row>
    <row r="364" spans="1:8" x14ac:dyDescent="0.25">
      <c r="A364" s="257">
        <v>365</v>
      </c>
      <c r="B364" s="267">
        <v>363</v>
      </c>
      <c r="C364" s="268" t="s">
        <v>262</v>
      </c>
      <c r="D364" s="269">
        <v>41723</v>
      </c>
      <c r="E364" s="270" t="s">
        <v>927</v>
      </c>
      <c r="F364" s="384">
        <v>140000</v>
      </c>
      <c r="G364" s="270">
        <v>190454318</v>
      </c>
      <c r="H364" s="270"/>
    </row>
    <row r="365" spans="1:8" x14ac:dyDescent="0.25">
      <c r="A365" s="257">
        <v>366</v>
      </c>
      <c r="B365" s="267">
        <v>364</v>
      </c>
      <c r="C365" s="268" t="s">
        <v>2637</v>
      </c>
      <c r="D365" s="269">
        <v>41723</v>
      </c>
      <c r="E365" s="270" t="s">
        <v>2772</v>
      </c>
      <c r="F365" s="384">
        <v>377000</v>
      </c>
      <c r="G365" s="270">
        <v>691149841</v>
      </c>
      <c r="H365" s="270"/>
    </row>
    <row r="366" spans="1:8" x14ac:dyDescent="0.25">
      <c r="A366" s="257">
        <v>367</v>
      </c>
      <c r="B366" s="267">
        <v>365</v>
      </c>
      <c r="C366" s="268" t="s">
        <v>879</v>
      </c>
      <c r="D366" s="269">
        <v>41723</v>
      </c>
      <c r="E366" s="270" t="s">
        <v>1906</v>
      </c>
      <c r="F366" s="384">
        <v>135000</v>
      </c>
      <c r="G366" s="270">
        <v>690250660</v>
      </c>
      <c r="H366" s="270"/>
    </row>
    <row r="367" spans="1:8" x14ac:dyDescent="0.25">
      <c r="A367" s="257">
        <v>368</v>
      </c>
      <c r="B367" s="267">
        <v>366</v>
      </c>
      <c r="C367" s="268" t="s">
        <v>3133</v>
      </c>
      <c r="D367" s="269">
        <v>41723</v>
      </c>
      <c r="E367" s="270" t="s">
        <v>3587</v>
      </c>
      <c r="F367" s="384">
        <v>59000</v>
      </c>
      <c r="G367" s="270">
        <v>101254783</v>
      </c>
      <c r="H367" s="270"/>
    </row>
    <row r="368" spans="1:8" x14ac:dyDescent="0.25">
      <c r="A368" s="257">
        <v>369</v>
      </c>
      <c r="B368" s="267">
        <v>367</v>
      </c>
      <c r="C368" s="268" t="s">
        <v>725</v>
      </c>
      <c r="D368" s="269">
        <v>41724</v>
      </c>
      <c r="E368" s="270" t="s">
        <v>861</v>
      </c>
      <c r="F368" s="384">
        <v>10393000</v>
      </c>
      <c r="G368" s="270">
        <v>100097541</v>
      </c>
      <c r="H368" s="270"/>
    </row>
    <row r="369" spans="1:8" x14ac:dyDescent="0.25">
      <c r="A369" s="257">
        <v>370</v>
      </c>
      <c r="B369" s="267">
        <v>368</v>
      </c>
      <c r="C369" s="268" t="s">
        <v>53</v>
      </c>
      <c r="D369" s="269">
        <v>41724</v>
      </c>
      <c r="E369" s="270" t="s">
        <v>893</v>
      </c>
      <c r="F369" s="384">
        <v>377000</v>
      </c>
      <c r="G369" s="270">
        <v>691535129</v>
      </c>
      <c r="H369" s="270"/>
    </row>
    <row r="370" spans="1:8" x14ac:dyDescent="0.25">
      <c r="A370" s="257">
        <v>371</v>
      </c>
      <c r="B370" s="267">
        <v>369</v>
      </c>
      <c r="C370" s="268" t="s">
        <v>2722</v>
      </c>
      <c r="D370" s="269">
        <v>41724</v>
      </c>
      <c r="E370" s="270" t="s">
        <v>382</v>
      </c>
      <c r="F370" s="384">
        <v>87000</v>
      </c>
      <c r="G370" s="270">
        <v>100265715</v>
      </c>
      <c r="H370" s="270"/>
    </row>
    <row r="371" spans="1:8" x14ac:dyDescent="0.25">
      <c r="A371" s="257">
        <v>372</v>
      </c>
      <c r="B371" s="267">
        <v>370</v>
      </c>
      <c r="C371" s="268" t="s">
        <v>1658</v>
      </c>
      <c r="D371" s="269">
        <v>41724</v>
      </c>
      <c r="E371" s="270" t="s">
        <v>825</v>
      </c>
      <c r="F371" s="384">
        <v>377000</v>
      </c>
      <c r="G371" s="270">
        <v>100951254</v>
      </c>
      <c r="H371" s="270"/>
    </row>
    <row r="372" spans="1:8" x14ac:dyDescent="0.25">
      <c r="A372" s="257">
        <v>373</v>
      </c>
      <c r="B372" s="267">
        <v>371</v>
      </c>
      <c r="C372" s="268" t="s">
        <v>950</v>
      </c>
      <c r="D372" s="269">
        <v>41724</v>
      </c>
      <c r="E372" s="270" t="s">
        <v>2827</v>
      </c>
      <c r="F372" s="384">
        <v>67000</v>
      </c>
      <c r="G372" s="270">
        <v>0</v>
      </c>
      <c r="H372" s="270"/>
    </row>
    <row r="373" spans="1:8" x14ac:dyDescent="0.25">
      <c r="A373" s="257">
        <v>374</v>
      </c>
      <c r="B373" s="267">
        <v>372</v>
      </c>
      <c r="C373" s="268" t="s">
        <v>2162</v>
      </c>
      <c r="D373" s="269">
        <v>41724</v>
      </c>
      <c r="E373" s="270" t="s">
        <v>3244</v>
      </c>
      <c r="F373" s="384">
        <v>208000</v>
      </c>
      <c r="G373" s="270">
        <v>600011780</v>
      </c>
      <c r="H373" s="270"/>
    </row>
    <row r="374" spans="1:8" x14ac:dyDescent="0.25">
      <c r="A374" s="257">
        <v>375</v>
      </c>
      <c r="B374" s="267">
        <v>373</v>
      </c>
      <c r="C374" s="268" t="s">
        <v>2162</v>
      </c>
      <c r="D374" s="269">
        <v>41724</v>
      </c>
      <c r="E374" s="270" t="s">
        <v>3244</v>
      </c>
      <c r="F374" s="384">
        <v>135000</v>
      </c>
      <c r="G374" s="270">
        <v>600011780</v>
      </c>
      <c r="H374" s="270"/>
    </row>
    <row r="375" spans="1:8" x14ac:dyDescent="0.25">
      <c r="A375" s="257">
        <v>376</v>
      </c>
      <c r="B375" s="267">
        <v>374</v>
      </c>
      <c r="C375" s="268" t="s">
        <v>2162</v>
      </c>
      <c r="D375" s="269">
        <v>41724</v>
      </c>
      <c r="E375" s="270" t="s">
        <v>3244</v>
      </c>
      <c r="F375" s="384">
        <v>242000</v>
      </c>
      <c r="G375" s="270">
        <v>600011780</v>
      </c>
      <c r="H375" s="270"/>
    </row>
    <row r="376" spans="1:8" x14ac:dyDescent="0.25">
      <c r="A376" s="257">
        <v>377</v>
      </c>
      <c r="B376" s="267">
        <v>375</v>
      </c>
      <c r="C376" s="268" t="s">
        <v>2162</v>
      </c>
      <c r="D376" s="269">
        <v>41724</v>
      </c>
      <c r="E376" s="270" t="s">
        <v>3244</v>
      </c>
      <c r="F376" s="384">
        <v>208000</v>
      </c>
      <c r="G376" s="270">
        <v>600011780</v>
      </c>
      <c r="H376" s="270"/>
    </row>
    <row r="377" spans="1:8" x14ac:dyDescent="0.25">
      <c r="A377" s="257">
        <v>378</v>
      </c>
      <c r="B377" s="267">
        <v>376</v>
      </c>
      <c r="C377" s="268" t="s">
        <v>2645</v>
      </c>
      <c r="D377" s="269">
        <v>41724</v>
      </c>
      <c r="E377" s="270" t="s">
        <v>239</v>
      </c>
      <c r="F377" s="384">
        <v>377000</v>
      </c>
      <c r="G377" s="270">
        <v>101139097</v>
      </c>
      <c r="H377" s="270"/>
    </row>
    <row r="378" spans="1:8" x14ac:dyDescent="0.25">
      <c r="A378" s="257">
        <v>379</v>
      </c>
      <c r="B378" s="267">
        <v>377</v>
      </c>
      <c r="C378" s="268" t="s">
        <v>2645</v>
      </c>
      <c r="D378" s="269">
        <v>41724</v>
      </c>
      <c r="E378" s="270" t="s">
        <v>239</v>
      </c>
      <c r="F378" s="384">
        <v>377000</v>
      </c>
      <c r="G378" s="270">
        <v>101139097</v>
      </c>
      <c r="H378" s="270"/>
    </row>
    <row r="379" spans="1:8" x14ac:dyDescent="0.25">
      <c r="A379" s="257">
        <v>380</v>
      </c>
      <c r="B379" s="267">
        <v>378</v>
      </c>
      <c r="C379" s="268" t="s">
        <v>429</v>
      </c>
      <c r="D379" s="269">
        <v>41725</v>
      </c>
      <c r="E379" s="270" t="s">
        <v>2376</v>
      </c>
      <c r="F379" s="384">
        <v>208000</v>
      </c>
      <c r="G379" s="270">
        <v>100386830</v>
      </c>
      <c r="H379" s="270"/>
    </row>
    <row r="380" spans="1:8" x14ac:dyDescent="0.25">
      <c r="A380" s="257">
        <v>381</v>
      </c>
      <c r="B380" s="267">
        <v>379</v>
      </c>
      <c r="C380" s="268" t="s">
        <v>396</v>
      </c>
      <c r="D380" s="269">
        <v>41725</v>
      </c>
      <c r="E380" s="270" t="s">
        <v>2356</v>
      </c>
      <c r="F380" s="384">
        <v>242000</v>
      </c>
      <c r="G380" s="270">
        <v>191791149</v>
      </c>
      <c r="H380" s="270"/>
    </row>
    <row r="381" spans="1:8" x14ac:dyDescent="0.25">
      <c r="A381" s="257">
        <v>382</v>
      </c>
      <c r="B381" s="267">
        <v>380</v>
      </c>
      <c r="C381" s="268" t="s">
        <v>408</v>
      </c>
      <c r="D381" s="269">
        <v>41725</v>
      </c>
      <c r="E381" s="270" t="s">
        <v>2704</v>
      </c>
      <c r="F381" s="384">
        <v>135000</v>
      </c>
      <c r="G381" s="270">
        <v>0</v>
      </c>
      <c r="H381" s="270"/>
    </row>
    <row r="382" spans="1:8" x14ac:dyDescent="0.25">
      <c r="A382" s="257">
        <v>383</v>
      </c>
      <c r="B382" s="267">
        <v>381</v>
      </c>
      <c r="C382" s="268" t="s">
        <v>429</v>
      </c>
      <c r="D382" s="269">
        <v>41725</v>
      </c>
      <c r="E382" s="270" t="s">
        <v>816</v>
      </c>
      <c r="F382" s="384">
        <v>242000</v>
      </c>
      <c r="G382" s="270">
        <v>101225557</v>
      </c>
      <c r="H382" s="270"/>
    </row>
    <row r="383" spans="1:8" x14ac:dyDescent="0.25">
      <c r="A383" s="257">
        <v>384</v>
      </c>
      <c r="B383" s="267">
        <v>382</v>
      </c>
      <c r="C383" s="268" t="s">
        <v>422</v>
      </c>
      <c r="D383" s="269">
        <v>41725</v>
      </c>
      <c r="E383" s="270" t="s">
        <v>3592</v>
      </c>
      <c r="F383" s="384">
        <v>242000</v>
      </c>
      <c r="G383" s="270">
        <v>191638757</v>
      </c>
      <c r="H383" s="270"/>
    </row>
    <row r="384" spans="1:8" x14ac:dyDescent="0.25">
      <c r="A384" s="257">
        <v>385</v>
      </c>
      <c r="B384" s="267">
        <v>383</v>
      </c>
      <c r="C384" s="268" t="s">
        <v>3658</v>
      </c>
      <c r="D384" s="269">
        <v>41725</v>
      </c>
      <c r="E384" s="270" t="s">
        <v>3552</v>
      </c>
      <c r="F384" s="384">
        <v>242000</v>
      </c>
      <c r="G384" s="270">
        <v>191569368</v>
      </c>
      <c r="H384" s="270"/>
    </row>
    <row r="385" spans="1:8" x14ac:dyDescent="0.25">
      <c r="A385" s="257">
        <v>386</v>
      </c>
      <c r="B385" s="267">
        <v>384</v>
      </c>
      <c r="C385" s="268" t="s">
        <v>3286</v>
      </c>
      <c r="D385" s="269">
        <v>41725</v>
      </c>
      <c r="E385" s="270" t="s">
        <v>2732</v>
      </c>
      <c r="F385" s="384">
        <v>135000</v>
      </c>
      <c r="G385" s="270">
        <v>600364254</v>
      </c>
      <c r="H385" s="270"/>
    </row>
    <row r="386" spans="1:8" x14ac:dyDescent="0.25">
      <c r="A386" s="257">
        <v>387</v>
      </c>
      <c r="B386" s="267">
        <v>385</v>
      </c>
      <c r="C386" s="268" t="s">
        <v>833</v>
      </c>
      <c r="D386" s="269">
        <v>41725</v>
      </c>
      <c r="E386" s="270" t="s">
        <v>703</v>
      </c>
      <c r="F386" s="384">
        <v>242000</v>
      </c>
      <c r="G386" s="270">
        <v>690616622</v>
      </c>
      <c r="H386" s="270"/>
    </row>
    <row r="387" spans="1:8" x14ac:dyDescent="0.25">
      <c r="A387" s="257">
        <v>388</v>
      </c>
      <c r="B387" s="267">
        <v>386</v>
      </c>
      <c r="C387" s="268" t="s">
        <v>717</v>
      </c>
      <c r="D387" s="269">
        <v>41725</v>
      </c>
      <c r="E387" s="270" t="s">
        <v>707</v>
      </c>
      <c r="F387" s="384">
        <v>140000</v>
      </c>
      <c r="G387" s="270">
        <v>191084413</v>
      </c>
      <c r="H387" s="270"/>
    </row>
    <row r="388" spans="1:8" x14ac:dyDescent="0.25">
      <c r="A388" s="257">
        <v>389</v>
      </c>
      <c r="B388" s="267">
        <v>387</v>
      </c>
      <c r="C388" s="268" t="s">
        <v>1802</v>
      </c>
      <c r="D388" s="269">
        <v>41725</v>
      </c>
      <c r="E388" s="270" t="s">
        <v>158</v>
      </c>
      <c r="F388" s="384">
        <v>377000</v>
      </c>
      <c r="G388" s="270">
        <v>191357390</v>
      </c>
      <c r="H388" s="270"/>
    </row>
    <row r="389" spans="1:8" x14ac:dyDescent="0.25">
      <c r="A389" s="257">
        <v>390</v>
      </c>
      <c r="B389" s="267">
        <v>388</v>
      </c>
      <c r="C389" s="268" t="s">
        <v>2645</v>
      </c>
      <c r="D389" s="269">
        <v>41725</v>
      </c>
      <c r="E389" s="270" t="s">
        <v>239</v>
      </c>
      <c r="F389" s="384">
        <v>82000</v>
      </c>
      <c r="G389" s="270">
        <v>101139097</v>
      </c>
      <c r="H389" s="270"/>
    </row>
    <row r="390" spans="1:8" x14ac:dyDescent="0.25">
      <c r="A390" s="257">
        <v>391</v>
      </c>
      <c r="B390" s="267">
        <v>389</v>
      </c>
      <c r="C390" s="268" t="s">
        <v>2730</v>
      </c>
      <c r="D390" s="269">
        <v>41725</v>
      </c>
      <c r="E390" s="270" t="s">
        <v>2371</v>
      </c>
      <c r="F390" s="384">
        <v>140000</v>
      </c>
      <c r="G390" s="270">
        <v>192007430</v>
      </c>
      <c r="H390" s="270"/>
    </row>
    <row r="391" spans="1:8" x14ac:dyDescent="0.25">
      <c r="A391" s="257">
        <v>392</v>
      </c>
      <c r="B391" s="267">
        <v>390</v>
      </c>
      <c r="C391" s="268" t="s">
        <v>3256</v>
      </c>
      <c r="D391" s="269">
        <v>41725</v>
      </c>
      <c r="E391" s="270" t="s">
        <v>1682</v>
      </c>
      <c r="F391" s="384">
        <v>377000</v>
      </c>
      <c r="G391" s="270">
        <v>590336664</v>
      </c>
      <c r="H391" s="270"/>
    </row>
    <row r="392" spans="1:8" x14ac:dyDescent="0.25">
      <c r="A392" s="257">
        <v>393</v>
      </c>
      <c r="B392" s="267">
        <v>391</v>
      </c>
      <c r="C392" s="268" t="s">
        <v>2683</v>
      </c>
      <c r="D392" s="269">
        <v>41726</v>
      </c>
      <c r="E392" s="270" t="s">
        <v>1544</v>
      </c>
      <c r="F392" s="384">
        <v>208000</v>
      </c>
      <c r="G392" s="270">
        <v>800001184</v>
      </c>
      <c r="H392" s="270"/>
    </row>
    <row r="393" spans="1:8" x14ac:dyDescent="0.25">
      <c r="A393" s="257">
        <v>394</v>
      </c>
      <c r="B393" s="267">
        <v>392</v>
      </c>
      <c r="C393" s="268" t="s">
        <v>3554</v>
      </c>
      <c r="D393" s="269">
        <v>41726</v>
      </c>
      <c r="E393" s="270" t="s">
        <v>3291</v>
      </c>
      <c r="F393" s="384">
        <v>290000</v>
      </c>
      <c r="G393" s="270">
        <v>100054851</v>
      </c>
      <c r="H393" s="270"/>
    </row>
    <row r="394" spans="1:8" x14ac:dyDescent="0.25">
      <c r="A394" s="257">
        <v>395</v>
      </c>
      <c r="B394" s="267">
        <v>393</v>
      </c>
      <c r="C394" s="268" t="s">
        <v>1658</v>
      </c>
      <c r="D394" s="269">
        <v>41726</v>
      </c>
      <c r="E394" s="270" t="s">
        <v>825</v>
      </c>
      <c r="F394" s="384">
        <v>135000</v>
      </c>
      <c r="G394" s="270">
        <v>100951254</v>
      </c>
      <c r="H394" s="270"/>
    </row>
    <row r="395" spans="1:8" x14ac:dyDescent="0.25">
      <c r="A395" s="257">
        <v>396</v>
      </c>
      <c r="B395" s="267">
        <v>394</v>
      </c>
      <c r="C395" s="268" t="s">
        <v>846</v>
      </c>
      <c r="D395" s="269">
        <v>41726</v>
      </c>
      <c r="E395" s="270" t="s">
        <v>500</v>
      </c>
      <c r="F395" s="384">
        <v>377000</v>
      </c>
      <c r="G395" s="270">
        <v>690631984</v>
      </c>
      <c r="H395" s="270"/>
    </row>
    <row r="396" spans="1:8" x14ac:dyDescent="0.25">
      <c r="A396" s="257">
        <v>397</v>
      </c>
      <c r="B396" s="267">
        <v>395</v>
      </c>
      <c r="C396" s="268" t="s">
        <v>2706</v>
      </c>
      <c r="D396" s="269">
        <v>41726</v>
      </c>
      <c r="E396" s="270" t="s">
        <v>244</v>
      </c>
      <c r="F396" s="384">
        <v>32000</v>
      </c>
      <c r="G396" s="270">
        <v>100422365</v>
      </c>
      <c r="H396" s="270"/>
    </row>
    <row r="397" spans="1:8" x14ac:dyDescent="0.25">
      <c r="A397" s="257">
        <v>398</v>
      </c>
      <c r="B397" s="267">
        <v>396</v>
      </c>
      <c r="C397" s="268" t="s">
        <v>71</v>
      </c>
      <c r="D397" s="269">
        <v>41726</v>
      </c>
      <c r="E397" s="270" t="s">
        <v>139</v>
      </c>
      <c r="F397" s="384">
        <v>140000</v>
      </c>
      <c r="G397" s="270">
        <v>690571031</v>
      </c>
      <c r="H397" s="270"/>
    </row>
    <row r="398" spans="1:8" x14ac:dyDescent="0.25">
      <c r="A398" s="257">
        <v>399</v>
      </c>
      <c r="B398" s="267">
        <v>397</v>
      </c>
      <c r="C398" s="268" t="s">
        <v>2416</v>
      </c>
      <c r="D398" s="269">
        <v>41727</v>
      </c>
      <c r="E398" s="270" t="s">
        <v>521</v>
      </c>
      <c r="F398" s="384">
        <v>262000</v>
      </c>
      <c r="G398" s="270">
        <v>800012777</v>
      </c>
      <c r="H398" s="270"/>
    </row>
    <row r="399" spans="1:8" x14ac:dyDescent="0.25">
      <c r="A399" s="257">
        <v>400</v>
      </c>
      <c r="B399" s="267">
        <v>398</v>
      </c>
      <c r="C399" s="268" t="s">
        <v>1826</v>
      </c>
      <c r="D399" s="269">
        <v>41729</v>
      </c>
      <c r="E399" s="270" t="s">
        <v>2424</v>
      </c>
      <c r="F399" s="384">
        <v>2020000</v>
      </c>
      <c r="G399" s="270">
        <v>101326441</v>
      </c>
      <c r="H399" s="270"/>
    </row>
    <row r="400" spans="1:8" x14ac:dyDescent="0.25">
      <c r="A400" s="257">
        <v>401</v>
      </c>
      <c r="B400" s="267">
        <v>399</v>
      </c>
      <c r="C400" s="268" t="s">
        <v>2405</v>
      </c>
      <c r="D400" s="269">
        <v>41729</v>
      </c>
      <c r="E400" s="270" t="s">
        <v>1944</v>
      </c>
      <c r="F400" s="384">
        <v>140000</v>
      </c>
      <c r="G400" s="270">
        <v>100345799</v>
      </c>
      <c r="H400" s="270"/>
    </row>
    <row r="401" spans="1:8" x14ac:dyDescent="0.25">
      <c r="A401" s="257">
        <v>402</v>
      </c>
      <c r="B401" s="267">
        <v>400</v>
      </c>
      <c r="C401" s="268" t="s">
        <v>3649</v>
      </c>
      <c r="D401" s="269">
        <v>41729</v>
      </c>
      <c r="E401" s="270" t="s">
        <v>988</v>
      </c>
      <c r="F401" s="384">
        <v>377000</v>
      </c>
      <c r="G401" s="270">
        <v>191571052</v>
      </c>
      <c r="H401" s="270"/>
    </row>
    <row r="402" spans="1:8" x14ac:dyDescent="0.25">
      <c r="A402" s="257">
        <v>403</v>
      </c>
      <c r="B402" s="267">
        <v>401</v>
      </c>
      <c r="C402" s="268" t="s">
        <v>3618</v>
      </c>
      <c r="D402" s="269">
        <v>41729</v>
      </c>
      <c r="E402" s="270" t="s">
        <v>163</v>
      </c>
      <c r="F402" s="384">
        <v>55000</v>
      </c>
      <c r="G402" s="270">
        <v>100843354</v>
      </c>
      <c r="H402" s="270"/>
    </row>
    <row r="403" spans="1:8" x14ac:dyDescent="0.25">
      <c r="A403" s="257">
        <v>404</v>
      </c>
      <c r="B403" s="267">
        <v>402</v>
      </c>
      <c r="C403" s="268" t="s">
        <v>334</v>
      </c>
      <c r="D403" s="269">
        <v>41729</v>
      </c>
      <c r="E403" s="270" t="s">
        <v>1694</v>
      </c>
      <c r="F403" s="384">
        <v>140000</v>
      </c>
      <c r="G403" s="270">
        <v>101392173</v>
      </c>
      <c r="H403" s="270"/>
    </row>
    <row r="404" spans="1:8" x14ac:dyDescent="0.25">
      <c r="A404" s="257">
        <v>405</v>
      </c>
      <c r="B404" s="267">
        <v>403</v>
      </c>
      <c r="C404" s="268" t="s">
        <v>1110</v>
      </c>
      <c r="D404" s="269">
        <v>41729</v>
      </c>
      <c r="E404" s="270" t="s">
        <v>1129</v>
      </c>
      <c r="F404" s="384">
        <v>242000</v>
      </c>
      <c r="G404" s="270">
        <v>60925205</v>
      </c>
      <c r="H404" s="270"/>
    </row>
    <row r="405" spans="1:8" x14ac:dyDescent="0.25">
      <c r="A405" s="257">
        <v>406</v>
      </c>
      <c r="B405" s="267">
        <v>404</v>
      </c>
      <c r="C405" s="268" t="s">
        <v>343</v>
      </c>
      <c r="D405" s="269">
        <v>41730</v>
      </c>
      <c r="E405" s="270" t="s">
        <v>2642</v>
      </c>
      <c r="F405" s="384">
        <v>798000</v>
      </c>
      <c r="G405" s="270">
        <v>390498949</v>
      </c>
      <c r="H405" s="270"/>
    </row>
    <row r="406" spans="1:8" x14ac:dyDescent="0.25">
      <c r="A406" s="257">
        <v>407</v>
      </c>
      <c r="B406" s="267">
        <v>405</v>
      </c>
      <c r="C406" s="268" t="s">
        <v>196</v>
      </c>
      <c r="D406" s="269">
        <v>41730</v>
      </c>
      <c r="E406" s="270" t="s">
        <v>3110</v>
      </c>
      <c r="F406" s="384">
        <v>208000</v>
      </c>
      <c r="G406" s="270">
        <v>101538513</v>
      </c>
      <c r="H406" s="270"/>
    </row>
    <row r="407" spans="1:8" x14ac:dyDescent="0.25">
      <c r="A407" s="257">
        <v>408</v>
      </c>
      <c r="B407" s="267">
        <v>406</v>
      </c>
      <c r="C407" s="268" t="s">
        <v>1021</v>
      </c>
      <c r="D407" s="269">
        <v>41730</v>
      </c>
      <c r="E407" s="270" t="s">
        <v>320</v>
      </c>
      <c r="F407" s="384">
        <v>242000</v>
      </c>
      <c r="G407" s="270">
        <v>690831296</v>
      </c>
      <c r="H407" s="270"/>
    </row>
    <row r="408" spans="1:8" x14ac:dyDescent="0.25">
      <c r="A408" s="257">
        <v>409</v>
      </c>
      <c r="B408" s="267">
        <v>407</v>
      </c>
      <c r="C408" s="268" t="s">
        <v>1817</v>
      </c>
      <c r="D408" s="269">
        <v>41730</v>
      </c>
      <c r="E408" s="270" t="s">
        <v>3323</v>
      </c>
      <c r="F408" s="384">
        <v>242000</v>
      </c>
      <c r="G408" s="270">
        <v>191414147</v>
      </c>
      <c r="H408" s="270"/>
    </row>
    <row r="409" spans="1:8" x14ac:dyDescent="0.25">
      <c r="A409" s="257">
        <v>410</v>
      </c>
      <c r="B409" s="267">
        <v>408</v>
      </c>
      <c r="C409" s="268" t="s">
        <v>1658</v>
      </c>
      <c r="D409" s="269">
        <v>41730</v>
      </c>
      <c r="E409" s="270" t="s">
        <v>825</v>
      </c>
      <c r="F409" s="384">
        <v>377000</v>
      </c>
      <c r="G409" s="270">
        <v>100951254</v>
      </c>
      <c r="H409" s="270"/>
    </row>
    <row r="410" spans="1:8" x14ac:dyDescent="0.25">
      <c r="A410" s="257">
        <v>411</v>
      </c>
      <c r="B410" s="267">
        <v>409</v>
      </c>
      <c r="C410" s="268" t="s">
        <v>2095</v>
      </c>
      <c r="D410" s="269">
        <v>41730</v>
      </c>
      <c r="E410" s="270" t="s">
        <v>2859</v>
      </c>
      <c r="F410" s="384">
        <v>726000</v>
      </c>
      <c r="G410" s="270">
        <v>100261801</v>
      </c>
      <c r="H410" s="270"/>
    </row>
    <row r="411" spans="1:8" x14ac:dyDescent="0.25">
      <c r="A411" s="257">
        <v>412</v>
      </c>
      <c r="B411" s="267">
        <v>410</v>
      </c>
      <c r="C411" s="268" t="s">
        <v>1928</v>
      </c>
      <c r="D411" s="269">
        <v>41730</v>
      </c>
      <c r="E411" s="270" t="s">
        <v>2801</v>
      </c>
      <c r="F411" s="384">
        <v>377000</v>
      </c>
      <c r="G411" s="270">
        <v>190334745</v>
      </c>
      <c r="H411" s="270"/>
    </row>
    <row r="412" spans="1:8" x14ac:dyDescent="0.25">
      <c r="A412" s="257">
        <v>413</v>
      </c>
      <c r="B412" s="267">
        <v>411</v>
      </c>
      <c r="C412" s="268" t="s">
        <v>423</v>
      </c>
      <c r="D412" s="269">
        <v>41730</v>
      </c>
      <c r="E412" s="270" t="s">
        <v>4216</v>
      </c>
      <c r="F412" s="384">
        <v>174000</v>
      </c>
      <c r="G412" s="270">
        <v>690265608</v>
      </c>
      <c r="H412" s="270"/>
    </row>
    <row r="413" spans="1:8" x14ac:dyDescent="0.25">
      <c r="A413" s="257">
        <v>414</v>
      </c>
      <c r="B413" s="267">
        <v>412</v>
      </c>
      <c r="C413" s="268" t="s">
        <v>390</v>
      </c>
      <c r="D413" s="269">
        <v>41730</v>
      </c>
      <c r="E413" s="270" t="s">
        <v>3518</v>
      </c>
      <c r="F413" s="384">
        <v>416000</v>
      </c>
      <c r="G413" s="270">
        <v>100092100</v>
      </c>
      <c r="H413" s="270"/>
    </row>
    <row r="414" spans="1:8" x14ac:dyDescent="0.25">
      <c r="A414" s="257">
        <v>415</v>
      </c>
      <c r="B414" s="267">
        <v>413</v>
      </c>
      <c r="C414" s="268" t="s">
        <v>2143</v>
      </c>
      <c r="D414" s="269">
        <v>41730</v>
      </c>
      <c r="E414" s="270" t="s">
        <v>1927</v>
      </c>
      <c r="F414" s="384">
        <v>309000</v>
      </c>
      <c r="G414" s="270">
        <v>190032958</v>
      </c>
      <c r="H414" s="270"/>
    </row>
    <row r="415" spans="1:8" x14ac:dyDescent="0.25">
      <c r="A415" s="257">
        <v>416</v>
      </c>
      <c r="B415" s="267">
        <v>414</v>
      </c>
      <c r="C415" s="268" t="s">
        <v>2432</v>
      </c>
      <c r="D415" s="269">
        <v>41730</v>
      </c>
      <c r="E415" s="270" t="s">
        <v>1827</v>
      </c>
      <c r="F415" s="384">
        <v>32000</v>
      </c>
      <c r="G415" s="270">
        <v>691069640</v>
      </c>
      <c r="H415" s="270"/>
    </row>
    <row r="416" spans="1:8" x14ac:dyDescent="0.25">
      <c r="A416" s="257">
        <v>417</v>
      </c>
      <c r="B416" s="267">
        <v>415</v>
      </c>
      <c r="C416" s="268" t="s">
        <v>3619</v>
      </c>
      <c r="D416" s="269">
        <v>41730</v>
      </c>
      <c r="E416" s="270" t="s">
        <v>2100</v>
      </c>
      <c r="F416" s="384">
        <v>377000</v>
      </c>
      <c r="G416" s="270">
        <v>191987317</v>
      </c>
      <c r="H416" s="270"/>
    </row>
    <row r="417" spans="1:8" x14ac:dyDescent="0.25">
      <c r="A417" s="257">
        <v>418</v>
      </c>
      <c r="B417" s="267">
        <v>416</v>
      </c>
      <c r="C417" s="268" t="s">
        <v>2036</v>
      </c>
      <c r="D417" s="269">
        <v>41731</v>
      </c>
      <c r="E417" s="270" t="s">
        <v>3594</v>
      </c>
      <c r="F417" s="384">
        <v>377000</v>
      </c>
      <c r="G417" s="270">
        <v>190882802</v>
      </c>
      <c r="H417" s="270"/>
    </row>
    <row r="418" spans="1:8" x14ac:dyDescent="0.25">
      <c r="A418" s="257">
        <v>419</v>
      </c>
      <c r="B418" s="267">
        <v>417</v>
      </c>
      <c r="C418" s="268" t="s">
        <v>1021</v>
      </c>
      <c r="D418" s="269">
        <v>41731</v>
      </c>
      <c r="E418" s="270" t="s">
        <v>320</v>
      </c>
      <c r="F418" s="384">
        <v>377000</v>
      </c>
      <c r="G418" s="270">
        <v>690831296</v>
      </c>
      <c r="H418" s="270"/>
    </row>
    <row r="419" spans="1:8" x14ac:dyDescent="0.25">
      <c r="A419" s="257">
        <v>420</v>
      </c>
      <c r="B419" s="267">
        <v>418</v>
      </c>
      <c r="C419" s="268" t="s">
        <v>1704</v>
      </c>
      <c r="D419" s="269">
        <v>41731</v>
      </c>
      <c r="E419" s="270" t="s">
        <v>2696</v>
      </c>
      <c r="F419" s="384">
        <v>208000</v>
      </c>
      <c r="G419" s="270">
        <v>691504183</v>
      </c>
      <c r="H419" s="270"/>
    </row>
    <row r="420" spans="1:8" x14ac:dyDescent="0.25">
      <c r="A420" s="257">
        <v>421</v>
      </c>
      <c r="B420" s="267">
        <v>419</v>
      </c>
      <c r="C420" s="268" t="s">
        <v>1704</v>
      </c>
      <c r="D420" s="269">
        <v>41731</v>
      </c>
      <c r="E420" s="270" t="s">
        <v>2696</v>
      </c>
      <c r="F420" s="384">
        <v>208000</v>
      </c>
      <c r="G420" s="270">
        <v>691504183</v>
      </c>
      <c r="H420" s="270"/>
    </row>
    <row r="421" spans="1:8" x14ac:dyDescent="0.25">
      <c r="A421" s="257">
        <v>422</v>
      </c>
      <c r="B421" s="267">
        <v>420</v>
      </c>
      <c r="C421" s="268" t="s">
        <v>1658</v>
      </c>
      <c r="D421" s="269">
        <v>41731</v>
      </c>
      <c r="E421" s="270" t="s">
        <v>825</v>
      </c>
      <c r="F421" s="384">
        <v>377000</v>
      </c>
      <c r="G421" s="270">
        <v>100951254</v>
      </c>
      <c r="H421" s="270"/>
    </row>
    <row r="422" spans="1:8" x14ac:dyDescent="0.25">
      <c r="A422" s="257">
        <v>423</v>
      </c>
      <c r="B422" s="267">
        <v>421</v>
      </c>
      <c r="C422" s="268" t="s">
        <v>375</v>
      </c>
      <c r="D422" s="269">
        <v>41731</v>
      </c>
      <c r="E422" s="270" t="s">
        <v>263</v>
      </c>
      <c r="F422" s="384">
        <v>208000</v>
      </c>
      <c r="G422" s="270">
        <v>600182119</v>
      </c>
      <c r="H422" s="270"/>
    </row>
    <row r="423" spans="1:8" x14ac:dyDescent="0.25">
      <c r="A423" s="257">
        <v>424</v>
      </c>
      <c r="B423" s="267">
        <v>422</v>
      </c>
      <c r="C423" s="268" t="s">
        <v>375</v>
      </c>
      <c r="D423" s="269">
        <v>41731</v>
      </c>
      <c r="E423" s="270" t="s">
        <v>263</v>
      </c>
      <c r="F423" s="384">
        <v>416000</v>
      </c>
      <c r="G423" s="270">
        <v>600182119</v>
      </c>
      <c r="H423" s="270"/>
    </row>
    <row r="424" spans="1:8" x14ac:dyDescent="0.25">
      <c r="A424" s="257">
        <v>425</v>
      </c>
      <c r="B424" s="267">
        <v>423</v>
      </c>
      <c r="C424" s="268" t="s">
        <v>190</v>
      </c>
      <c r="D424" s="269">
        <v>41731</v>
      </c>
      <c r="E424" s="270" t="s">
        <v>188</v>
      </c>
      <c r="F424" s="384">
        <v>242000</v>
      </c>
      <c r="G424" s="270">
        <v>190270596</v>
      </c>
      <c r="H424" s="270"/>
    </row>
    <row r="425" spans="1:8" x14ac:dyDescent="0.25">
      <c r="A425" s="257">
        <v>426</v>
      </c>
      <c r="B425" s="267">
        <v>424</v>
      </c>
      <c r="C425" s="268" t="s">
        <v>57</v>
      </c>
      <c r="D425" s="269">
        <v>41731</v>
      </c>
      <c r="E425" s="270" t="s">
        <v>3744</v>
      </c>
      <c r="F425" s="384">
        <v>174000</v>
      </c>
      <c r="G425" s="270">
        <v>100512805</v>
      </c>
      <c r="H425" s="270"/>
    </row>
    <row r="426" spans="1:8" x14ac:dyDescent="0.25">
      <c r="A426" s="257">
        <v>427</v>
      </c>
      <c r="B426" s="267">
        <v>425</v>
      </c>
      <c r="C426" s="268" t="s">
        <v>850</v>
      </c>
      <c r="D426" s="269">
        <v>41731</v>
      </c>
      <c r="E426" s="270" t="s">
        <v>3260</v>
      </c>
      <c r="F426" s="384">
        <v>242000</v>
      </c>
      <c r="G426" s="270">
        <v>690606064</v>
      </c>
      <c r="H426" s="270"/>
    </row>
    <row r="427" spans="1:8" x14ac:dyDescent="0.25">
      <c r="A427" s="257">
        <v>428</v>
      </c>
      <c r="B427" s="267">
        <v>426</v>
      </c>
      <c r="C427" s="268" t="s">
        <v>456</v>
      </c>
      <c r="D427" s="269">
        <v>41732</v>
      </c>
      <c r="E427" s="270" t="s">
        <v>2596</v>
      </c>
      <c r="F427" s="384">
        <v>140000</v>
      </c>
      <c r="G427" s="270">
        <v>101501567</v>
      </c>
      <c r="H427" s="270"/>
    </row>
    <row r="428" spans="1:8" x14ac:dyDescent="0.25">
      <c r="A428" s="257">
        <v>429</v>
      </c>
      <c r="B428" s="267">
        <v>427</v>
      </c>
      <c r="C428" s="268" t="s">
        <v>1857</v>
      </c>
      <c r="D428" s="269">
        <v>41732</v>
      </c>
      <c r="E428" s="270" t="s">
        <v>1130</v>
      </c>
      <c r="F428" s="384">
        <v>174000</v>
      </c>
      <c r="G428" s="270">
        <v>690828194</v>
      </c>
      <c r="H428" s="270"/>
    </row>
    <row r="429" spans="1:8" x14ac:dyDescent="0.25">
      <c r="A429" s="257">
        <v>430</v>
      </c>
      <c r="B429" s="267">
        <v>428</v>
      </c>
      <c r="C429" s="268" t="s">
        <v>1663</v>
      </c>
      <c r="D429" s="269">
        <v>41732</v>
      </c>
      <c r="E429" s="270" t="s">
        <v>3771</v>
      </c>
      <c r="F429" s="384">
        <v>208000</v>
      </c>
      <c r="G429" s="270">
        <v>690651510</v>
      </c>
      <c r="H429" s="270"/>
    </row>
    <row r="430" spans="1:8" x14ac:dyDescent="0.25">
      <c r="A430" s="257">
        <v>431</v>
      </c>
      <c r="B430" s="267">
        <v>429</v>
      </c>
      <c r="C430" s="268" t="s">
        <v>1057</v>
      </c>
      <c r="D430" s="269">
        <v>41732</v>
      </c>
      <c r="E430" s="270" t="s">
        <v>3092</v>
      </c>
      <c r="F430" s="384">
        <v>208000</v>
      </c>
      <c r="G430" s="270">
        <v>100779791</v>
      </c>
      <c r="H430" s="270"/>
    </row>
    <row r="431" spans="1:8" x14ac:dyDescent="0.25">
      <c r="A431" s="257">
        <v>432</v>
      </c>
      <c r="B431" s="267">
        <v>430</v>
      </c>
      <c r="C431" s="268" t="s">
        <v>850</v>
      </c>
      <c r="D431" s="269">
        <v>41732</v>
      </c>
      <c r="E431" s="270" t="s">
        <v>3260</v>
      </c>
      <c r="F431" s="384">
        <v>27000</v>
      </c>
      <c r="G431" s="270">
        <v>690606064</v>
      </c>
      <c r="H431" s="270"/>
    </row>
    <row r="432" spans="1:8" x14ac:dyDescent="0.25">
      <c r="A432" s="257">
        <v>433</v>
      </c>
      <c r="B432" s="267">
        <v>431</v>
      </c>
      <c r="C432" s="268" t="s">
        <v>1815</v>
      </c>
      <c r="D432" s="269">
        <v>41732</v>
      </c>
      <c r="E432" s="270" t="s">
        <v>883</v>
      </c>
      <c r="F432" s="384">
        <v>262000</v>
      </c>
      <c r="G432" s="270">
        <v>691424232</v>
      </c>
      <c r="H432" s="270"/>
    </row>
    <row r="433" spans="1:8" x14ac:dyDescent="0.25">
      <c r="A433" s="257">
        <v>434</v>
      </c>
      <c r="B433" s="267">
        <v>432</v>
      </c>
      <c r="C433" s="268" t="s">
        <v>2963</v>
      </c>
      <c r="D433" s="269">
        <v>41732</v>
      </c>
      <c r="E433" s="270" t="s">
        <v>2666</v>
      </c>
      <c r="F433" s="384">
        <v>242000</v>
      </c>
      <c r="G433" s="270">
        <v>691314513</v>
      </c>
      <c r="H433" s="270"/>
    </row>
    <row r="434" spans="1:8" x14ac:dyDescent="0.25">
      <c r="A434" s="257">
        <v>435</v>
      </c>
      <c r="B434" s="267">
        <v>433</v>
      </c>
      <c r="C434" s="268" t="s">
        <v>2143</v>
      </c>
      <c r="D434" s="269">
        <v>41732</v>
      </c>
      <c r="E434" s="270" t="s">
        <v>1927</v>
      </c>
      <c r="F434" s="384">
        <v>242000</v>
      </c>
      <c r="G434" s="270">
        <v>190032958</v>
      </c>
      <c r="H434" s="270"/>
    </row>
    <row r="435" spans="1:8" x14ac:dyDescent="0.25">
      <c r="A435" s="257">
        <v>436</v>
      </c>
      <c r="B435" s="267">
        <v>434</v>
      </c>
      <c r="C435" s="268" t="s">
        <v>389</v>
      </c>
      <c r="D435" s="269">
        <v>41732</v>
      </c>
      <c r="E435" s="270" t="s">
        <v>1126</v>
      </c>
      <c r="F435" s="384">
        <v>242000</v>
      </c>
      <c r="G435" s="270">
        <v>101325710</v>
      </c>
      <c r="H435" s="270"/>
    </row>
    <row r="436" spans="1:8" x14ac:dyDescent="0.25">
      <c r="A436" s="257">
        <v>437</v>
      </c>
      <c r="B436" s="267">
        <v>435</v>
      </c>
      <c r="C436" s="268" t="s">
        <v>1704</v>
      </c>
      <c r="D436" s="269">
        <v>41732</v>
      </c>
      <c r="E436" s="270" t="s">
        <v>2696</v>
      </c>
      <c r="F436" s="384">
        <v>32000</v>
      </c>
      <c r="G436" s="270">
        <v>691504183</v>
      </c>
      <c r="H436" s="270"/>
    </row>
    <row r="437" spans="1:8" x14ac:dyDescent="0.25">
      <c r="A437" s="257">
        <v>438</v>
      </c>
      <c r="B437" s="267">
        <v>436</v>
      </c>
      <c r="C437" s="268" t="s">
        <v>3133</v>
      </c>
      <c r="D437" s="269">
        <v>41732</v>
      </c>
      <c r="E437" s="270" t="s">
        <v>3587</v>
      </c>
      <c r="F437" s="384">
        <v>382000</v>
      </c>
      <c r="G437" s="270">
        <v>101254783</v>
      </c>
      <c r="H437" s="270"/>
    </row>
    <row r="438" spans="1:8" x14ac:dyDescent="0.25">
      <c r="A438" s="257">
        <v>439</v>
      </c>
      <c r="B438" s="267">
        <v>437</v>
      </c>
      <c r="C438" s="268" t="s">
        <v>3326</v>
      </c>
      <c r="D438" s="269">
        <v>41732</v>
      </c>
      <c r="E438" s="270" t="s">
        <v>164</v>
      </c>
      <c r="F438" s="384">
        <v>3095000</v>
      </c>
      <c r="G438" s="270">
        <v>100534485</v>
      </c>
      <c r="H438" s="270"/>
    </row>
    <row r="439" spans="1:8" x14ac:dyDescent="0.25">
      <c r="A439" s="257">
        <v>440</v>
      </c>
      <c r="B439" s="267">
        <v>438</v>
      </c>
      <c r="C439" s="268" t="s">
        <v>408</v>
      </c>
      <c r="D439" s="269">
        <v>41733</v>
      </c>
      <c r="E439" s="270" t="s">
        <v>2704</v>
      </c>
      <c r="F439" s="384">
        <v>114000</v>
      </c>
      <c r="G439" s="270">
        <v>0</v>
      </c>
      <c r="H439" s="270"/>
    </row>
    <row r="440" spans="1:8" x14ac:dyDescent="0.25">
      <c r="A440" s="257">
        <v>441</v>
      </c>
      <c r="B440" s="267">
        <v>439</v>
      </c>
      <c r="C440" s="268" t="s">
        <v>1857</v>
      </c>
      <c r="D440" s="269">
        <v>41733</v>
      </c>
      <c r="E440" s="270" t="s">
        <v>1130</v>
      </c>
      <c r="F440" s="384">
        <v>27000</v>
      </c>
      <c r="G440" s="270">
        <v>690828194</v>
      </c>
      <c r="H440" s="270"/>
    </row>
    <row r="441" spans="1:8" x14ac:dyDescent="0.25">
      <c r="A441" s="257">
        <v>442</v>
      </c>
      <c r="B441" s="267">
        <v>440</v>
      </c>
      <c r="C441" s="268" t="s">
        <v>3642</v>
      </c>
      <c r="D441" s="269">
        <v>41733</v>
      </c>
      <c r="E441" s="270" t="s">
        <v>1127</v>
      </c>
      <c r="F441" s="384">
        <v>140000</v>
      </c>
      <c r="G441" s="270">
        <v>690719790</v>
      </c>
      <c r="H441" s="270"/>
    </row>
    <row r="442" spans="1:8" x14ac:dyDescent="0.25">
      <c r="A442" s="257">
        <v>443</v>
      </c>
      <c r="B442" s="267">
        <v>441</v>
      </c>
      <c r="C442" s="268" t="s">
        <v>1918</v>
      </c>
      <c r="D442" s="269">
        <v>41733</v>
      </c>
      <c r="E442" s="270" t="s">
        <v>1607</v>
      </c>
      <c r="F442" s="384">
        <v>377000</v>
      </c>
      <c r="G442" s="270">
        <v>690643672</v>
      </c>
      <c r="H442" s="270"/>
    </row>
    <row r="443" spans="1:8" x14ac:dyDescent="0.25">
      <c r="A443" s="257">
        <v>444</v>
      </c>
      <c r="B443" s="267">
        <v>442</v>
      </c>
      <c r="C443" s="268" t="s">
        <v>129</v>
      </c>
      <c r="D443" s="269">
        <v>41733</v>
      </c>
      <c r="E443" s="270" t="s">
        <v>1690</v>
      </c>
      <c r="F443" s="384">
        <v>114000</v>
      </c>
      <c r="G443" s="270">
        <v>191758715</v>
      </c>
      <c r="H443" s="270"/>
    </row>
    <row r="444" spans="1:8" x14ac:dyDescent="0.25">
      <c r="A444" s="257">
        <v>445</v>
      </c>
      <c r="B444" s="267">
        <v>443</v>
      </c>
      <c r="C444" s="268" t="s">
        <v>934</v>
      </c>
      <c r="D444" s="269">
        <v>41733</v>
      </c>
      <c r="E444" s="270" t="s">
        <v>2376</v>
      </c>
      <c r="F444" s="384">
        <v>174000</v>
      </c>
      <c r="G444" s="270">
        <v>100386830</v>
      </c>
      <c r="H444" s="270"/>
    </row>
    <row r="445" spans="1:8" x14ac:dyDescent="0.25">
      <c r="A445" s="257">
        <v>446</v>
      </c>
      <c r="B445" s="267">
        <v>444</v>
      </c>
      <c r="C445" s="268" t="s">
        <v>456</v>
      </c>
      <c r="D445" s="269">
        <v>41733</v>
      </c>
      <c r="E445" s="270" t="s">
        <v>2596</v>
      </c>
      <c r="F445" s="384">
        <v>82000</v>
      </c>
      <c r="G445" s="270">
        <v>101501567</v>
      </c>
      <c r="H445" s="270"/>
    </row>
    <row r="446" spans="1:8" x14ac:dyDescent="0.25">
      <c r="A446" s="257">
        <v>447</v>
      </c>
      <c r="B446" s="267">
        <v>445</v>
      </c>
      <c r="C446" s="268" t="s">
        <v>2645</v>
      </c>
      <c r="D446" s="269">
        <v>41733</v>
      </c>
      <c r="E446" s="270" t="s">
        <v>239</v>
      </c>
      <c r="F446" s="384">
        <v>754000</v>
      </c>
      <c r="G446" s="270">
        <v>101139097</v>
      </c>
      <c r="H446" s="270"/>
    </row>
    <row r="447" spans="1:8" x14ac:dyDescent="0.25">
      <c r="A447" s="257">
        <v>448</v>
      </c>
      <c r="B447" s="267">
        <v>446</v>
      </c>
      <c r="C447" s="268" t="s">
        <v>2645</v>
      </c>
      <c r="D447" s="269">
        <v>41733</v>
      </c>
      <c r="E447" s="270" t="s">
        <v>239</v>
      </c>
      <c r="F447" s="384">
        <v>754000</v>
      </c>
      <c r="G447" s="270">
        <v>101139097</v>
      </c>
      <c r="H447" s="270"/>
    </row>
    <row r="448" spans="1:8" x14ac:dyDescent="0.25">
      <c r="A448" s="257">
        <v>449</v>
      </c>
      <c r="B448" s="267">
        <v>447</v>
      </c>
      <c r="C448" s="268" t="s">
        <v>389</v>
      </c>
      <c r="D448" s="269">
        <v>41736</v>
      </c>
      <c r="E448" s="270" t="s">
        <v>1126</v>
      </c>
      <c r="F448" s="384">
        <v>174000</v>
      </c>
      <c r="G448" s="270">
        <v>101325710</v>
      </c>
      <c r="H448" s="270"/>
    </row>
    <row r="449" spans="1:8" x14ac:dyDescent="0.25">
      <c r="A449" s="257">
        <v>451</v>
      </c>
      <c r="B449" s="267">
        <v>448</v>
      </c>
      <c r="C449" s="268" t="s">
        <v>1057</v>
      </c>
      <c r="D449" s="269">
        <v>41736</v>
      </c>
      <c r="E449" s="270" t="s">
        <v>3092</v>
      </c>
      <c r="F449" s="384">
        <v>55000</v>
      </c>
      <c r="G449" s="270">
        <v>100779791</v>
      </c>
      <c r="H449" s="270"/>
    </row>
    <row r="450" spans="1:8" x14ac:dyDescent="0.25">
      <c r="A450" s="257">
        <v>452</v>
      </c>
      <c r="B450" s="267">
        <v>449</v>
      </c>
      <c r="C450" s="268" t="s">
        <v>828</v>
      </c>
      <c r="D450" s="269">
        <v>41736</v>
      </c>
      <c r="E450" s="270" t="s">
        <v>1001</v>
      </c>
      <c r="F450" s="384">
        <v>242000</v>
      </c>
      <c r="G450" s="270">
        <v>191449450</v>
      </c>
      <c r="H450" s="270"/>
    </row>
    <row r="451" spans="1:8" x14ac:dyDescent="0.25">
      <c r="A451" s="257">
        <v>453</v>
      </c>
      <c r="B451" s="267">
        <v>450</v>
      </c>
      <c r="C451" s="268" t="s">
        <v>2966</v>
      </c>
      <c r="D451" s="269">
        <v>41736</v>
      </c>
      <c r="E451" s="270" t="s">
        <v>2885</v>
      </c>
      <c r="F451" s="384">
        <v>377000</v>
      </c>
      <c r="G451" s="270">
        <v>691132355</v>
      </c>
      <c r="H451" s="270"/>
    </row>
    <row r="452" spans="1:8" x14ac:dyDescent="0.25">
      <c r="A452" s="257">
        <v>454</v>
      </c>
      <c r="B452" s="267">
        <v>451</v>
      </c>
      <c r="C452" s="268" t="s">
        <v>1525</v>
      </c>
      <c r="D452" s="269">
        <v>41736</v>
      </c>
      <c r="E452" s="270" t="s">
        <v>1005</v>
      </c>
      <c r="F452" s="384">
        <v>262000</v>
      </c>
      <c r="G452" s="270">
        <v>101116081</v>
      </c>
      <c r="H452" s="270"/>
    </row>
    <row r="453" spans="1:8" x14ac:dyDescent="0.25">
      <c r="A453" s="257">
        <v>455</v>
      </c>
      <c r="B453" s="267">
        <v>452</v>
      </c>
      <c r="C453" s="268" t="s">
        <v>128</v>
      </c>
      <c r="D453" s="269">
        <v>41736</v>
      </c>
      <c r="E453" s="270" t="s">
        <v>3259</v>
      </c>
      <c r="F453" s="384">
        <v>377000</v>
      </c>
      <c r="G453" s="270">
        <v>190904186</v>
      </c>
      <c r="H453" s="270"/>
    </row>
    <row r="454" spans="1:8" x14ac:dyDescent="0.25">
      <c r="A454" s="257">
        <v>456</v>
      </c>
      <c r="B454" s="267">
        <v>453</v>
      </c>
      <c r="C454" s="268" t="s">
        <v>1845</v>
      </c>
      <c r="D454" s="269">
        <v>41736</v>
      </c>
      <c r="E454" s="270" t="s">
        <v>3638</v>
      </c>
      <c r="F454" s="384">
        <v>135000</v>
      </c>
      <c r="G454" s="270">
        <v>100227948</v>
      </c>
      <c r="H454" s="270"/>
    </row>
    <row r="455" spans="1:8" x14ac:dyDescent="0.25">
      <c r="A455" s="257">
        <v>457</v>
      </c>
      <c r="B455" s="267">
        <v>454</v>
      </c>
      <c r="C455" s="268" t="s">
        <v>3734</v>
      </c>
      <c r="D455" s="269">
        <v>41736</v>
      </c>
      <c r="E455" s="270" t="s">
        <v>2358</v>
      </c>
      <c r="F455" s="384">
        <v>242000</v>
      </c>
      <c r="G455" s="270">
        <v>800008903</v>
      </c>
      <c r="H455" s="270"/>
    </row>
    <row r="456" spans="1:8" x14ac:dyDescent="0.25">
      <c r="A456" s="257">
        <v>458</v>
      </c>
      <c r="B456" s="267">
        <v>455</v>
      </c>
      <c r="C456" s="268" t="s">
        <v>1658</v>
      </c>
      <c r="D456" s="269">
        <v>41737</v>
      </c>
      <c r="E456" s="270" t="s">
        <v>825</v>
      </c>
      <c r="F456" s="384">
        <v>512000</v>
      </c>
      <c r="G456" s="270">
        <v>100951254</v>
      </c>
      <c r="H456" s="270"/>
    </row>
    <row r="457" spans="1:8" x14ac:dyDescent="0.25">
      <c r="A457" s="257">
        <v>459</v>
      </c>
      <c r="B457" s="267">
        <v>456</v>
      </c>
      <c r="C457" s="268" t="s">
        <v>202</v>
      </c>
      <c r="D457" s="269">
        <v>41737</v>
      </c>
      <c r="E457" s="270" t="s">
        <v>1701</v>
      </c>
      <c r="F457" s="384">
        <v>377000</v>
      </c>
      <c r="G457" s="270">
        <v>10098407</v>
      </c>
      <c r="H457" s="270"/>
    </row>
    <row r="458" spans="1:8" x14ac:dyDescent="0.25">
      <c r="A458" s="257">
        <v>460</v>
      </c>
      <c r="B458" s="267">
        <v>457</v>
      </c>
      <c r="C458" s="268" t="s">
        <v>3309</v>
      </c>
      <c r="D458" s="269">
        <v>41737</v>
      </c>
      <c r="E458" s="270" t="s">
        <v>1692</v>
      </c>
      <c r="F458" s="384">
        <v>454000</v>
      </c>
      <c r="G458" s="270">
        <v>600537220</v>
      </c>
      <c r="H458" s="270"/>
    </row>
    <row r="459" spans="1:8" x14ac:dyDescent="0.25">
      <c r="A459" s="257">
        <v>461</v>
      </c>
      <c r="B459" s="267">
        <v>458</v>
      </c>
      <c r="C459" s="268" t="s">
        <v>2437</v>
      </c>
      <c r="D459" s="269">
        <v>41737</v>
      </c>
      <c r="E459" s="270" t="s">
        <v>3584</v>
      </c>
      <c r="F459" s="384">
        <v>140000</v>
      </c>
      <c r="G459" s="270">
        <v>100297330</v>
      </c>
      <c r="H459" s="270"/>
    </row>
    <row r="460" spans="1:8" x14ac:dyDescent="0.25">
      <c r="A460" s="257">
        <v>462</v>
      </c>
      <c r="B460" s="267">
        <v>459</v>
      </c>
      <c r="C460" s="268" t="s">
        <v>202</v>
      </c>
      <c r="D460" s="269">
        <v>41737</v>
      </c>
      <c r="E460" s="270" t="s">
        <v>1701</v>
      </c>
      <c r="F460" s="384">
        <v>55000</v>
      </c>
      <c r="G460" s="270">
        <v>10098407</v>
      </c>
      <c r="H460" s="270"/>
    </row>
    <row r="461" spans="1:8" x14ac:dyDescent="0.25">
      <c r="A461" s="257">
        <v>463</v>
      </c>
      <c r="B461" s="267">
        <v>460</v>
      </c>
      <c r="C461" s="268" t="s">
        <v>61</v>
      </c>
      <c r="D461" s="269">
        <v>41737</v>
      </c>
      <c r="E461" s="270" t="s">
        <v>4210</v>
      </c>
      <c r="F461" s="384">
        <v>564000</v>
      </c>
      <c r="G461" s="270">
        <v>100093319</v>
      </c>
      <c r="H461" s="270"/>
    </row>
    <row r="462" spans="1:8" x14ac:dyDescent="0.25">
      <c r="A462" s="257">
        <v>464</v>
      </c>
      <c r="B462" s="267">
        <v>461</v>
      </c>
      <c r="C462" s="268" t="s">
        <v>1663</v>
      </c>
      <c r="D462" s="269">
        <v>41738</v>
      </c>
      <c r="E462" s="270" t="s">
        <v>3771</v>
      </c>
      <c r="F462" s="384">
        <v>63000</v>
      </c>
      <c r="G462" s="270">
        <v>690651510</v>
      </c>
      <c r="H462" s="270"/>
    </row>
    <row r="463" spans="1:8" x14ac:dyDescent="0.25">
      <c r="A463" s="257">
        <v>465</v>
      </c>
      <c r="B463" s="267">
        <v>462</v>
      </c>
      <c r="C463" s="268" t="s">
        <v>2645</v>
      </c>
      <c r="D463" s="269">
        <v>41738</v>
      </c>
      <c r="E463" s="270" t="s">
        <v>239</v>
      </c>
      <c r="F463" s="384">
        <v>68000</v>
      </c>
      <c r="G463" s="270">
        <v>101139097</v>
      </c>
      <c r="H463" s="270"/>
    </row>
    <row r="464" spans="1:8" x14ac:dyDescent="0.25">
      <c r="A464" s="257">
        <v>466</v>
      </c>
      <c r="B464" s="267">
        <v>463</v>
      </c>
      <c r="C464" s="268" t="s">
        <v>2604</v>
      </c>
      <c r="D464" s="269">
        <v>41738</v>
      </c>
      <c r="E464" s="270" t="s">
        <v>2866</v>
      </c>
      <c r="F464" s="384">
        <v>155000</v>
      </c>
      <c r="G464" s="270">
        <v>100080014</v>
      </c>
      <c r="H464" s="270"/>
    </row>
    <row r="465" spans="1:8" x14ac:dyDescent="0.25">
      <c r="A465" s="257">
        <v>467</v>
      </c>
      <c r="B465" s="267">
        <v>464</v>
      </c>
      <c r="C465" s="268" t="s">
        <v>1808</v>
      </c>
      <c r="D465" s="269">
        <v>41739</v>
      </c>
      <c r="E465" s="270" t="s">
        <v>924</v>
      </c>
      <c r="F465" s="384">
        <v>186000</v>
      </c>
      <c r="G465" s="270">
        <v>290608776</v>
      </c>
      <c r="H465" s="270"/>
    </row>
    <row r="466" spans="1:8" x14ac:dyDescent="0.25">
      <c r="A466" s="257">
        <v>468</v>
      </c>
      <c r="B466" s="267">
        <v>465</v>
      </c>
      <c r="C466" s="268" t="s">
        <v>2036</v>
      </c>
      <c r="D466" s="269">
        <v>41739</v>
      </c>
      <c r="E466" s="270" t="s">
        <v>3594</v>
      </c>
      <c r="F466" s="384">
        <v>405000</v>
      </c>
      <c r="G466" s="270">
        <v>190882802</v>
      </c>
      <c r="H466" s="270"/>
    </row>
    <row r="467" spans="1:8" x14ac:dyDescent="0.25">
      <c r="A467" s="257">
        <v>469</v>
      </c>
      <c r="B467" s="267">
        <v>466</v>
      </c>
      <c r="C467" s="268" t="s">
        <v>3302</v>
      </c>
      <c r="D467" s="269">
        <v>41739</v>
      </c>
      <c r="E467" s="270" t="s">
        <v>1529</v>
      </c>
      <c r="F467" s="384">
        <v>405000</v>
      </c>
      <c r="G467" s="270">
        <v>600125079</v>
      </c>
      <c r="H467" s="270"/>
    </row>
    <row r="468" spans="1:8" x14ac:dyDescent="0.25">
      <c r="A468" s="257">
        <v>470</v>
      </c>
      <c r="B468" s="267">
        <v>467</v>
      </c>
      <c r="C468" s="268" t="s">
        <v>3284</v>
      </c>
      <c r="D468" s="269">
        <v>41740</v>
      </c>
      <c r="E468" s="270" t="s">
        <v>1651</v>
      </c>
      <c r="F468" s="384">
        <v>405000</v>
      </c>
      <c r="G468" s="270">
        <v>190884251</v>
      </c>
      <c r="H468" s="270"/>
    </row>
    <row r="469" spans="1:8" x14ac:dyDescent="0.25">
      <c r="A469" s="257">
        <v>471</v>
      </c>
      <c r="B469" s="267">
        <v>468</v>
      </c>
      <c r="C469" s="268" t="s">
        <v>2359</v>
      </c>
      <c r="D469" s="269">
        <v>41743</v>
      </c>
      <c r="E469" s="270" t="s">
        <v>3104</v>
      </c>
      <c r="F469" s="384">
        <v>810000</v>
      </c>
      <c r="G469" s="270">
        <v>691536125</v>
      </c>
      <c r="H469" s="270"/>
    </row>
    <row r="470" spans="1:8" x14ac:dyDescent="0.25">
      <c r="A470" s="257">
        <v>472</v>
      </c>
      <c r="B470" s="267">
        <v>469</v>
      </c>
      <c r="C470" s="268" t="s">
        <v>494</v>
      </c>
      <c r="D470" s="269">
        <v>41743</v>
      </c>
      <c r="E470" s="270" t="s">
        <v>339</v>
      </c>
      <c r="F470" s="384">
        <v>145000</v>
      </c>
      <c r="G470" s="270">
        <v>690629013</v>
      </c>
      <c r="H470" s="270"/>
    </row>
    <row r="471" spans="1:8" x14ac:dyDescent="0.25">
      <c r="A471" s="257">
        <v>473</v>
      </c>
      <c r="B471" s="267">
        <v>470</v>
      </c>
      <c r="C471" s="268" t="s">
        <v>1826</v>
      </c>
      <c r="D471" s="269">
        <v>41743</v>
      </c>
      <c r="E471" s="270" t="s">
        <v>2424</v>
      </c>
      <c r="F471" s="384">
        <v>405000</v>
      </c>
      <c r="G471" s="270">
        <v>101326441</v>
      </c>
      <c r="H471" s="270"/>
    </row>
    <row r="472" spans="1:8" x14ac:dyDescent="0.25">
      <c r="A472" s="257">
        <v>474</v>
      </c>
      <c r="B472" s="267">
        <v>471</v>
      </c>
      <c r="C472" s="268" t="s">
        <v>1917</v>
      </c>
      <c r="D472" s="269">
        <v>41743</v>
      </c>
      <c r="E472" s="270" t="s">
        <v>874</v>
      </c>
      <c r="F472" s="384">
        <v>405000</v>
      </c>
      <c r="G472" s="270">
        <v>191360926</v>
      </c>
      <c r="H472" s="270"/>
    </row>
    <row r="473" spans="1:8" x14ac:dyDescent="0.25">
      <c r="A473" s="257">
        <v>475</v>
      </c>
      <c r="B473" s="267">
        <v>472</v>
      </c>
      <c r="C473" s="268" t="s">
        <v>3538</v>
      </c>
      <c r="D473" s="269">
        <v>41744</v>
      </c>
      <c r="E473" s="270" t="s">
        <v>445</v>
      </c>
      <c r="F473" s="384">
        <v>150000</v>
      </c>
      <c r="G473" s="270">
        <v>190696505</v>
      </c>
      <c r="H473" s="270"/>
    </row>
    <row r="474" spans="1:8" x14ac:dyDescent="0.25">
      <c r="A474" s="257">
        <v>476</v>
      </c>
      <c r="B474" s="267">
        <v>473</v>
      </c>
      <c r="C474" s="268" t="s">
        <v>895</v>
      </c>
      <c r="D474" s="269">
        <v>41744</v>
      </c>
      <c r="E474" s="270" t="s">
        <v>2804</v>
      </c>
      <c r="F474" s="384">
        <v>405000</v>
      </c>
      <c r="G474" s="270">
        <v>691433174</v>
      </c>
      <c r="H474" s="270"/>
    </row>
    <row r="475" spans="1:8" x14ac:dyDescent="0.25">
      <c r="A475" s="257">
        <v>477</v>
      </c>
      <c r="B475" s="267">
        <v>474</v>
      </c>
      <c r="C475" s="268" t="s">
        <v>910</v>
      </c>
      <c r="D475" s="269">
        <v>41744</v>
      </c>
      <c r="E475" s="270" t="s">
        <v>1656</v>
      </c>
      <c r="F475" s="384">
        <v>186000</v>
      </c>
      <c r="G475" s="270">
        <v>101439397</v>
      </c>
      <c r="H475" s="270"/>
    </row>
    <row r="476" spans="1:8" x14ac:dyDescent="0.25">
      <c r="A476" s="257">
        <v>478</v>
      </c>
      <c r="B476" s="267">
        <v>475</v>
      </c>
      <c r="C476" s="268" t="s">
        <v>910</v>
      </c>
      <c r="D476" s="269">
        <v>41744</v>
      </c>
      <c r="E476" s="270" t="s">
        <v>1656</v>
      </c>
      <c r="F476" s="384">
        <v>223000</v>
      </c>
      <c r="G476" s="270">
        <v>101439397</v>
      </c>
      <c r="H476" s="270"/>
    </row>
    <row r="477" spans="1:8" x14ac:dyDescent="0.25">
      <c r="A477" s="257">
        <v>479</v>
      </c>
      <c r="B477" s="267">
        <v>476</v>
      </c>
      <c r="C477" s="268" t="s">
        <v>520</v>
      </c>
      <c r="D477" s="269">
        <v>41744</v>
      </c>
      <c r="E477" s="270" t="s">
        <v>3575</v>
      </c>
      <c r="F477" s="384">
        <v>223000</v>
      </c>
      <c r="G477" s="270">
        <v>190345927</v>
      </c>
      <c r="H477" s="270"/>
    </row>
    <row r="478" spans="1:8" x14ac:dyDescent="0.25">
      <c r="A478" s="257">
        <v>480</v>
      </c>
      <c r="B478" s="267">
        <v>477</v>
      </c>
      <c r="C478" s="268" t="s">
        <v>2974</v>
      </c>
      <c r="D478" s="269">
        <v>41744</v>
      </c>
      <c r="E478" s="270" t="s">
        <v>490</v>
      </c>
      <c r="F478" s="384">
        <v>186000</v>
      </c>
      <c r="G478" s="270">
        <v>690533912</v>
      </c>
      <c r="H478" s="270"/>
    </row>
    <row r="479" spans="1:8" x14ac:dyDescent="0.25">
      <c r="A479" s="257">
        <v>481</v>
      </c>
      <c r="B479" s="267">
        <v>478</v>
      </c>
      <c r="C479" s="268" t="s">
        <v>855</v>
      </c>
      <c r="D479" s="269">
        <v>41744</v>
      </c>
      <c r="E479" s="270" t="s">
        <v>1804</v>
      </c>
      <c r="F479" s="384">
        <v>186000</v>
      </c>
      <c r="G479" s="270">
        <v>191327737</v>
      </c>
      <c r="H479" s="270"/>
    </row>
    <row r="480" spans="1:8" x14ac:dyDescent="0.25">
      <c r="A480" s="257">
        <v>482</v>
      </c>
      <c r="B480" s="267">
        <v>479</v>
      </c>
      <c r="C480" s="268" t="s">
        <v>2363</v>
      </c>
      <c r="D480" s="269">
        <v>41745</v>
      </c>
      <c r="E480" s="270" t="s">
        <v>2633</v>
      </c>
      <c r="F480" s="384">
        <v>2600000</v>
      </c>
      <c r="G480" s="270">
        <v>100320382</v>
      </c>
      <c r="H480" s="270"/>
    </row>
    <row r="481" spans="1:8" x14ac:dyDescent="0.25">
      <c r="A481" s="257">
        <v>483</v>
      </c>
      <c r="B481" s="267">
        <v>480</v>
      </c>
      <c r="C481" s="268" t="s">
        <v>2716</v>
      </c>
      <c r="D481" s="269">
        <v>41745</v>
      </c>
      <c r="E481" s="270" t="s">
        <v>2760</v>
      </c>
      <c r="F481" s="384">
        <v>150000</v>
      </c>
      <c r="G481" s="270">
        <v>100801936</v>
      </c>
      <c r="H481" s="270"/>
    </row>
    <row r="482" spans="1:8" x14ac:dyDescent="0.25">
      <c r="A482" s="257">
        <v>484</v>
      </c>
      <c r="B482" s="267">
        <v>481</v>
      </c>
      <c r="C482" s="268" t="s">
        <v>2714</v>
      </c>
      <c r="D482" s="269">
        <v>41745</v>
      </c>
      <c r="E482" s="270" t="s">
        <v>891</v>
      </c>
      <c r="F482" s="384">
        <v>223000</v>
      </c>
      <c r="G482" s="270">
        <v>190304936</v>
      </c>
      <c r="H482" s="270"/>
    </row>
    <row r="483" spans="1:8" x14ac:dyDescent="0.25">
      <c r="A483" s="257">
        <v>485</v>
      </c>
      <c r="B483" s="267">
        <v>482</v>
      </c>
      <c r="C483" s="268" t="s">
        <v>888</v>
      </c>
      <c r="D483" s="269">
        <v>41745</v>
      </c>
      <c r="E483" s="270" t="s">
        <v>441</v>
      </c>
      <c r="F483" s="384">
        <v>186000</v>
      </c>
      <c r="G483" s="270">
        <v>100086492</v>
      </c>
      <c r="H483" s="270"/>
    </row>
    <row r="484" spans="1:8" x14ac:dyDescent="0.25">
      <c r="A484" s="257">
        <v>486</v>
      </c>
      <c r="B484" s="267">
        <v>483</v>
      </c>
      <c r="C484" s="268" t="s">
        <v>1049</v>
      </c>
      <c r="D484" s="269">
        <v>41745</v>
      </c>
      <c r="E484" s="270" t="s">
        <v>3581</v>
      </c>
      <c r="F484" s="384">
        <v>405000</v>
      </c>
      <c r="G484" s="270">
        <v>190571479</v>
      </c>
      <c r="H484" s="270"/>
    </row>
    <row r="485" spans="1:8" x14ac:dyDescent="0.25">
      <c r="A485" s="257">
        <v>487</v>
      </c>
      <c r="B485" s="267">
        <v>484</v>
      </c>
      <c r="C485" s="268" t="s">
        <v>2620</v>
      </c>
      <c r="D485" s="269">
        <v>41745</v>
      </c>
      <c r="E485" s="270" t="s">
        <v>3118</v>
      </c>
      <c r="F485" s="384">
        <v>145000</v>
      </c>
      <c r="G485" s="270">
        <v>690619688</v>
      </c>
      <c r="H485" s="270"/>
    </row>
    <row r="486" spans="1:8" x14ac:dyDescent="0.25">
      <c r="A486" s="257">
        <v>488</v>
      </c>
      <c r="B486" s="267">
        <v>485</v>
      </c>
      <c r="C486" s="268" t="s">
        <v>1658</v>
      </c>
      <c r="D486" s="269">
        <v>41745</v>
      </c>
      <c r="E486" s="270" t="s">
        <v>825</v>
      </c>
      <c r="F486" s="384">
        <v>405000</v>
      </c>
      <c r="G486" s="270">
        <v>100951254</v>
      </c>
      <c r="H486" s="270"/>
    </row>
    <row r="487" spans="1:8" x14ac:dyDescent="0.25">
      <c r="A487" s="257">
        <v>489</v>
      </c>
      <c r="B487" s="267">
        <v>486</v>
      </c>
      <c r="C487" s="268" t="s">
        <v>943</v>
      </c>
      <c r="D487" s="269">
        <v>41745</v>
      </c>
      <c r="E487" s="270" t="s">
        <v>3325</v>
      </c>
      <c r="F487" s="384">
        <v>150000</v>
      </c>
      <c r="G487" s="270">
        <v>600004696</v>
      </c>
      <c r="H487" s="270"/>
    </row>
    <row r="488" spans="1:8" x14ac:dyDescent="0.25">
      <c r="A488" s="257">
        <v>490</v>
      </c>
      <c r="B488" s="267">
        <v>487</v>
      </c>
      <c r="C488" s="268" t="s">
        <v>3309</v>
      </c>
      <c r="D488" s="269">
        <v>41745</v>
      </c>
      <c r="E488" s="270" t="s">
        <v>1692</v>
      </c>
      <c r="F488" s="384">
        <v>486000</v>
      </c>
      <c r="G488" s="270">
        <v>600537220</v>
      </c>
      <c r="H488" s="270"/>
    </row>
    <row r="489" spans="1:8" x14ac:dyDescent="0.25">
      <c r="A489" s="257">
        <v>491</v>
      </c>
      <c r="B489" s="267">
        <v>488</v>
      </c>
      <c r="C489" s="268" t="s">
        <v>1826</v>
      </c>
      <c r="D489" s="269">
        <v>41745</v>
      </c>
      <c r="E489" s="270" t="s">
        <v>2424</v>
      </c>
      <c r="F489" s="384">
        <v>2025000</v>
      </c>
      <c r="G489" s="270">
        <v>101326441</v>
      </c>
      <c r="H489" s="270"/>
    </row>
    <row r="490" spans="1:8" x14ac:dyDescent="0.25">
      <c r="A490" s="257">
        <v>492</v>
      </c>
      <c r="B490" s="267">
        <v>489</v>
      </c>
      <c r="C490" s="268" t="s">
        <v>2613</v>
      </c>
      <c r="D490" s="269">
        <v>41746</v>
      </c>
      <c r="E490" s="270" t="s">
        <v>916</v>
      </c>
      <c r="F490" s="384">
        <v>1270000</v>
      </c>
      <c r="G490" s="270">
        <v>101553117</v>
      </c>
      <c r="H490" s="270"/>
    </row>
    <row r="491" spans="1:8" x14ac:dyDescent="0.25">
      <c r="A491" s="257">
        <v>493</v>
      </c>
      <c r="B491" s="267">
        <v>490</v>
      </c>
      <c r="C491" s="268" t="s">
        <v>3302</v>
      </c>
      <c r="D491" s="269">
        <v>41746</v>
      </c>
      <c r="E491" s="270" t="s">
        <v>1529</v>
      </c>
      <c r="F491" s="384">
        <v>260000</v>
      </c>
      <c r="G491" s="270">
        <v>600125079</v>
      </c>
      <c r="H491" s="270"/>
    </row>
    <row r="492" spans="1:8" x14ac:dyDescent="0.25">
      <c r="A492" s="257">
        <v>494</v>
      </c>
      <c r="B492" s="267">
        <v>491</v>
      </c>
      <c r="C492" s="268" t="s">
        <v>2436</v>
      </c>
      <c r="D492" s="269">
        <v>41746</v>
      </c>
      <c r="E492" s="270" t="s">
        <v>1703</v>
      </c>
      <c r="F492" s="384">
        <v>223000</v>
      </c>
      <c r="G492" s="270">
        <v>100826028</v>
      </c>
      <c r="H492" s="270"/>
    </row>
    <row r="493" spans="1:8" x14ac:dyDescent="0.25">
      <c r="A493" s="257">
        <v>495</v>
      </c>
      <c r="B493" s="267">
        <v>492</v>
      </c>
      <c r="C493" s="268" t="s">
        <v>1525</v>
      </c>
      <c r="D493" s="269">
        <v>41747</v>
      </c>
      <c r="E493" s="270" t="s">
        <v>1005</v>
      </c>
      <c r="F493" s="384">
        <v>59000</v>
      </c>
      <c r="G493" s="270">
        <v>101116081</v>
      </c>
      <c r="H493" s="270"/>
    </row>
    <row r="494" spans="1:8" x14ac:dyDescent="0.25">
      <c r="A494" s="257">
        <v>496</v>
      </c>
      <c r="B494" s="267">
        <v>493</v>
      </c>
      <c r="C494" s="268" t="s">
        <v>1810</v>
      </c>
      <c r="D494" s="269">
        <v>41747</v>
      </c>
      <c r="E494" s="270" t="s">
        <v>2442</v>
      </c>
      <c r="F494" s="384">
        <v>405000</v>
      </c>
      <c r="G494" s="270">
        <v>590720520</v>
      </c>
      <c r="H494" s="270"/>
    </row>
    <row r="495" spans="1:8" x14ac:dyDescent="0.25">
      <c r="A495" s="257">
        <v>497</v>
      </c>
      <c r="B495" s="267">
        <v>494</v>
      </c>
      <c r="C495" s="268" t="s">
        <v>3309</v>
      </c>
      <c r="D495" s="269">
        <v>41747</v>
      </c>
      <c r="E495" s="270" t="s">
        <v>1692</v>
      </c>
      <c r="F495" s="384">
        <v>300000</v>
      </c>
      <c r="G495" s="270">
        <v>600537220</v>
      </c>
      <c r="H495" s="270"/>
    </row>
    <row r="496" spans="1:8" x14ac:dyDescent="0.25">
      <c r="A496" s="257">
        <v>498</v>
      </c>
      <c r="B496" s="267">
        <v>495</v>
      </c>
      <c r="C496" s="268" t="s">
        <v>3274</v>
      </c>
      <c r="D496" s="269">
        <v>41747</v>
      </c>
      <c r="E496" s="270" t="s">
        <v>1125</v>
      </c>
      <c r="F496" s="384">
        <v>260000</v>
      </c>
      <c r="G496" s="270">
        <v>191591638</v>
      </c>
      <c r="H496" s="270"/>
    </row>
    <row r="497" spans="1:8" x14ac:dyDescent="0.25">
      <c r="A497" s="257">
        <v>499</v>
      </c>
      <c r="B497" s="267">
        <v>496</v>
      </c>
      <c r="C497" s="268" t="s">
        <v>2835</v>
      </c>
      <c r="D497" s="269">
        <v>41747</v>
      </c>
      <c r="E497" s="270" t="s">
        <v>2890</v>
      </c>
      <c r="F497" s="384">
        <v>450000</v>
      </c>
      <c r="G497" s="270">
        <v>690367172</v>
      </c>
      <c r="H497" s="270"/>
    </row>
    <row r="498" spans="1:8" x14ac:dyDescent="0.25">
      <c r="A498" s="257">
        <v>500</v>
      </c>
      <c r="B498" s="267">
        <v>497</v>
      </c>
      <c r="C498" s="268" t="s">
        <v>1525</v>
      </c>
      <c r="D498" s="269">
        <v>41747</v>
      </c>
      <c r="E498" s="270" t="s">
        <v>1005</v>
      </c>
      <c r="F498" s="384">
        <v>260000</v>
      </c>
      <c r="G498" s="270">
        <v>101116081</v>
      </c>
      <c r="H498" s="270"/>
    </row>
    <row r="499" spans="1:8" x14ac:dyDescent="0.25">
      <c r="A499" s="257">
        <v>501</v>
      </c>
      <c r="B499" s="267">
        <v>498</v>
      </c>
      <c r="C499" s="268" t="s">
        <v>2620</v>
      </c>
      <c r="D499" s="269">
        <v>41747</v>
      </c>
      <c r="E499" s="270" t="s">
        <v>3118</v>
      </c>
      <c r="F499" s="384">
        <v>59000</v>
      </c>
      <c r="G499" s="270">
        <v>690619688</v>
      </c>
      <c r="H499" s="270"/>
    </row>
    <row r="500" spans="1:8" x14ac:dyDescent="0.25">
      <c r="A500" s="257">
        <v>502</v>
      </c>
      <c r="B500" s="267">
        <v>499</v>
      </c>
      <c r="C500" s="268" t="s">
        <v>3642</v>
      </c>
      <c r="D500" s="269">
        <v>41747</v>
      </c>
      <c r="E500" s="270" t="s">
        <v>1127</v>
      </c>
      <c r="F500" s="384">
        <v>150000</v>
      </c>
      <c r="G500" s="270">
        <v>690719790</v>
      </c>
      <c r="H500" s="270"/>
    </row>
    <row r="501" spans="1:8" x14ac:dyDescent="0.25">
      <c r="A501" s="257">
        <v>503</v>
      </c>
      <c r="B501" s="267">
        <v>500</v>
      </c>
      <c r="C501" s="268" t="s">
        <v>2645</v>
      </c>
      <c r="D501" s="269">
        <v>41747</v>
      </c>
      <c r="E501" s="270" t="s">
        <v>239</v>
      </c>
      <c r="F501" s="384">
        <v>92000</v>
      </c>
      <c r="G501" s="270">
        <v>101139097</v>
      </c>
      <c r="H501" s="270"/>
    </row>
    <row r="502" spans="1:8" x14ac:dyDescent="0.25">
      <c r="A502" s="257">
        <v>504</v>
      </c>
      <c r="B502" s="267">
        <v>501</v>
      </c>
      <c r="C502" s="268" t="s">
        <v>3570</v>
      </c>
      <c r="D502" s="269">
        <v>41748</v>
      </c>
      <c r="E502" s="270" t="s">
        <v>3537</v>
      </c>
      <c r="F502" s="384">
        <v>223000</v>
      </c>
      <c r="G502" s="270">
        <v>190496892</v>
      </c>
      <c r="H502" s="270"/>
    </row>
    <row r="503" spans="1:8" x14ac:dyDescent="0.25">
      <c r="A503" s="257">
        <v>505</v>
      </c>
      <c r="B503" s="267">
        <v>502</v>
      </c>
      <c r="C503" s="268" t="s">
        <v>706</v>
      </c>
      <c r="D503" s="269">
        <v>41750</v>
      </c>
      <c r="E503" s="270" t="s">
        <v>2830</v>
      </c>
      <c r="F503" s="384">
        <v>223000</v>
      </c>
      <c r="G503" s="270">
        <v>690560046</v>
      </c>
      <c r="H503" s="270"/>
    </row>
    <row r="504" spans="1:8" x14ac:dyDescent="0.25">
      <c r="A504" s="257">
        <v>506</v>
      </c>
      <c r="B504" s="267">
        <v>503</v>
      </c>
      <c r="C504" s="268" t="s">
        <v>1128</v>
      </c>
      <c r="D504" s="269">
        <v>41750</v>
      </c>
      <c r="E504" s="270" t="s">
        <v>831</v>
      </c>
      <c r="F504" s="384">
        <v>200000</v>
      </c>
      <c r="G504" s="270">
        <v>190341035</v>
      </c>
      <c r="H504" s="270"/>
    </row>
    <row r="505" spans="1:8" x14ac:dyDescent="0.25">
      <c r="A505" s="257">
        <v>507</v>
      </c>
      <c r="B505" s="267">
        <v>504</v>
      </c>
      <c r="C505" s="268" t="s">
        <v>2645</v>
      </c>
      <c r="D505" s="269">
        <v>41750</v>
      </c>
      <c r="E505" s="270" t="s">
        <v>239</v>
      </c>
      <c r="F505" s="384">
        <v>810000</v>
      </c>
      <c r="G505" s="270">
        <v>101139097</v>
      </c>
      <c r="H505" s="270"/>
    </row>
    <row r="506" spans="1:8" x14ac:dyDescent="0.25">
      <c r="A506" s="257">
        <v>508</v>
      </c>
      <c r="B506" s="267">
        <v>505</v>
      </c>
      <c r="C506" s="268" t="s">
        <v>706</v>
      </c>
      <c r="D506" s="269">
        <v>41750</v>
      </c>
      <c r="E506" s="270" t="s">
        <v>2830</v>
      </c>
      <c r="F506" s="384">
        <v>63000</v>
      </c>
      <c r="G506" s="270">
        <v>690560046</v>
      </c>
      <c r="H506" s="270"/>
    </row>
    <row r="507" spans="1:8" x14ac:dyDescent="0.25">
      <c r="A507" s="257">
        <v>509</v>
      </c>
      <c r="B507" s="267">
        <v>506</v>
      </c>
      <c r="C507" s="268" t="s">
        <v>2653</v>
      </c>
      <c r="D507" s="269">
        <v>41750</v>
      </c>
      <c r="E507" s="270" t="s">
        <v>177</v>
      </c>
      <c r="F507" s="384">
        <v>336000</v>
      </c>
      <c r="G507" s="270">
        <v>191299395</v>
      </c>
      <c r="H507" s="270"/>
    </row>
    <row r="508" spans="1:8" x14ac:dyDescent="0.25">
      <c r="A508" s="257">
        <v>510</v>
      </c>
      <c r="B508" s="267">
        <v>507</v>
      </c>
      <c r="C508" s="268" t="s">
        <v>2714</v>
      </c>
      <c r="D508" s="269">
        <v>41751</v>
      </c>
      <c r="E508" s="270" t="s">
        <v>891</v>
      </c>
      <c r="F508" s="384">
        <v>34000</v>
      </c>
      <c r="G508" s="270">
        <v>190304936</v>
      </c>
      <c r="H508" s="270"/>
    </row>
    <row r="509" spans="1:8" x14ac:dyDescent="0.25">
      <c r="A509" s="257">
        <v>511</v>
      </c>
      <c r="B509" s="267">
        <v>508</v>
      </c>
      <c r="C509" s="268" t="s">
        <v>1</v>
      </c>
      <c r="D509" s="269">
        <v>41751</v>
      </c>
      <c r="E509" s="270" t="s">
        <v>2671</v>
      </c>
      <c r="F509" s="384">
        <v>372000</v>
      </c>
      <c r="G509" s="270">
        <v>101094935</v>
      </c>
      <c r="H509" s="270"/>
    </row>
    <row r="510" spans="1:8" x14ac:dyDescent="0.25">
      <c r="A510" s="257">
        <v>512</v>
      </c>
      <c r="B510" s="267">
        <v>509</v>
      </c>
      <c r="C510" s="268" t="s">
        <v>3309</v>
      </c>
      <c r="D510" s="269">
        <v>41751</v>
      </c>
      <c r="E510" s="270" t="s">
        <v>1692</v>
      </c>
      <c r="F510" s="384">
        <v>486000</v>
      </c>
      <c r="G510" s="270">
        <v>600537220</v>
      </c>
      <c r="H510" s="270"/>
    </row>
    <row r="511" spans="1:8" x14ac:dyDescent="0.25">
      <c r="A511" s="257">
        <v>513</v>
      </c>
      <c r="B511" s="267">
        <v>510</v>
      </c>
      <c r="C511" s="268" t="s">
        <v>429</v>
      </c>
      <c r="D511" s="269">
        <v>41751</v>
      </c>
      <c r="E511" s="270" t="s">
        <v>816</v>
      </c>
      <c r="F511" s="384">
        <v>223000</v>
      </c>
      <c r="G511" s="270">
        <v>101225557</v>
      </c>
      <c r="H511" s="270"/>
    </row>
    <row r="512" spans="1:8" x14ac:dyDescent="0.25">
      <c r="A512" s="257">
        <v>514</v>
      </c>
      <c r="B512" s="267">
        <v>511</v>
      </c>
      <c r="C512" s="268" t="s">
        <v>1128</v>
      </c>
      <c r="D512" s="269">
        <v>41751</v>
      </c>
      <c r="E512" s="270" t="s">
        <v>3142</v>
      </c>
      <c r="F512" s="384">
        <v>200000</v>
      </c>
      <c r="G512" s="270">
        <v>190341035</v>
      </c>
      <c r="H512" s="270"/>
    </row>
    <row r="513" spans="1:8" x14ac:dyDescent="0.25">
      <c r="A513" s="257">
        <v>515</v>
      </c>
      <c r="B513" s="267">
        <v>512</v>
      </c>
      <c r="C513" s="268" t="s">
        <v>3141</v>
      </c>
      <c r="D513" s="269">
        <v>41751</v>
      </c>
      <c r="E513" s="270" t="s">
        <v>809</v>
      </c>
      <c r="F513" s="384">
        <v>223000</v>
      </c>
      <c r="G513" s="270">
        <v>0</v>
      </c>
      <c r="H513" s="270"/>
    </row>
    <row r="514" spans="1:8" x14ac:dyDescent="0.25">
      <c r="A514" s="257">
        <v>516</v>
      </c>
      <c r="B514" s="267">
        <v>513</v>
      </c>
      <c r="C514" s="268" t="s">
        <v>2437</v>
      </c>
      <c r="D514" s="269">
        <v>41752</v>
      </c>
      <c r="E514" s="270" t="s">
        <v>3584</v>
      </c>
      <c r="F514" s="384">
        <v>280000</v>
      </c>
      <c r="G514" s="270">
        <v>100297330</v>
      </c>
      <c r="H514" s="270"/>
    </row>
    <row r="515" spans="1:8" x14ac:dyDescent="0.25">
      <c r="A515" s="257">
        <v>517</v>
      </c>
      <c r="B515" s="267">
        <v>514</v>
      </c>
      <c r="C515" s="268" t="s">
        <v>2360</v>
      </c>
      <c r="D515" s="269">
        <v>41752</v>
      </c>
      <c r="E515" s="270" t="s">
        <v>1807</v>
      </c>
      <c r="F515" s="384">
        <v>223000</v>
      </c>
      <c r="G515" s="270">
        <v>101277625</v>
      </c>
      <c r="H515" s="270"/>
    </row>
    <row r="516" spans="1:8" x14ac:dyDescent="0.25">
      <c r="A516" s="257">
        <v>518</v>
      </c>
      <c r="B516" s="267">
        <v>515</v>
      </c>
      <c r="C516" s="268" t="s">
        <v>1658</v>
      </c>
      <c r="D516" s="269">
        <v>41752</v>
      </c>
      <c r="E516" s="270" t="s">
        <v>825</v>
      </c>
      <c r="F516" s="384">
        <v>810000</v>
      </c>
      <c r="G516" s="270">
        <v>100951254</v>
      </c>
      <c r="H516" s="270"/>
    </row>
    <row r="517" spans="1:8" x14ac:dyDescent="0.25">
      <c r="A517" s="257">
        <v>519</v>
      </c>
      <c r="B517" s="267">
        <v>516</v>
      </c>
      <c r="C517" s="268" t="s">
        <v>2618</v>
      </c>
      <c r="D517" s="269">
        <v>41752</v>
      </c>
      <c r="E517" s="270" t="s">
        <v>1622</v>
      </c>
      <c r="F517" s="384">
        <v>405000</v>
      </c>
      <c r="G517" s="270">
        <v>190513098</v>
      </c>
      <c r="H517" s="270"/>
    </row>
    <row r="518" spans="1:8" x14ac:dyDescent="0.25">
      <c r="A518" s="257">
        <v>520</v>
      </c>
      <c r="B518" s="267">
        <v>517</v>
      </c>
      <c r="C518" s="268" t="s">
        <v>2618</v>
      </c>
      <c r="D518" s="269">
        <v>41752</v>
      </c>
      <c r="E518" s="270" t="s">
        <v>1622</v>
      </c>
      <c r="F518" s="384">
        <v>405000</v>
      </c>
      <c r="G518" s="270">
        <v>190513098</v>
      </c>
      <c r="H518" s="270"/>
    </row>
    <row r="519" spans="1:8" x14ac:dyDescent="0.25">
      <c r="A519" s="257">
        <v>521</v>
      </c>
      <c r="B519" s="267">
        <v>518</v>
      </c>
      <c r="C519" s="268" t="s">
        <v>2618</v>
      </c>
      <c r="D519" s="269">
        <v>41752</v>
      </c>
      <c r="E519" s="270" t="s">
        <v>1622</v>
      </c>
      <c r="F519" s="384">
        <v>405000</v>
      </c>
      <c r="G519" s="270">
        <v>190513098</v>
      </c>
      <c r="H519" s="270"/>
    </row>
    <row r="520" spans="1:8" x14ac:dyDescent="0.25">
      <c r="A520" s="257">
        <v>522</v>
      </c>
      <c r="B520" s="267">
        <v>519</v>
      </c>
      <c r="C520" s="268" t="s">
        <v>2373</v>
      </c>
      <c r="D520" s="269">
        <v>41752</v>
      </c>
      <c r="E520" s="270" t="s">
        <v>894</v>
      </c>
      <c r="F520" s="384">
        <v>405000</v>
      </c>
      <c r="G520" s="270">
        <v>191077280</v>
      </c>
      <c r="H520" s="270"/>
    </row>
    <row r="521" spans="1:8" x14ac:dyDescent="0.25">
      <c r="A521" s="257">
        <v>523</v>
      </c>
      <c r="B521" s="267">
        <v>520</v>
      </c>
      <c r="C521" s="268" t="s">
        <v>2645</v>
      </c>
      <c r="D521" s="269">
        <v>41752</v>
      </c>
      <c r="E521" s="270" t="s">
        <v>239</v>
      </c>
      <c r="F521" s="384">
        <v>405000</v>
      </c>
      <c r="G521" s="270">
        <v>101139097</v>
      </c>
      <c r="H521" s="270"/>
    </row>
    <row r="522" spans="1:8" x14ac:dyDescent="0.25">
      <c r="A522" s="257">
        <v>524</v>
      </c>
      <c r="B522" s="267">
        <v>521</v>
      </c>
      <c r="C522" s="268" t="s">
        <v>2645</v>
      </c>
      <c r="D522" s="269">
        <v>41752</v>
      </c>
      <c r="E522" s="270" t="s">
        <v>239</v>
      </c>
      <c r="F522" s="384">
        <v>405000</v>
      </c>
      <c r="G522" s="270">
        <v>101139097</v>
      </c>
      <c r="H522" s="270"/>
    </row>
    <row r="523" spans="1:8" x14ac:dyDescent="0.25">
      <c r="A523" s="257">
        <v>525</v>
      </c>
      <c r="B523" s="267">
        <v>522</v>
      </c>
      <c r="C523" s="268" t="s">
        <v>2645</v>
      </c>
      <c r="D523" s="269">
        <v>41752</v>
      </c>
      <c r="E523" s="270" t="s">
        <v>239</v>
      </c>
      <c r="F523" s="384">
        <v>810000</v>
      </c>
      <c r="G523" s="270">
        <v>101139097</v>
      </c>
      <c r="H523" s="270"/>
    </row>
    <row r="524" spans="1:8" x14ac:dyDescent="0.25">
      <c r="A524" s="257">
        <v>526</v>
      </c>
      <c r="B524" s="267">
        <v>523</v>
      </c>
      <c r="C524" s="268" t="s">
        <v>325</v>
      </c>
      <c r="D524" s="269">
        <v>41752</v>
      </c>
      <c r="E524" s="270" t="s">
        <v>852</v>
      </c>
      <c r="F524" s="384">
        <v>5575000</v>
      </c>
      <c r="G524" s="270">
        <v>691301724</v>
      </c>
      <c r="H524" s="270"/>
    </row>
    <row r="525" spans="1:8" x14ac:dyDescent="0.25">
      <c r="A525" s="257">
        <v>527</v>
      </c>
      <c r="B525" s="267">
        <v>524</v>
      </c>
      <c r="C525" s="268" t="s">
        <v>2828</v>
      </c>
      <c r="D525" s="269">
        <v>41752</v>
      </c>
      <c r="E525" s="270" t="s">
        <v>892</v>
      </c>
      <c r="F525" s="384">
        <v>300000</v>
      </c>
      <c r="G525" s="270">
        <v>100390954</v>
      </c>
      <c r="H525" s="270"/>
    </row>
    <row r="526" spans="1:8" x14ac:dyDescent="0.25">
      <c r="A526" s="257">
        <v>528</v>
      </c>
      <c r="B526" s="267">
        <v>525</v>
      </c>
      <c r="C526" s="268" t="s">
        <v>2865</v>
      </c>
      <c r="D526" s="269">
        <v>41752</v>
      </c>
      <c r="E526" s="270" t="s">
        <v>2625</v>
      </c>
      <c r="F526" s="384">
        <v>260000</v>
      </c>
      <c r="G526" s="270">
        <v>101148779</v>
      </c>
      <c r="H526" s="270"/>
    </row>
    <row r="527" spans="1:8" x14ac:dyDescent="0.25">
      <c r="A527" s="257">
        <v>529</v>
      </c>
      <c r="B527" s="267">
        <v>526</v>
      </c>
      <c r="C527" s="268" t="s">
        <v>262</v>
      </c>
      <c r="D527" s="269">
        <v>41752</v>
      </c>
      <c r="E527" s="270" t="s">
        <v>927</v>
      </c>
      <c r="F527" s="384">
        <v>150000</v>
      </c>
      <c r="G527" s="270">
        <v>190454318</v>
      </c>
      <c r="H527" s="270"/>
    </row>
    <row r="528" spans="1:8" x14ac:dyDescent="0.25">
      <c r="A528" s="257">
        <v>530</v>
      </c>
      <c r="B528" s="267">
        <v>527</v>
      </c>
      <c r="C528" s="268" t="s">
        <v>3133</v>
      </c>
      <c r="D528" s="269">
        <v>41752</v>
      </c>
      <c r="E528" s="270" t="s">
        <v>3587</v>
      </c>
      <c r="F528" s="384">
        <v>223000</v>
      </c>
      <c r="G528" s="270">
        <v>101254783</v>
      </c>
      <c r="H528" s="270"/>
    </row>
    <row r="529" spans="1:8" x14ac:dyDescent="0.25">
      <c r="A529" s="257">
        <v>531</v>
      </c>
      <c r="B529" s="267">
        <v>528</v>
      </c>
      <c r="C529" s="268" t="s">
        <v>2373</v>
      </c>
      <c r="D529" s="269">
        <v>41753</v>
      </c>
      <c r="E529" s="270" t="s">
        <v>894</v>
      </c>
      <c r="F529" s="384">
        <v>34000</v>
      </c>
      <c r="G529" s="270">
        <v>191077280</v>
      </c>
      <c r="H529" s="270"/>
    </row>
    <row r="530" spans="1:8" x14ac:dyDescent="0.25">
      <c r="A530" s="257">
        <v>532</v>
      </c>
      <c r="B530" s="267">
        <v>529</v>
      </c>
      <c r="C530" s="268" t="s">
        <v>3302</v>
      </c>
      <c r="D530" s="269">
        <v>41753</v>
      </c>
      <c r="E530" s="270" t="s">
        <v>1529</v>
      </c>
      <c r="F530" s="384">
        <v>29000</v>
      </c>
      <c r="G530" s="270">
        <v>600125079</v>
      </c>
      <c r="H530" s="270"/>
    </row>
    <row r="531" spans="1:8" x14ac:dyDescent="0.25">
      <c r="A531" s="257">
        <v>533</v>
      </c>
      <c r="B531" s="267">
        <v>530</v>
      </c>
      <c r="C531" s="268" t="s">
        <v>2765</v>
      </c>
      <c r="D531" s="269">
        <v>41753</v>
      </c>
      <c r="E531" s="270" t="s">
        <v>801</v>
      </c>
      <c r="F531" s="384">
        <v>405000</v>
      </c>
      <c r="G531" s="270">
        <v>691420768</v>
      </c>
      <c r="H531" s="270"/>
    </row>
    <row r="532" spans="1:8" x14ac:dyDescent="0.25">
      <c r="A532" s="257">
        <v>534</v>
      </c>
      <c r="B532" s="267">
        <v>531</v>
      </c>
      <c r="C532" s="268" t="s">
        <v>3294</v>
      </c>
      <c r="D532" s="269">
        <v>41753</v>
      </c>
      <c r="E532" s="270" t="s">
        <v>19</v>
      </c>
      <c r="F532" s="384">
        <v>405000</v>
      </c>
      <c r="G532" s="270">
        <v>100955538</v>
      </c>
      <c r="H532" s="270"/>
    </row>
    <row r="533" spans="1:8" x14ac:dyDescent="0.25">
      <c r="A533" s="257">
        <v>535</v>
      </c>
      <c r="B533" s="267">
        <v>532</v>
      </c>
      <c r="C533" s="268" t="s">
        <v>3302</v>
      </c>
      <c r="D533" s="269">
        <v>41753</v>
      </c>
      <c r="E533" s="270" t="s">
        <v>1529</v>
      </c>
      <c r="F533" s="384">
        <v>260000</v>
      </c>
      <c r="G533" s="270">
        <v>600125079</v>
      </c>
      <c r="H533" s="270"/>
    </row>
    <row r="534" spans="1:8" x14ac:dyDescent="0.25">
      <c r="A534" s="257">
        <v>536</v>
      </c>
      <c r="B534" s="267">
        <v>533</v>
      </c>
      <c r="C534" s="268" t="s">
        <v>963</v>
      </c>
      <c r="D534" s="269">
        <v>41753</v>
      </c>
      <c r="E534" s="270" t="s">
        <v>890</v>
      </c>
      <c r="F534" s="384">
        <v>93000</v>
      </c>
      <c r="G534" s="270">
        <v>190774241</v>
      </c>
      <c r="H534" s="270"/>
    </row>
    <row r="535" spans="1:8" x14ac:dyDescent="0.25">
      <c r="A535" s="257">
        <v>537</v>
      </c>
      <c r="B535" s="267">
        <v>534</v>
      </c>
      <c r="C535" s="268" t="s">
        <v>3625</v>
      </c>
      <c r="D535" s="269">
        <v>41753</v>
      </c>
      <c r="E535" s="270" t="s">
        <v>48</v>
      </c>
      <c r="F535" s="384">
        <v>186000</v>
      </c>
      <c r="G535" s="270">
        <v>100811754</v>
      </c>
      <c r="H535" s="270"/>
    </row>
    <row r="536" spans="1:8" x14ac:dyDescent="0.25">
      <c r="A536" s="257">
        <v>538</v>
      </c>
      <c r="B536" s="267">
        <v>535</v>
      </c>
      <c r="C536" s="268" t="s">
        <v>1826</v>
      </c>
      <c r="D536" s="269">
        <v>41753</v>
      </c>
      <c r="E536" s="270" t="s">
        <v>2424</v>
      </c>
      <c r="F536" s="384">
        <v>405000</v>
      </c>
      <c r="G536" s="270">
        <v>101326441</v>
      </c>
      <c r="H536" s="270"/>
    </row>
    <row r="537" spans="1:8" x14ac:dyDescent="0.25">
      <c r="A537" s="257">
        <v>539</v>
      </c>
      <c r="B537" s="267">
        <v>536</v>
      </c>
      <c r="C537" s="268" t="s">
        <v>61</v>
      </c>
      <c r="D537" s="269">
        <v>41754</v>
      </c>
      <c r="E537" s="270" t="s">
        <v>4210</v>
      </c>
      <c r="F537" s="384">
        <v>63000</v>
      </c>
      <c r="G537" s="270">
        <v>100093319</v>
      </c>
      <c r="H537" s="270"/>
    </row>
    <row r="538" spans="1:8" x14ac:dyDescent="0.25">
      <c r="A538" s="257">
        <v>540</v>
      </c>
      <c r="B538" s="267">
        <v>537</v>
      </c>
      <c r="C538" s="268" t="s">
        <v>61</v>
      </c>
      <c r="D538" s="269">
        <v>41754</v>
      </c>
      <c r="E538" s="270" t="s">
        <v>4210</v>
      </c>
      <c r="F538" s="384">
        <v>62000</v>
      </c>
      <c r="G538" s="270">
        <v>100093319</v>
      </c>
      <c r="H538" s="270"/>
    </row>
    <row r="539" spans="1:8" x14ac:dyDescent="0.25">
      <c r="A539" s="257">
        <v>541</v>
      </c>
      <c r="B539" s="267">
        <v>538</v>
      </c>
      <c r="C539" s="268" t="s">
        <v>3607</v>
      </c>
      <c r="D539" s="269">
        <v>41754</v>
      </c>
      <c r="E539" s="270" t="s">
        <v>3565</v>
      </c>
      <c r="F539" s="384">
        <v>186000</v>
      </c>
      <c r="G539" s="270">
        <v>100068501</v>
      </c>
      <c r="H539" s="270"/>
    </row>
    <row r="540" spans="1:8" x14ac:dyDescent="0.25">
      <c r="A540" s="257">
        <v>542</v>
      </c>
      <c r="B540" s="267">
        <v>539</v>
      </c>
      <c r="C540" s="268" t="s">
        <v>887</v>
      </c>
      <c r="D540" s="269">
        <v>41754</v>
      </c>
      <c r="E540" s="270" t="s">
        <v>2831</v>
      </c>
      <c r="F540" s="384">
        <v>145000</v>
      </c>
      <c r="G540" s="270">
        <v>191604225</v>
      </c>
      <c r="H540" s="270"/>
    </row>
    <row r="541" spans="1:8" x14ac:dyDescent="0.25">
      <c r="A541" s="257">
        <v>543</v>
      </c>
      <c r="B541" s="267">
        <v>540</v>
      </c>
      <c r="C541" s="268" t="s">
        <v>897</v>
      </c>
      <c r="D541" s="269">
        <v>41754</v>
      </c>
      <c r="E541" s="270" t="s">
        <v>1050</v>
      </c>
      <c r="F541" s="384">
        <v>186000</v>
      </c>
      <c r="G541" s="270">
        <v>190780314</v>
      </c>
      <c r="H541" s="270"/>
    </row>
    <row r="542" spans="1:8" x14ac:dyDescent="0.25">
      <c r="A542" s="257">
        <v>544</v>
      </c>
      <c r="B542" s="267">
        <v>541</v>
      </c>
      <c r="C542" s="268" t="s">
        <v>2645</v>
      </c>
      <c r="D542" s="269">
        <v>41754</v>
      </c>
      <c r="E542" s="270" t="s">
        <v>239</v>
      </c>
      <c r="F542" s="384">
        <v>405000</v>
      </c>
      <c r="G542" s="270">
        <v>101139097</v>
      </c>
      <c r="H542" s="270"/>
    </row>
    <row r="543" spans="1:8" x14ac:dyDescent="0.25">
      <c r="A543" s="257">
        <v>545</v>
      </c>
      <c r="B543" s="267">
        <v>542</v>
      </c>
      <c r="C543" s="268" t="s">
        <v>3570</v>
      </c>
      <c r="D543" s="269">
        <v>41754</v>
      </c>
      <c r="E543" s="270" t="s">
        <v>3537</v>
      </c>
      <c r="F543" s="384">
        <v>93000</v>
      </c>
      <c r="G543" s="270">
        <v>190496892</v>
      </c>
      <c r="H543" s="270"/>
    </row>
    <row r="544" spans="1:8" x14ac:dyDescent="0.25">
      <c r="A544" s="257">
        <v>546</v>
      </c>
      <c r="B544" s="267">
        <v>543</v>
      </c>
      <c r="C544" s="268" t="s">
        <v>3209</v>
      </c>
      <c r="D544" s="269">
        <v>41755</v>
      </c>
      <c r="E544" s="270" t="s">
        <v>309</v>
      </c>
      <c r="F544" s="384">
        <v>520000</v>
      </c>
      <c r="G544" s="270">
        <v>691072211</v>
      </c>
      <c r="H544" s="270"/>
    </row>
    <row r="545" spans="1:8" x14ac:dyDescent="0.25">
      <c r="A545" s="257">
        <v>547</v>
      </c>
      <c r="B545" s="267">
        <v>544</v>
      </c>
      <c r="C545" s="268" t="s">
        <v>2645</v>
      </c>
      <c r="D545" s="269">
        <v>41757</v>
      </c>
      <c r="E545" s="270" t="s">
        <v>239</v>
      </c>
      <c r="F545" s="384">
        <v>810000</v>
      </c>
      <c r="G545" s="270">
        <v>101139097</v>
      </c>
      <c r="H545" s="270"/>
    </row>
    <row r="546" spans="1:8" x14ac:dyDescent="0.25">
      <c r="A546" s="257">
        <v>548</v>
      </c>
      <c r="B546" s="267">
        <v>545</v>
      </c>
      <c r="C546" s="268" t="s">
        <v>386</v>
      </c>
      <c r="D546" s="269">
        <v>41757</v>
      </c>
      <c r="E546" s="270" t="s">
        <v>1951</v>
      </c>
      <c r="F546" s="384">
        <v>160000</v>
      </c>
      <c r="G546" s="270">
        <v>400424686</v>
      </c>
      <c r="H546" s="270"/>
    </row>
    <row r="547" spans="1:8" x14ac:dyDescent="0.25">
      <c r="A547" s="257">
        <v>549</v>
      </c>
      <c r="B547" s="267">
        <v>546</v>
      </c>
      <c r="C547" s="268" t="s">
        <v>196</v>
      </c>
      <c r="D547" s="269">
        <v>41757</v>
      </c>
      <c r="E547" s="270" t="s">
        <v>3110</v>
      </c>
      <c r="F547" s="384">
        <v>405000</v>
      </c>
      <c r="G547" s="270">
        <v>101538513</v>
      </c>
      <c r="H547" s="270"/>
    </row>
    <row r="548" spans="1:8" x14ac:dyDescent="0.25">
      <c r="A548" s="257">
        <v>550</v>
      </c>
      <c r="B548" s="267">
        <v>547</v>
      </c>
      <c r="C548" s="268" t="s">
        <v>1658</v>
      </c>
      <c r="D548" s="269">
        <v>41757</v>
      </c>
      <c r="E548" s="270" t="s">
        <v>825</v>
      </c>
      <c r="F548" s="384">
        <v>405000</v>
      </c>
      <c r="G548" s="270">
        <v>100951254</v>
      </c>
      <c r="H548" s="270"/>
    </row>
    <row r="549" spans="1:8" x14ac:dyDescent="0.25">
      <c r="A549" s="257">
        <v>551</v>
      </c>
      <c r="B549" s="267">
        <v>548</v>
      </c>
      <c r="C549" s="268" t="s">
        <v>708</v>
      </c>
      <c r="D549" s="269">
        <v>41757</v>
      </c>
      <c r="E549" s="270" t="s">
        <v>2731</v>
      </c>
      <c r="F549" s="384">
        <v>405000</v>
      </c>
      <c r="G549" s="270">
        <v>190999368</v>
      </c>
      <c r="H549" s="270"/>
    </row>
    <row r="550" spans="1:8" x14ac:dyDescent="0.25">
      <c r="A550" s="257">
        <v>552</v>
      </c>
      <c r="B550" s="267">
        <v>549</v>
      </c>
      <c r="C550" s="268" t="s">
        <v>2036</v>
      </c>
      <c r="D550" s="269">
        <v>41761</v>
      </c>
      <c r="E550" s="270" t="s">
        <v>3594</v>
      </c>
      <c r="F550" s="384">
        <v>405000</v>
      </c>
      <c r="G550" s="270">
        <v>190882802</v>
      </c>
      <c r="H550" s="270"/>
    </row>
    <row r="551" spans="1:8" x14ac:dyDescent="0.25">
      <c r="A551" s="257">
        <v>553</v>
      </c>
      <c r="B551" s="267">
        <v>550</v>
      </c>
      <c r="C551" s="268" t="s">
        <v>2751</v>
      </c>
      <c r="D551" s="269">
        <v>41761</v>
      </c>
      <c r="E551" s="270" t="s">
        <v>1695</v>
      </c>
      <c r="F551" s="384">
        <v>260000</v>
      </c>
      <c r="G551" s="270">
        <v>100025732</v>
      </c>
      <c r="H551" s="270"/>
    </row>
    <row r="552" spans="1:8" x14ac:dyDescent="0.25">
      <c r="A552" s="257">
        <v>554</v>
      </c>
      <c r="B552" s="267">
        <v>551</v>
      </c>
      <c r="C552" s="268" t="s">
        <v>2416</v>
      </c>
      <c r="D552" s="269">
        <v>41761</v>
      </c>
      <c r="E552" s="270" t="s">
        <v>521</v>
      </c>
      <c r="F552" s="384">
        <v>280000</v>
      </c>
      <c r="G552" s="270">
        <v>800012777</v>
      </c>
      <c r="H552" s="270"/>
    </row>
    <row r="553" spans="1:8" x14ac:dyDescent="0.25">
      <c r="A553" s="257">
        <v>555</v>
      </c>
      <c r="B553" s="267">
        <v>552</v>
      </c>
      <c r="C553" s="268" t="s">
        <v>2822</v>
      </c>
      <c r="D553" s="269">
        <v>41761</v>
      </c>
      <c r="E553" s="270" t="s">
        <v>2769</v>
      </c>
      <c r="F553" s="384">
        <v>370000</v>
      </c>
      <c r="G553" s="270">
        <v>191516278</v>
      </c>
      <c r="H553" s="270"/>
    </row>
    <row r="554" spans="1:8" x14ac:dyDescent="0.25">
      <c r="A554" s="257">
        <v>556</v>
      </c>
      <c r="B554" s="267">
        <v>553</v>
      </c>
      <c r="C554" s="268" t="s">
        <v>2360</v>
      </c>
      <c r="D554" s="269">
        <v>41761</v>
      </c>
      <c r="E554" s="270" t="s">
        <v>1807</v>
      </c>
      <c r="F554" s="384">
        <v>200000</v>
      </c>
      <c r="G554" s="270">
        <v>101277625</v>
      </c>
      <c r="H554" s="270"/>
    </row>
    <row r="555" spans="1:8" x14ac:dyDescent="0.25">
      <c r="A555" s="257">
        <v>557</v>
      </c>
      <c r="B555" s="267">
        <v>554</v>
      </c>
      <c r="C555" s="268" t="s">
        <v>159</v>
      </c>
      <c r="D555" s="269">
        <v>41761</v>
      </c>
      <c r="E555" s="270" t="s">
        <v>1684</v>
      </c>
      <c r="F555" s="384">
        <v>405000</v>
      </c>
      <c r="G555" s="270">
        <v>100819821</v>
      </c>
      <c r="H555" s="270"/>
    </row>
    <row r="556" spans="1:8" x14ac:dyDescent="0.25">
      <c r="A556" s="257">
        <v>558</v>
      </c>
      <c r="B556" s="267">
        <v>555</v>
      </c>
      <c r="C556" s="268" t="s">
        <v>2645</v>
      </c>
      <c r="D556" s="269">
        <v>41761</v>
      </c>
      <c r="E556" s="270" t="s">
        <v>239</v>
      </c>
      <c r="F556" s="384">
        <v>810000</v>
      </c>
      <c r="G556" s="270">
        <v>101139097</v>
      </c>
      <c r="H556" s="270"/>
    </row>
    <row r="557" spans="1:8" x14ac:dyDescent="0.25">
      <c r="A557" s="257">
        <v>559</v>
      </c>
      <c r="B557" s="267">
        <v>556</v>
      </c>
      <c r="C557" s="268" t="s">
        <v>2645</v>
      </c>
      <c r="D557" s="269">
        <v>41761</v>
      </c>
      <c r="E557" s="270" t="s">
        <v>239</v>
      </c>
      <c r="F557" s="384">
        <v>59000</v>
      </c>
      <c r="G557" s="270">
        <v>101139097</v>
      </c>
      <c r="H557" s="270"/>
    </row>
    <row r="558" spans="1:8" x14ac:dyDescent="0.25">
      <c r="A558" s="257">
        <v>560</v>
      </c>
      <c r="B558" s="267">
        <v>557</v>
      </c>
      <c r="C558" s="268" t="s">
        <v>2880</v>
      </c>
      <c r="D558" s="269">
        <v>41761</v>
      </c>
      <c r="E558" s="270" t="s">
        <v>2657</v>
      </c>
      <c r="F558" s="384">
        <v>405000</v>
      </c>
      <c r="G558" s="270">
        <v>691468740</v>
      </c>
      <c r="H558" s="270"/>
    </row>
    <row r="559" spans="1:8" x14ac:dyDescent="0.25">
      <c r="A559" s="257">
        <v>561</v>
      </c>
      <c r="B559" s="267">
        <v>558</v>
      </c>
      <c r="C559" s="268" t="s">
        <v>2828</v>
      </c>
      <c r="D559" s="269">
        <v>41762</v>
      </c>
      <c r="E559" s="270" t="s">
        <v>892</v>
      </c>
      <c r="F559" s="384">
        <v>59000</v>
      </c>
      <c r="G559" s="270">
        <v>100390954</v>
      </c>
      <c r="H559" s="270"/>
    </row>
    <row r="560" spans="1:8" x14ac:dyDescent="0.25">
      <c r="A560" s="257">
        <v>562</v>
      </c>
      <c r="B560" s="267">
        <v>559</v>
      </c>
      <c r="C560" s="268" t="s">
        <v>1666</v>
      </c>
      <c r="D560" s="269">
        <v>41762</v>
      </c>
      <c r="E560" s="270" t="s">
        <v>2073</v>
      </c>
      <c r="F560" s="384">
        <v>405000</v>
      </c>
      <c r="G560" s="270">
        <v>390286295</v>
      </c>
      <c r="H560" s="270"/>
    </row>
    <row r="561" spans="1:8" x14ac:dyDescent="0.25">
      <c r="A561" s="257">
        <v>563</v>
      </c>
      <c r="B561" s="267">
        <v>560</v>
      </c>
      <c r="C561" s="268" t="s">
        <v>2437</v>
      </c>
      <c r="D561" s="269">
        <v>41762</v>
      </c>
      <c r="E561" s="270" t="s">
        <v>3584</v>
      </c>
      <c r="F561" s="384">
        <v>368000</v>
      </c>
      <c r="G561" s="270">
        <v>100297330</v>
      </c>
      <c r="H561" s="270"/>
    </row>
    <row r="562" spans="1:8" x14ac:dyDescent="0.25">
      <c r="A562" s="257">
        <v>564</v>
      </c>
      <c r="B562" s="267">
        <v>561</v>
      </c>
      <c r="C562" s="268" t="s">
        <v>128</v>
      </c>
      <c r="D562" s="269">
        <v>41762</v>
      </c>
      <c r="E562" s="270" t="s">
        <v>3259</v>
      </c>
      <c r="F562" s="384">
        <v>223000</v>
      </c>
      <c r="G562" s="270">
        <v>190904186</v>
      </c>
      <c r="H562" s="270"/>
    </row>
    <row r="563" spans="1:8" x14ac:dyDescent="0.25">
      <c r="A563" s="257">
        <v>565</v>
      </c>
      <c r="B563" s="267">
        <v>562</v>
      </c>
      <c r="C563" s="268" t="s">
        <v>684</v>
      </c>
      <c r="D563" s="269">
        <v>41763</v>
      </c>
      <c r="E563" s="270" t="s">
        <v>1107</v>
      </c>
      <c r="F563" s="384">
        <v>405000</v>
      </c>
      <c r="G563" s="270">
        <v>190834982</v>
      </c>
      <c r="H563" s="270"/>
    </row>
    <row r="564" spans="1:8" x14ac:dyDescent="0.25">
      <c r="A564" s="257">
        <v>566</v>
      </c>
      <c r="B564" s="267">
        <v>563</v>
      </c>
      <c r="C564" s="268" t="s">
        <v>2444</v>
      </c>
      <c r="D564" s="269">
        <v>41764</v>
      </c>
      <c r="E564" s="270" t="s">
        <v>2631</v>
      </c>
      <c r="F564" s="384">
        <v>223000</v>
      </c>
      <c r="G564" s="270">
        <v>100008077</v>
      </c>
      <c r="H564" s="270"/>
    </row>
    <row r="565" spans="1:8" x14ac:dyDescent="0.25">
      <c r="A565" s="257">
        <v>567</v>
      </c>
      <c r="B565" s="267">
        <v>564</v>
      </c>
      <c r="C565" s="268" t="s">
        <v>2828</v>
      </c>
      <c r="D565" s="269">
        <v>41764</v>
      </c>
      <c r="E565" s="270" t="s">
        <v>892</v>
      </c>
      <c r="F565" s="384">
        <v>57000</v>
      </c>
      <c r="G565" s="270">
        <v>100390954</v>
      </c>
      <c r="H565" s="270"/>
    </row>
    <row r="566" spans="1:8" x14ac:dyDescent="0.25">
      <c r="A566" s="257">
        <v>568</v>
      </c>
      <c r="B566" s="267">
        <v>565</v>
      </c>
      <c r="C566" s="268" t="s">
        <v>2143</v>
      </c>
      <c r="D566" s="269">
        <v>41764</v>
      </c>
      <c r="E566" s="270" t="s">
        <v>1927</v>
      </c>
      <c r="F566" s="384">
        <v>1031000</v>
      </c>
      <c r="G566" s="270">
        <v>190032958</v>
      </c>
      <c r="H566" s="270"/>
    </row>
    <row r="567" spans="1:8" x14ac:dyDescent="0.25">
      <c r="A567" s="257">
        <v>569</v>
      </c>
      <c r="B567" s="267">
        <v>566</v>
      </c>
      <c r="C567" s="268" t="s">
        <v>3302</v>
      </c>
      <c r="D567" s="269">
        <v>41764</v>
      </c>
      <c r="E567" s="270" t="s">
        <v>1529</v>
      </c>
      <c r="F567" s="384">
        <v>93000</v>
      </c>
      <c r="G567" s="270">
        <v>600125079</v>
      </c>
      <c r="H567" s="270"/>
    </row>
    <row r="568" spans="1:8" x14ac:dyDescent="0.25">
      <c r="A568" s="257">
        <v>570</v>
      </c>
      <c r="B568" s="267">
        <v>567</v>
      </c>
      <c r="C568" s="268" t="s">
        <v>949</v>
      </c>
      <c r="D568" s="269">
        <v>41764</v>
      </c>
      <c r="E568" s="270" t="s">
        <v>3772</v>
      </c>
      <c r="F568" s="384">
        <v>405000</v>
      </c>
      <c r="G568" s="270">
        <v>601070251</v>
      </c>
      <c r="H568" s="270"/>
    </row>
    <row r="569" spans="1:8" x14ac:dyDescent="0.25">
      <c r="A569" s="257">
        <v>571</v>
      </c>
      <c r="B569" s="267">
        <v>568</v>
      </c>
      <c r="C569" s="268" t="s">
        <v>923</v>
      </c>
      <c r="D569" s="269">
        <v>41764</v>
      </c>
      <c r="E569" s="270" t="s">
        <v>3492</v>
      </c>
      <c r="F569" s="384">
        <v>409000</v>
      </c>
      <c r="G569" s="270">
        <v>102345778</v>
      </c>
      <c r="H569" s="270"/>
    </row>
    <row r="570" spans="1:8" x14ac:dyDescent="0.25">
      <c r="A570" s="257">
        <v>572</v>
      </c>
      <c r="B570" s="267">
        <v>569</v>
      </c>
      <c r="C570" s="268" t="s">
        <v>1535</v>
      </c>
      <c r="D570" s="269">
        <v>41764</v>
      </c>
      <c r="E570" s="270" t="s">
        <v>3553</v>
      </c>
      <c r="F570" s="384">
        <v>260000</v>
      </c>
      <c r="G570" s="270">
        <v>191429855</v>
      </c>
      <c r="H570" s="270"/>
    </row>
    <row r="571" spans="1:8" x14ac:dyDescent="0.25">
      <c r="A571" s="257">
        <v>573</v>
      </c>
      <c r="B571" s="267">
        <v>570</v>
      </c>
      <c r="C571" s="268" t="s">
        <v>3734</v>
      </c>
      <c r="D571" s="269">
        <v>41764</v>
      </c>
      <c r="E571" s="270" t="s">
        <v>2358</v>
      </c>
      <c r="F571" s="384">
        <v>1215000</v>
      </c>
      <c r="G571" s="270">
        <v>800008903</v>
      </c>
      <c r="H571" s="270"/>
    </row>
    <row r="572" spans="1:8" x14ac:dyDescent="0.25">
      <c r="A572" s="257">
        <v>574</v>
      </c>
      <c r="B572" s="267">
        <v>571</v>
      </c>
      <c r="C572" s="268" t="s">
        <v>2618</v>
      </c>
      <c r="D572" s="269">
        <v>41764</v>
      </c>
      <c r="E572" s="270" t="s">
        <v>1622</v>
      </c>
      <c r="F572" s="384">
        <v>155000</v>
      </c>
      <c r="G572" s="270">
        <v>190513098</v>
      </c>
      <c r="H572" s="270"/>
    </row>
    <row r="573" spans="1:8" x14ac:dyDescent="0.25">
      <c r="A573" s="257">
        <v>575</v>
      </c>
      <c r="B573" s="267">
        <v>572</v>
      </c>
      <c r="C573" s="268" t="s">
        <v>3607</v>
      </c>
      <c r="D573" s="269">
        <v>41764</v>
      </c>
      <c r="E573" s="270" t="s">
        <v>3565</v>
      </c>
      <c r="F573" s="384">
        <v>59000</v>
      </c>
      <c r="G573" s="270">
        <v>100068501</v>
      </c>
      <c r="H573" s="270"/>
    </row>
    <row r="574" spans="1:8" x14ac:dyDescent="0.25">
      <c r="A574" s="257">
        <v>576</v>
      </c>
      <c r="B574" s="267">
        <v>573</v>
      </c>
      <c r="C574" s="268" t="s">
        <v>4234</v>
      </c>
      <c r="D574" s="269">
        <v>41764</v>
      </c>
      <c r="E574" s="270" t="s">
        <v>340</v>
      </c>
      <c r="F574" s="384">
        <v>810000</v>
      </c>
      <c r="G574" s="270">
        <v>190444477</v>
      </c>
      <c r="H574" s="270"/>
    </row>
    <row r="575" spans="1:8" x14ac:dyDescent="0.25">
      <c r="A575" s="257">
        <v>577</v>
      </c>
      <c r="B575" s="267">
        <v>574</v>
      </c>
      <c r="C575" s="268" t="s">
        <v>1941</v>
      </c>
      <c r="D575" s="269">
        <v>41765</v>
      </c>
      <c r="E575" s="270" t="s">
        <v>2871</v>
      </c>
      <c r="F575" s="384">
        <v>1040000</v>
      </c>
      <c r="G575" s="270">
        <v>101015738</v>
      </c>
      <c r="H575" s="270"/>
    </row>
    <row r="576" spans="1:8" x14ac:dyDescent="0.25">
      <c r="A576" s="257">
        <v>578</v>
      </c>
      <c r="B576" s="267">
        <v>575</v>
      </c>
      <c r="C576" s="268" t="s">
        <v>1805</v>
      </c>
      <c r="D576" s="269">
        <v>41765</v>
      </c>
      <c r="E576" s="270" t="s">
        <v>2840</v>
      </c>
      <c r="F576" s="384">
        <v>260000</v>
      </c>
      <c r="G576" s="270">
        <v>690642303</v>
      </c>
      <c r="H576" s="270"/>
    </row>
    <row r="577" spans="1:8" x14ac:dyDescent="0.25">
      <c r="A577" s="257">
        <v>579</v>
      </c>
      <c r="B577" s="267">
        <v>576</v>
      </c>
      <c r="C577" s="268" t="s">
        <v>262</v>
      </c>
      <c r="D577" s="269">
        <v>41765</v>
      </c>
      <c r="E577" s="270" t="s">
        <v>927</v>
      </c>
      <c r="F577" s="384">
        <v>150000</v>
      </c>
      <c r="G577" s="270">
        <v>190454318</v>
      </c>
      <c r="H577" s="270"/>
    </row>
    <row r="578" spans="1:8" x14ac:dyDescent="0.25">
      <c r="A578" s="257">
        <v>580</v>
      </c>
      <c r="B578" s="267">
        <v>577</v>
      </c>
      <c r="C578" s="268" t="s">
        <v>2750</v>
      </c>
      <c r="D578" s="269">
        <v>41765</v>
      </c>
      <c r="E578" s="270" t="s">
        <v>2968</v>
      </c>
      <c r="F578" s="384">
        <v>260000</v>
      </c>
      <c r="G578" s="270">
        <v>190832594</v>
      </c>
      <c r="H578" s="270"/>
    </row>
    <row r="579" spans="1:8" x14ac:dyDescent="0.25">
      <c r="A579" s="257">
        <v>581</v>
      </c>
      <c r="B579" s="267">
        <v>578</v>
      </c>
      <c r="C579" s="268" t="s">
        <v>1628</v>
      </c>
      <c r="D579" s="269">
        <v>41765</v>
      </c>
      <c r="E579" s="270" t="s">
        <v>2420</v>
      </c>
      <c r="F579" s="384">
        <v>2000000</v>
      </c>
      <c r="G579" s="270">
        <v>100315367</v>
      </c>
      <c r="H579" s="270"/>
    </row>
    <row r="580" spans="1:8" x14ac:dyDescent="0.25">
      <c r="A580" s="257">
        <v>582</v>
      </c>
      <c r="B580" s="267">
        <v>579</v>
      </c>
      <c r="C580" s="268" t="s">
        <v>1826</v>
      </c>
      <c r="D580" s="269">
        <v>41765</v>
      </c>
      <c r="E580" s="270" t="s">
        <v>2424</v>
      </c>
      <c r="F580" s="384">
        <v>59000</v>
      </c>
      <c r="G580" s="270">
        <v>101326441</v>
      </c>
      <c r="H580" s="270"/>
    </row>
    <row r="581" spans="1:8" x14ac:dyDescent="0.25">
      <c r="A581" s="257">
        <v>583</v>
      </c>
      <c r="B581" s="267">
        <v>580</v>
      </c>
      <c r="C581" s="268" t="s">
        <v>409</v>
      </c>
      <c r="D581" s="269">
        <v>41765</v>
      </c>
      <c r="E581" s="270" t="s">
        <v>3641</v>
      </c>
      <c r="F581" s="384">
        <v>223000</v>
      </c>
      <c r="G581" s="270">
        <v>690021737</v>
      </c>
      <c r="H581" s="270"/>
    </row>
    <row r="582" spans="1:8" x14ac:dyDescent="0.25">
      <c r="A582" s="257">
        <v>584</v>
      </c>
      <c r="B582" s="267">
        <v>581</v>
      </c>
      <c r="C582" s="268" t="s">
        <v>923</v>
      </c>
      <c r="D582" s="269">
        <v>41765</v>
      </c>
      <c r="E582" s="270" t="s">
        <v>3492</v>
      </c>
      <c r="F582" s="384">
        <v>59000</v>
      </c>
      <c r="G582" s="270">
        <v>102345778</v>
      </c>
      <c r="H582" s="270"/>
    </row>
    <row r="583" spans="1:8" x14ac:dyDescent="0.25">
      <c r="A583" s="257">
        <v>585</v>
      </c>
      <c r="B583" s="267">
        <v>582</v>
      </c>
      <c r="C583" s="268" t="s">
        <v>870</v>
      </c>
      <c r="D583" s="269">
        <v>41765</v>
      </c>
      <c r="E583" s="270" t="s">
        <v>428</v>
      </c>
      <c r="F583" s="384">
        <v>336000</v>
      </c>
      <c r="G583" s="270">
        <v>100783448</v>
      </c>
      <c r="H583" s="270"/>
    </row>
    <row r="584" spans="1:8" x14ac:dyDescent="0.25">
      <c r="A584" s="257">
        <v>586</v>
      </c>
      <c r="B584" s="267">
        <v>583</v>
      </c>
      <c r="C584" s="268" t="s">
        <v>2821</v>
      </c>
      <c r="D584" s="269">
        <v>41765</v>
      </c>
      <c r="E584" s="270" t="s">
        <v>999</v>
      </c>
      <c r="F584" s="384">
        <v>260000</v>
      </c>
      <c r="G584" s="270">
        <v>691530170</v>
      </c>
      <c r="H584" s="270"/>
    </row>
    <row r="585" spans="1:8" x14ac:dyDescent="0.25">
      <c r="A585" s="257">
        <v>587</v>
      </c>
      <c r="B585" s="267">
        <v>584</v>
      </c>
      <c r="C585" s="268" t="s">
        <v>2963</v>
      </c>
      <c r="D585" s="269">
        <v>41765</v>
      </c>
      <c r="E585" s="270" t="s">
        <v>220</v>
      </c>
      <c r="F585" s="384">
        <v>758000</v>
      </c>
      <c r="G585" s="270">
        <v>100230496</v>
      </c>
      <c r="H585" s="270"/>
    </row>
    <row r="586" spans="1:8" x14ac:dyDescent="0.25">
      <c r="A586" s="257">
        <v>588</v>
      </c>
      <c r="B586" s="267">
        <v>585</v>
      </c>
      <c r="C586" s="268" t="s">
        <v>949</v>
      </c>
      <c r="D586" s="269">
        <v>41766</v>
      </c>
      <c r="E586" s="270" t="s">
        <v>3772</v>
      </c>
      <c r="F586" s="384">
        <v>59000</v>
      </c>
      <c r="G586" s="270">
        <v>601070251</v>
      </c>
      <c r="H586" s="270"/>
    </row>
    <row r="587" spans="1:8" x14ac:dyDescent="0.25">
      <c r="A587" s="257">
        <v>589</v>
      </c>
      <c r="B587" s="267">
        <v>586</v>
      </c>
      <c r="C587" s="268" t="s">
        <v>2618</v>
      </c>
      <c r="D587" s="269">
        <v>41766</v>
      </c>
      <c r="E587" s="270" t="s">
        <v>1622</v>
      </c>
      <c r="F587" s="384">
        <v>260000</v>
      </c>
      <c r="G587" s="270">
        <v>190513098</v>
      </c>
      <c r="H587" s="270"/>
    </row>
    <row r="588" spans="1:8" x14ac:dyDescent="0.25">
      <c r="A588" s="257">
        <v>590</v>
      </c>
      <c r="B588" s="267">
        <v>587</v>
      </c>
      <c r="C588" s="268" t="s">
        <v>2618</v>
      </c>
      <c r="D588" s="269">
        <v>41766</v>
      </c>
      <c r="E588" s="270" t="s">
        <v>1622</v>
      </c>
      <c r="F588" s="384">
        <v>145000</v>
      </c>
      <c r="G588" s="270">
        <v>190513098</v>
      </c>
      <c r="H588" s="270"/>
    </row>
    <row r="589" spans="1:8" x14ac:dyDescent="0.25">
      <c r="A589" s="257">
        <v>591</v>
      </c>
      <c r="B589" s="267">
        <v>588</v>
      </c>
      <c r="C589" s="268" t="s">
        <v>2880</v>
      </c>
      <c r="D589" s="269">
        <v>41766</v>
      </c>
      <c r="E589" s="270" t="s">
        <v>2657</v>
      </c>
      <c r="F589" s="384">
        <v>122000</v>
      </c>
      <c r="G589" s="270">
        <v>691468740</v>
      </c>
      <c r="H589" s="270"/>
    </row>
    <row r="590" spans="1:8" x14ac:dyDescent="0.25">
      <c r="A590" s="257">
        <v>592</v>
      </c>
      <c r="B590" s="267">
        <v>589</v>
      </c>
      <c r="C590" s="268" t="s">
        <v>3253</v>
      </c>
      <c r="D590" s="269">
        <v>41766</v>
      </c>
      <c r="E590" s="270" t="s">
        <v>3631</v>
      </c>
      <c r="F590" s="384">
        <v>260000</v>
      </c>
      <c r="G590" s="270">
        <v>691380883</v>
      </c>
      <c r="H590" s="270"/>
    </row>
    <row r="591" spans="1:8" x14ac:dyDescent="0.25">
      <c r="A591" s="257">
        <v>593</v>
      </c>
      <c r="B591" s="267">
        <v>590</v>
      </c>
      <c r="C591" s="268" t="s">
        <v>1111</v>
      </c>
      <c r="D591" s="269">
        <v>41766</v>
      </c>
      <c r="E591" s="270" t="s">
        <v>1652</v>
      </c>
      <c r="F591" s="384">
        <v>405000</v>
      </c>
      <c r="G591" s="270">
        <v>101166739</v>
      </c>
      <c r="H591" s="270"/>
    </row>
    <row r="592" spans="1:8" x14ac:dyDescent="0.25">
      <c r="A592" s="257">
        <v>594</v>
      </c>
      <c r="B592" s="267">
        <v>591</v>
      </c>
      <c r="C592" s="268" t="s">
        <v>2636</v>
      </c>
      <c r="D592" s="269">
        <v>41766</v>
      </c>
      <c r="E592" s="270" t="s">
        <v>2441</v>
      </c>
      <c r="F592" s="384">
        <v>160000</v>
      </c>
      <c r="G592" s="270">
        <v>190829939</v>
      </c>
      <c r="H592" s="270"/>
    </row>
    <row r="593" spans="1:8" x14ac:dyDescent="0.25">
      <c r="A593" s="257">
        <v>595</v>
      </c>
      <c r="B593" s="267">
        <v>592</v>
      </c>
      <c r="C593" s="268" t="s">
        <v>2636</v>
      </c>
      <c r="D593" s="269">
        <v>41766</v>
      </c>
      <c r="E593" s="270" t="s">
        <v>2441</v>
      </c>
      <c r="F593" s="384">
        <v>150000</v>
      </c>
      <c r="G593" s="270">
        <v>190829939</v>
      </c>
      <c r="H593" s="270"/>
    </row>
    <row r="594" spans="1:8" x14ac:dyDescent="0.25">
      <c r="A594" s="257">
        <v>596</v>
      </c>
      <c r="B594" s="267">
        <v>593</v>
      </c>
      <c r="C594" s="268" t="s">
        <v>3279</v>
      </c>
      <c r="D594" s="269">
        <v>41766</v>
      </c>
      <c r="E594" s="270" t="s">
        <v>1933</v>
      </c>
      <c r="F594" s="384">
        <v>260000</v>
      </c>
      <c r="G594" s="270">
        <v>691451068</v>
      </c>
      <c r="H594" s="270"/>
    </row>
    <row r="595" spans="1:8" x14ac:dyDescent="0.25">
      <c r="A595" s="257">
        <v>597</v>
      </c>
      <c r="B595" s="267">
        <v>594</v>
      </c>
      <c r="C595" s="268" t="s">
        <v>3658</v>
      </c>
      <c r="D595" s="269">
        <v>41766</v>
      </c>
      <c r="E595" s="270" t="s">
        <v>3552</v>
      </c>
      <c r="F595" s="384">
        <v>405000</v>
      </c>
      <c r="G595" s="270">
        <v>191569368</v>
      </c>
      <c r="H595" s="270"/>
    </row>
    <row r="596" spans="1:8" x14ac:dyDescent="0.25">
      <c r="A596" s="257">
        <v>598</v>
      </c>
      <c r="B596" s="267">
        <v>595</v>
      </c>
      <c r="C596" s="268" t="s">
        <v>3550</v>
      </c>
      <c r="D596" s="269">
        <v>41766</v>
      </c>
      <c r="E596" s="270" t="s">
        <v>2676</v>
      </c>
      <c r="F596" s="384">
        <v>93000</v>
      </c>
      <c r="G596" s="270">
        <v>690594220</v>
      </c>
      <c r="H596" s="270"/>
    </row>
    <row r="597" spans="1:8" x14ac:dyDescent="0.25">
      <c r="A597" s="257">
        <v>599</v>
      </c>
      <c r="B597" s="267">
        <v>596</v>
      </c>
      <c r="C597" s="268" t="s">
        <v>925</v>
      </c>
      <c r="D597" s="269">
        <v>41766</v>
      </c>
      <c r="E597" s="270" t="s">
        <v>4217</v>
      </c>
      <c r="F597" s="384">
        <v>223000</v>
      </c>
      <c r="G597" s="270">
        <v>101090386</v>
      </c>
      <c r="H597" s="270"/>
    </row>
    <row r="598" spans="1:8" x14ac:dyDescent="0.25">
      <c r="A598" s="257">
        <v>600</v>
      </c>
      <c r="B598" s="267">
        <v>597</v>
      </c>
      <c r="C598" s="268" t="s">
        <v>949</v>
      </c>
      <c r="D598" s="269">
        <v>41767</v>
      </c>
      <c r="E598" s="270" t="s">
        <v>3772</v>
      </c>
      <c r="F598" s="384">
        <v>59000</v>
      </c>
      <c r="G598" s="270">
        <v>601070251</v>
      </c>
      <c r="H598" s="270"/>
    </row>
    <row r="599" spans="1:8" x14ac:dyDescent="0.25">
      <c r="A599" s="257">
        <v>601</v>
      </c>
      <c r="B599" s="267">
        <v>598</v>
      </c>
      <c r="C599" s="268" t="s">
        <v>1950</v>
      </c>
      <c r="D599" s="269">
        <v>41767</v>
      </c>
      <c r="E599" s="270" t="s">
        <v>3553</v>
      </c>
      <c r="F599" s="384">
        <v>186000</v>
      </c>
      <c r="G599" s="270">
        <v>191429855</v>
      </c>
      <c r="H599" s="270"/>
    </row>
    <row r="600" spans="1:8" x14ac:dyDescent="0.25">
      <c r="A600" s="257">
        <v>602</v>
      </c>
      <c r="B600" s="267">
        <v>599</v>
      </c>
      <c r="C600" s="268" t="s">
        <v>456</v>
      </c>
      <c r="D600" s="269">
        <v>41767</v>
      </c>
      <c r="E600" s="270" t="s">
        <v>2596</v>
      </c>
      <c r="F600" s="384">
        <v>150000</v>
      </c>
      <c r="G600" s="270">
        <v>101501567</v>
      </c>
      <c r="H600" s="270"/>
    </row>
    <row r="601" spans="1:8" x14ac:dyDescent="0.25">
      <c r="A601" s="257">
        <v>603</v>
      </c>
      <c r="B601" s="267">
        <v>600</v>
      </c>
      <c r="C601" s="268" t="s">
        <v>2618</v>
      </c>
      <c r="D601" s="269">
        <v>41767</v>
      </c>
      <c r="E601" s="270" t="s">
        <v>1622</v>
      </c>
      <c r="F601" s="384">
        <v>145000</v>
      </c>
      <c r="G601" s="270">
        <v>190513098</v>
      </c>
      <c r="H601" s="270"/>
    </row>
    <row r="602" spans="1:8" x14ac:dyDescent="0.25">
      <c r="A602" s="257">
        <v>604</v>
      </c>
      <c r="B602" s="267">
        <v>601</v>
      </c>
      <c r="C602" s="268" t="s">
        <v>2838</v>
      </c>
      <c r="D602" s="269">
        <v>41767</v>
      </c>
      <c r="E602" s="270" t="s">
        <v>351</v>
      </c>
      <c r="F602" s="384">
        <v>260000</v>
      </c>
      <c r="G602" s="270">
        <v>100687805</v>
      </c>
      <c r="H602" s="270"/>
    </row>
    <row r="603" spans="1:8" x14ac:dyDescent="0.25">
      <c r="A603" s="257">
        <v>605</v>
      </c>
      <c r="B603" s="267">
        <v>602</v>
      </c>
      <c r="C603" s="268" t="s">
        <v>375</v>
      </c>
      <c r="D603" s="269">
        <v>41767</v>
      </c>
      <c r="E603" s="270" t="s">
        <v>263</v>
      </c>
      <c r="F603" s="384">
        <v>405000</v>
      </c>
      <c r="G603" s="270">
        <v>600182119</v>
      </c>
      <c r="H603" s="270"/>
    </row>
    <row r="604" spans="1:8" x14ac:dyDescent="0.25">
      <c r="A604" s="257">
        <v>606</v>
      </c>
      <c r="B604" s="267">
        <v>603</v>
      </c>
      <c r="C604" s="268" t="s">
        <v>3759</v>
      </c>
      <c r="D604" s="269">
        <v>41767</v>
      </c>
      <c r="E604" s="270" t="s">
        <v>213</v>
      </c>
      <c r="F604" s="384">
        <v>405000</v>
      </c>
      <c r="G604" s="270">
        <v>691358784</v>
      </c>
      <c r="H604" s="270"/>
    </row>
    <row r="605" spans="1:8" x14ac:dyDescent="0.25">
      <c r="A605" s="257">
        <v>607</v>
      </c>
      <c r="B605" s="267">
        <v>604</v>
      </c>
      <c r="C605" s="268" t="s">
        <v>2645</v>
      </c>
      <c r="D605" s="269">
        <v>41769</v>
      </c>
      <c r="E605" s="270" t="s">
        <v>239</v>
      </c>
      <c r="F605" s="384">
        <v>810000</v>
      </c>
      <c r="G605" s="270">
        <v>101139097</v>
      </c>
      <c r="H605" s="270"/>
    </row>
    <row r="606" spans="1:8" x14ac:dyDescent="0.25">
      <c r="A606" s="257">
        <v>608</v>
      </c>
      <c r="B606" s="267">
        <v>605</v>
      </c>
      <c r="C606" s="268" t="s">
        <v>429</v>
      </c>
      <c r="D606" s="269">
        <v>41771</v>
      </c>
      <c r="E606" s="270" t="s">
        <v>816</v>
      </c>
      <c r="F606" s="384">
        <v>160000</v>
      </c>
      <c r="G606" s="270">
        <v>101225557</v>
      </c>
      <c r="H606" s="270"/>
    </row>
    <row r="607" spans="1:8" x14ac:dyDescent="0.25">
      <c r="A607" s="257">
        <v>609</v>
      </c>
      <c r="B607" s="267">
        <v>606</v>
      </c>
      <c r="C607" s="268" t="s">
        <v>337</v>
      </c>
      <c r="D607" s="269">
        <v>41771</v>
      </c>
      <c r="E607" s="270" t="s">
        <v>3580</v>
      </c>
      <c r="F607" s="384">
        <v>155000</v>
      </c>
      <c r="G607" s="270">
        <v>100863054</v>
      </c>
      <c r="H607" s="270"/>
    </row>
    <row r="608" spans="1:8" x14ac:dyDescent="0.25">
      <c r="A608" s="257">
        <v>610</v>
      </c>
      <c r="B608" s="267">
        <v>607</v>
      </c>
      <c r="C608" s="268" t="s">
        <v>3496</v>
      </c>
      <c r="D608" s="269">
        <v>41771</v>
      </c>
      <c r="E608" s="270" t="s">
        <v>203</v>
      </c>
      <c r="F608" s="384">
        <v>186000</v>
      </c>
      <c r="G608" s="270">
        <v>100183312</v>
      </c>
      <c r="H608" s="270"/>
    </row>
    <row r="609" spans="1:10" x14ac:dyDescent="0.25">
      <c r="A609" s="257">
        <v>611</v>
      </c>
      <c r="B609" s="267">
        <v>608</v>
      </c>
      <c r="C609" s="268" t="s">
        <v>2162</v>
      </c>
      <c r="D609" s="269">
        <v>41771</v>
      </c>
      <c r="E609" s="270" t="s">
        <v>3244</v>
      </c>
      <c r="F609" s="384">
        <v>59000</v>
      </c>
      <c r="G609" s="270">
        <v>600011780</v>
      </c>
      <c r="H609" s="270"/>
    </row>
    <row r="610" spans="1:10" x14ac:dyDescent="0.25">
      <c r="A610" s="257">
        <v>612</v>
      </c>
      <c r="B610" s="267">
        <v>609</v>
      </c>
      <c r="C610" s="268" t="s">
        <v>2864</v>
      </c>
      <c r="D610" s="269">
        <v>41771</v>
      </c>
      <c r="E610" s="270" t="s">
        <v>2456</v>
      </c>
      <c r="F610" s="384">
        <v>223000</v>
      </c>
      <c r="G610" s="270">
        <v>100039768</v>
      </c>
      <c r="H610" s="270"/>
    </row>
    <row r="611" spans="1:10" x14ac:dyDescent="0.25">
      <c r="A611" s="257">
        <v>613</v>
      </c>
      <c r="B611" s="267">
        <v>610</v>
      </c>
      <c r="C611" s="268" t="s">
        <v>2597</v>
      </c>
      <c r="D611" s="269">
        <v>41771</v>
      </c>
      <c r="E611" s="270" t="s">
        <v>1640</v>
      </c>
      <c r="F611" s="384">
        <v>2100000</v>
      </c>
      <c r="G611" s="270">
        <v>100262573</v>
      </c>
      <c r="H611" s="270"/>
    </row>
    <row r="612" spans="1:10" x14ac:dyDescent="0.25">
      <c r="A612" s="257">
        <v>614</v>
      </c>
      <c r="B612" s="267">
        <v>611</v>
      </c>
      <c r="C612" s="268" t="s">
        <v>429</v>
      </c>
      <c r="D612" s="269">
        <v>41771</v>
      </c>
      <c r="E612" s="270" t="s">
        <v>816</v>
      </c>
      <c r="F612" s="384">
        <v>150000</v>
      </c>
      <c r="G612" s="270">
        <v>101225557</v>
      </c>
      <c r="H612" s="270"/>
    </row>
    <row r="613" spans="1:10" x14ac:dyDescent="0.25">
      <c r="A613" s="257">
        <v>615</v>
      </c>
      <c r="B613" s="267">
        <v>612</v>
      </c>
      <c r="C613" s="268" t="s">
        <v>3748</v>
      </c>
      <c r="D613" s="269">
        <v>41771</v>
      </c>
      <c r="E613" s="270" t="s">
        <v>1788</v>
      </c>
      <c r="F613" s="384">
        <v>1226000</v>
      </c>
      <c r="G613" s="270">
        <v>800001327</v>
      </c>
      <c r="H613" s="270"/>
    </row>
    <row r="614" spans="1:10" x14ac:dyDescent="0.25">
      <c r="A614" s="257">
        <v>616</v>
      </c>
      <c r="B614" s="267">
        <v>613</v>
      </c>
      <c r="C614" s="268" t="s">
        <v>196</v>
      </c>
      <c r="D614" s="269">
        <v>41771</v>
      </c>
      <c r="E614" s="270" t="s">
        <v>3110</v>
      </c>
      <c r="F614" s="384">
        <v>405000</v>
      </c>
      <c r="G614" s="270">
        <v>101538513</v>
      </c>
      <c r="H614" s="270"/>
    </row>
    <row r="615" spans="1:10" x14ac:dyDescent="0.25">
      <c r="A615" s="257">
        <v>617</v>
      </c>
      <c r="B615" s="267">
        <v>614</v>
      </c>
      <c r="C615" s="268" t="s">
        <v>196</v>
      </c>
      <c r="D615" s="269">
        <v>41771</v>
      </c>
      <c r="E615" s="270" t="s">
        <v>3110</v>
      </c>
      <c r="F615" s="384">
        <v>405000</v>
      </c>
      <c r="G615" s="270">
        <v>101538513</v>
      </c>
      <c r="H615" s="270"/>
      <c r="J615" s="55" t="s">
        <v>3566</v>
      </c>
    </row>
    <row r="616" spans="1:10" x14ac:dyDescent="0.25">
      <c r="A616" s="257">
        <v>618</v>
      </c>
      <c r="B616" s="267">
        <v>615</v>
      </c>
      <c r="C616" s="268" t="s">
        <v>2377</v>
      </c>
      <c r="D616" s="269">
        <v>41771</v>
      </c>
      <c r="E616" s="270" t="s">
        <v>226</v>
      </c>
      <c r="F616" s="384">
        <v>1988000</v>
      </c>
      <c r="G616" s="270">
        <v>190654467</v>
      </c>
      <c r="H616" s="270"/>
    </row>
    <row r="617" spans="1:10" x14ac:dyDescent="0.25">
      <c r="A617" s="257">
        <v>619</v>
      </c>
      <c r="B617" s="267">
        <v>616</v>
      </c>
      <c r="C617" s="268" t="s">
        <v>2835</v>
      </c>
      <c r="D617" s="269">
        <v>41771</v>
      </c>
      <c r="E617" s="270" t="s">
        <v>2890</v>
      </c>
      <c r="F617" s="384">
        <v>186000</v>
      </c>
      <c r="G617" s="270">
        <v>690367172</v>
      </c>
      <c r="H617" s="270"/>
    </row>
    <row r="618" spans="1:10" x14ac:dyDescent="0.25">
      <c r="A618" s="257">
        <v>620</v>
      </c>
      <c r="B618" s="267">
        <v>617</v>
      </c>
      <c r="C618" s="268" t="s">
        <v>3864</v>
      </c>
      <c r="D618" s="269">
        <v>41772</v>
      </c>
      <c r="E618" s="270" t="s">
        <v>906</v>
      </c>
      <c r="F618" s="384">
        <v>223000</v>
      </c>
      <c r="G618" s="270">
        <v>100348119</v>
      </c>
      <c r="H618" s="270"/>
    </row>
    <row r="619" spans="1:10" x14ac:dyDescent="0.25">
      <c r="A619" s="257">
        <v>621</v>
      </c>
      <c r="B619" s="267">
        <v>618</v>
      </c>
      <c r="C619" s="268" t="s">
        <v>3533</v>
      </c>
      <c r="D619" s="269">
        <v>41772</v>
      </c>
      <c r="E619" s="270" t="s">
        <v>130</v>
      </c>
      <c r="F619" s="384">
        <v>186000</v>
      </c>
      <c r="G619" s="270">
        <v>191018748</v>
      </c>
      <c r="H619" s="270"/>
    </row>
    <row r="620" spans="1:10" x14ac:dyDescent="0.25">
      <c r="A620" s="257">
        <v>622</v>
      </c>
      <c r="B620" s="267">
        <v>619</v>
      </c>
      <c r="C620" s="268" t="s">
        <v>923</v>
      </c>
      <c r="D620" s="269">
        <v>41772</v>
      </c>
      <c r="E620" s="270" t="s">
        <v>3492</v>
      </c>
      <c r="F620" s="384">
        <v>58000</v>
      </c>
      <c r="G620" s="270">
        <v>102345778</v>
      </c>
      <c r="H620" s="270"/>
    </row>
    <row r="621" spans="1:10" x14ac:dyDescent="0.25">
      <c r="A621" s="257">
        <v>623</v>
      </c>
      <c r="B621" s="267">
        <v>620</v>
      </c>
      <c r="C621" s="268" t="s">
        <v>2377</v>
      </c>
      <c r="D621" s="269">
        <v>41772</v>
      </c>
      <c r="E621" s="270" t="s">
        <v>226</v>
      </c>
      <c r="F621" s="384">
        <v>405000</v>
      </c>
      <c r="G621" s="270">
        <v>190654467</v>
      </c>
      <c r="H621" s="270"/>
    </row>
    <row r="622" spans="1:10" x14ac:dyDescent="0.25">
      <c r="A622" s="257">
        <v>624</v>
      </c>
      <c r="B622" s="267">
        <v>621</v>
      </c>
      <c r="C622" s="268" t="s">
        <v>232</v>
      </c>
      <c r="D622" s="269">
        <v>41772</v>
      </c>
      <c r="E622" s="270" t="s">
        <v>3557</v>
      </c>
      <c r="F622" s="384">
        <v>6240000</v>
      </c>
      <c r="G622" s="270">
        <v>690019195</v>
      </c>
      <c r="H622" s="270"/>
    </row>
    <row r="623" spans="1:10" x14ac:dyDescent="0.25">
      <c r="A623" s="257">
        <v>625</v>
      </c>
      <c r="B623" s="267">
        <v>622</v>
      </c>
      <c r="C623" s="268" t="s">
        <v>2095</v>
      </c>
      <c r="D623" s="269">
        <v>41772</v>
      </c>
      <c r="E623" s="270" t="s">
        <v>2859</v>
      </c>
      <c r="F623" s="384">
        <v>780000</v>
      </c>
      <c r="G623" s="270">
        <v>100261801</v>
      </c>
      <c r="H623" s="270"/>
    </row>
    <row r="624" spans="1:10" x14ac:dyDescent="0.25">
      <c r="A624" s="257">
        <v>626</v>
      </c>
      <c r="B624" s="267">
        <v>623</v>
      </c>
      <c r="C624" s="268" t="s">
        <v>3273</v>
      </c>
      <c r="D624" s="269">
        <v>41772</v>
      </c>
      <c r="E624" s="270" t="s">
        <v>3742</v>
      </c>
      <c r="F624" s="384">
        <v>372000</v>
      </c>
      <c r="G624" s="270">
        <v>191332540</v>
      </c>
      <c r="H624" s="270"/>
    </row>
    <row r="625" spans="1:8" x14ac:dyDescent="0.25">
      <c r="A625" s="257">
        <v>627</v>
      </c>
      <c r="B625" s="267">
        <v>624</v>
      </c>
      <c r="C625" s="268" t="s">
        <v>3320</v>
      </c>
      <c r="D625" s="269">
        <v>41772</v>
      </c>
      <c r="E625" s="270" t="s">
        <v>3767</v>
      </c>
      <c r="F625" s="384">
        <v>186000</v>
      </c>
      <c r="G625" s="270">
        <v>190241081</v>
      </c>
      <c r="H625" s="270"/>
    </row>
    <row r="626" spans="1:8" x14ac:dyDescent="0.25">
      <c r="A626" s="257">
        <v>628</v>
      </c>
      <c r="B626" s="267">
        <v>625</v>
      </c>
      <c r="C626" s="268" t="s">
        <v>175</v>
      </c>
      <c r="D626" s="269">
        <v>41772</v>
      </c>
      <c r="E626" s="270" t="s">
        <v>2603</v>
      </c>
      <c r="F626" s="384">
        <v>260000</v>
      </c>
      <c r="G626" s="270">
        <v>190074151</v>
      </c>
      <c r="H626" s="270"/>
    </row>
    <row r="627" spans="1:8" x14ac:dyDescent="0.25">
      <c r="A627" s="257">
        <v>629</v>
      </c>
      <c r="B627" s="267">
        <v>626</v>
      </c>
      <c r="C627" s="268" t="s">
        <v>1131</v>
      </c>
      <c r="D627" s="269">
        <v>41773</v>
      </c>
      <c r="E627" s="270" t="s">
        <v>332</v>
      </c>
      <c r="F627" s="384">
        <v>160000</v>
      </c>
      <c r="G627" s="270">
        <v>600004178</v>
      </c>
      <c r="H627" s="270"/>
    </row>
    <row r="628" spans="1:8" x14ac:dyDescent="0.25">
      <c r="A628" s="257">
        <v>630</v>
      </c>
      <c r="B628" s="267">
        <v>627</v>
      </c>
      <c r="C628" s="268" t="s">
        <v>73</v>
      </c>
      <c r="D628" s="269">
        <v>41773</v>
      </c>
      <c r="E628" s="270" t="s">
        <v>2782</v>
      </c>
      <c r="F628" s="384">
        <v>780000</v>
      </c>
      <c r="G628" s="270">
        <v>100023900</v>
      </c>
      <c r="H628" s="270"/>
    </row>
    <row r="629" spans="1:8" x14ac:dyDescent="0.25">
      <c r="A629" s="257">
        <v>631</v>
      </c>
      <c r="B629" s="267">
        <v>628</v>
      </c>
      <c r="C629" s="268" t="s">
        <v>2865</v>
      </c>
      <c r="D629" s="269">
        <v>41773</v>
      </c>
      <c r="E629" s="270" t="s">
        <v>2625</v>
      </c>
      <c r="F629" s="384">
        <v>59000</v>
      </c>
      <c r="G629" s="270">
        <v>101148779</v>
      </c>
      <c r="H629" s="270"/>
    </row>
    <row r="630" spans="1:8" x14ac:dyDescent="0.25">
      <c r="A630" s="257">
        <v>632</v>
      </c>
      <c r="B630" s="267">
        <v>629</v>
      </c>
      <c r="C630" s="268" t="s">
        <v>965</v>
      </c>
      <c r="D630" s="269">
        <v>41773</v>
      </c>
      <c r="E630" s="270" t="s">
        <v>3250</v>
      </c>
      <c r="F630" s="384">
        <v>405000</v>
      </c>
      <c r="G630" s="270">
        <v>191024359</v>
      </c>
      <c r="H630" s="270"/>
    </row>
    <row r="631" spans="1:8" x14ac:dyDescent="0.25">
      <c r="A631" s="257">
        <v>633</v>
      </c>
      <c r="B631" s="267">
        <v>630</v>
      </c>
      <c r="C631" s="268" t="s">
        <v>802</v>
      </c>
      <c r="D631" s="269">
        <v>41773</v>
      </c>
      <c r="E631" s="270" t="s">
        <v>1641</v>
      </c>
      <c r="F631" s="384">
        <v>7290000</v>
      </c>
      <c r="G631" s="270">
        <v>100135464</v>
      </c>
      <c r="H631" s="270"/>
    </row>
    <row r="632" spans="1:8" x14ac:dyDescent="0.25">
      <c r="A632" s="257">
        <v>634</v>
      </c>
      <c r="B632" s="267">
        <v>631</v>
      </c>
      <c r="C632" s="268" t="s">
        <v>2634</v>
      </c>
      <c r="D632" s="269">
        <v>41773</v>
      </c>
      <c r="E632" s="270" t="s">
        <v>1126</v>
      </c>
      <c r="F632" s="384">
        <v>446000</v>
      </c>
      <c r="G632" s="270">
        <v>101325710</v>
      </c>
      <c r="H632" s="270"/>
    </row>
    <row r="633" spans="1:8" x14ac:dyDescent="0.25">
      <c r="A633" s="257">
        <v>635</v>
      </c>
      <c r="B633" s="267">
        <v>632</v>
      </c>
      <c r="C633" s="268" t="s">
        <v>3734</v>
      </c>
      <c r="D633" s="269">
        <v>41773</v>
      </c>
      <c r="E633" s="270" t="s">
        <v>2358</v>
      </c>
      <c r="F633" s="384">
        <v>145000</v>
      </c>
      <c r="G633" s="270">
        <v>800008903</v>
      </c>
      <c r="H633" s="270"/>
    </row>
    <row r="634" spans="1:8" x14ac:dyDescent="0.25">
      <c r="A634" s="257">
        <v>636</v>
      </c>
      <c r="B634" s="267">
        <v>633</v>
      </c>
      <c r="C634" s="268" t="s">
        <v>904</v>
      </c>
      <c r="D634" s="269">
        <v>41774</v>
      </c>
      <c r="E634" s="270" t="s">
        <v>5</v>
      </c>
      <c r="F634" s="384">
        <v>155000</v>
      </c>
      <c r="G634" s="270">
        <v>100067717</v>
      </c>
      <c r="H634" s="270"/>
    </row>
    <row r="635" spans="1:8" x14ac:dyDescent="0.25">
      <c r="A635" s="257">
        <v>637</v>
      </c>
      <c r="B635" s="267">
        <v>634</v>
      </c>
      <c r="C635" s="268" t="s">
        <v>973</v>
      </c>
      <c r="D635" s="269">
        <v>41774</v>
      </c>
      <c r="E635" s="270" t="s">
        <v>2836</v>
      </c>
      <c r="F635" s="384">
        <v>186000</v>
      </c>
      <c r="G635" s="270">
        <v>691531562</v>
      </c>
      <c r="H635" s="270"/>
    </row>
    <row r="636" spans="1:8" x14ac:dyDescent="0.25">
      <c r="A636" s="257">
        <v>638</v>
      </c>
      <c r="B636" s="267">
        <v>635</v>
      </c>
      <c r="C636" s="268" t="s">
        <v>2645</v>
      </c>
      <c r="D636" s="269">
        <v>41774</v>
      </c>
      <c r="E636" s="270" t="s">
        <v>239</v>
      </c>
      <c r="F636" s="384">
        <v>810000</v>
      </c>
      <c r="G636" s="270">
        <v>101139097</v>
      </c>
      <c r="H636" s="270"/>
    </row>
    <row r="637" spans="1:8" x14ac:dyDescent="0.25">
      <c r="A637" s="257">
        <v>639</v>
      </c>
      <c r="B637" s="267">
        <v>636</v>
      </c>
      <c r="C637" s="268" t="s">
        <v>2645</v>
      </c>
      <c r="D637" s="269">
        <v>41774</v>
      </c>
      <c r="E637" s="270" t="s">
        <v>239</v>
      </c>
      <c r="F637" s="384">
        <v>59000</v>
      </c>
      <c r="G637" s="270">
        <v>101139097</v>
      </c>
      <c r="H637" s="270"/>
    </row>
    <row r="638" spans="1:8" x14ac:dyDescent="0.25">
      <c r="A638" s="257">
        <v>640</v>
      </c>
      <c r="B638" s="267">
        <v>637</v>
      </c>
      <c r="C638" s="268" t="s">
        <v>716</v>
      </c>
      <c r="D638" s="269">
        <v>41774</v>
      </c>
      <c r="E638" s="270" t="s">
        <v>728</v>
      </c>
      <c r="F638" s="384">
        <v>145000</v>
      </c>
      <c r="G638" s="270">
        <v>691130684</v>
      </c>
      <c r="H638" s="270"/>
    </row>
    <row r="639" spans="1:8" x14ac:dyDescent="0.25">
      <c r="A639" s="257">
        <v>641</v>
      </c>
      <c r="B639" s="267">
        <v>638</v>
      </c>
      <c r="C639" s="268" t="s">
        <v>3554</v>
      </c>
      <c r="D639" s="269">
        <v>41775</v>
      </c>
      <c r="E639" s="270" t="s">
        <v>3291</v>
      </c>
      <c r="F639" s="384">
        <v>223000</v>
      </c>
      <c r="G639" s="270">
        <v>100054851</v>
      </c>
      <c r="H639" s="270"/>
    </row>
    <row r="640" spans="1:8" x14ac:dyDescent="0.25">
      <c r="A640" s="257">
        <v>642</v>
      </c>
      <c r="B640" s="267">
        <v>639</v>
      </c>
      <c r="C640" s="268" t="s">
        <v>802</v>
      </c>
      <c r="D640" s="269">
        <v>41775</v>
      </c>
      <c r="E640" s="270" t="s">
        <v>1641</v>
      </c>
      <c r="F640" s="384">
        <v>6057000</v>
      </c>
      <c r="G640" s="270">
        <v>100135464</v>
      </c>
      <c r="H640" s="270"/>
    </row>
    <row r="641" spans="1:8" x14ac:dyDescent="0.25">
      <c r="A641" s="257">
        <v>643</v>
      </c>
      <c r="B641" s="267">
        <v>640</v>
      </c>
      <c r="C641" s="268" t="s">
        <v>2425</v>
      </c>
      <c r="D641" s="269">
        <v>41775</v>
      </c>
      <c r="E641" s="270" t="s">
        <v>2791</v>
      </c>
      <c r="F641" s="384">
        <v>223000</v>
      </c>
      <c r="G641" s="270">
        <v>100099572</v>
      </c>
      <c r="H641" s="270"/>
    </row>
    <row r="642" spans="1:8" x14ac:dyDescent="0.25">
      <c r="A642" s="257">
        <v>644</v>
      </c>
      <c r="B642" s="267">
        <v>641</v>
      </c>
      <c r="C642" s="268" t="s">
        <v>53</v>
      </c>
      <c r="D642" s="269">
        <v>41775</v>
      </c>
      <c r="E642" s="270" t="s">
        <v>893</v>
      </c>
      <c r="F642" s="384">
        <v>405000</v>
      </c>
      <c r="G642" s="270">
        <v>691535129</v>
      </c>
      <c r="H642" s="270"/>
    </row>
    <row r="643" spans="1:8" x14ac:dyDescent="0.25">
      <c r="A643" s="257">
        <v>645</v>
      </c>
      <c r="B643" s="267">
        <v>642</v>
      </c>
      <c r="C643" s="268" t="s">
        <v>2444</v>
      </c>
      <c r="D643" s="269">
        <v>41778</v>
      </c>
      <c r="E643" s="270" t="s">
        <v>2631</v>
      </c>
      <c r="F643" s="384">
        <v>186000</v>
      </c>
      <c r="G643" s="270">
        <v>100008077</v>
      </c>
      <c r="H643" s="270"/>
    </row>
    <row r="644" spans="1:8" x14ac:dyDescent="0.25">
      <c r="A644" s="257">
        <v>646</v>
      </c>
      <c r="B644" s="267">
        <v>643</v>
      </c>
      <c r="C644" s="268" t="s">
        <v>3554</v>
      </c>
      <c r="D644" s="269">
        <v>41778</v>
      </c>
      <c r="E644" s="270" t="s">
        <v>3291</v>
      </c>
      <c r="F644" s="384">
        <v>93000</v>
      </c>
      <c r="G644" s="270">
        <v>100054851</v>
      </c>
      <c r="H644" s="270"/>
    </row>
    <row r="645" spans="1:8" x14ac:dyDescent="0.25">
      <c r="A645" s="257">
        <v>647</v>
      </c>
      <c r="B645" s="267">
        <v>644</v>
      </c>
      <c r="C645" s="268" t="s">
        <v>1842</v>
      </c>
      <c r="D645" s="269">
        <v>41778</v>
      </c>
      <c r="E645" s="270" t="s">
        <v>1942</v>
      </c>
      <c r="F645" s="384">
        <v>260000</v>
      </c>
      <c r="G645" s="270">
        <v>600431321</v>
      </c>
      <c r="H645" s="270"/>
    </row>
    <row r="646" spans="1:8" x14ac:dyDescent="0.25">
      <c r="A646" s="257">
        <v>648</v>
      </c>
      <c r="B646" s="267">
        <v>645</v>
      </c>
      <c r="C646" s="268" t="s">
        <v>2821</v>
      </c>
      <c r="D646" s="269">
        <v>41778</v>
      </c>
      <c r="E646" s="270" t="s">
        <v>999</v>
      </c>
      <c r="F646" s="384">
        <v>29000</v>
      </c>
      <c r="G646" s="270">
        <v>691530170</v>
      </c>
      <c r="H646" s="270"/>
    </row>
    <row r="647" spans="1:8" x14ac:dyDescent="0.25">
      <c r="A647" s="257">
        <v>649</v>
      </c>
      <c r="B647" s="267">
        <v>646</v>
      </c>
      <c r="C647" s="268" t="s">
        <v>1784</v>
      </c>
      <c r="D647" s="269">
        <v>41778</v>
      </c>
      <c r="E647" s="270" t="s">
        <v>739</v>
      </c>
      <c r="F647" s="384">
        <v>405000</v>
      </c>
      <c r="G647" s="270">
        <v>190345942</v>
      </c>
      <c r="H647" s="270"/>
    </row>
    <row r="648" spans="1:8" x14ac:dyDescent="0.25">
      <c r="A648" s="257">
        <v>650</v>
      </c>
      <c r="B648" s="267">
        <v>647</v>
      </c>
      <c r="C648" s="268" t="s">
        <v>2444</v>
      </c>
      <c r="D648" s="269">
        <v>41778</v>
      </c>
      <c r="E648" s="270" t="s">
        <v>2631</v>
      </c>
      <c r="F648" s="384">
        <v>260000</v>
      </c>
      <c r="G648" s="270">
        <v>100008077</v>
      </c>
      <c r="H648" s="270"/>
    </row>
    <row r="649" spans="1:8" x14ac:dyDescent="0.25">
      <c r="A649" s="257">
        <v>651</v>
      </c>
      <c r="B649" s="267">
        <v>648</v>
      </c>
      <c r="C649" s="268" t="s">
        <v>1535</v>
      </c>
      <c r="D649" s="269">
        <v>41779</v>
      </c>
      <c r="E649" s="270" t="s">
        <v>3553</v>
      </c>
      <c r="F649" s="384">
        <v>63000</v>
      </c>
      <c r="G649" s="270">
        <v>191429855</v>
      </c>
      <c r="H649" s="270"/>
    </row>
    <row r="650" spans="1:8" x14ac:dyDescent="0.25">
      <c r="A650" s="257">
        <v>652</v>
      </c>
      <c r="B650" s="267">
        <v>649</v>
      </c>
      <c r="C650" s="268" t="s">
        <v>1004</v>
      </c>
      <c r="D650" s="269">
        <v>41779</v>
      </c>
      <c r="E650" s="270" t="s">
        <v>2383</v>
      </c>
      <c r="F650" s="384">
        <v>223000</v>
      </c>
      <c r="G650" s="270">
        <v>690655317</v>
      </c>
      <c r="H650" s="270"/>
    </row>
    <row r="651" spans="1:8" x14ac:dyDescent="0.25">
      <c r="A651" s="257">
        <v>653</v>
      </c>
      <c r="B651" s="267">
        <v>650</v>
      </c>
      <c r="C651" s="268" t="s">
        <v>3226</v>
      </c>
      <c r="D651" s="269">
        <v>41779</v>
      </c>
      <c r="E651" s="270" t="s">
        <v>3292</v>
      </c>
      <c r="F651" s="384">
        <v>150000</v>
      </c>
      <c r="G651" s="270">
        <v>100179084</v>
      </c>
      <c r="H651" s="270"/>
    </row>
    <row r="652" spans="1:8" x14ac:dyDescent="0.25">
      <c r="A652" s="257">
        <v>654</v>
      </c>
      <c r="B652" s="267">
        <v>651</v>
      </c>
      <c r="C652" s="268" t="s">
        <v>3278</v>
      </c>
      <c r="D652" s="269">
        <v>41779</v>
      </c>
      <c r="E652" s="270" t="s">
        <v>1545</v>
      </c>
      <c r="F652" s="384">
        <v>223000</v>
      </c>
      <c r="G652" s="270">
        <v>800002974</v>
      </c>
      <c r="H652" s="270"/>
    </row>
    <row r="653" spans="1:8" x14ac:dyDescent="0.25">
      <c r="A653" s="257">
        <v>655</v>
      </c>
      <c r="B653" s="267">
        <v>652</v>
      </c>
      <c r="C653" s="268" t="s">
        <v>3658</v>
      </c>
      <c r="D653" s="269">
        <v>41779</v>
      </c>
      <c r="E653" s="270" t="s">
        <v>3552</v>
      </c>
      <c r="F653" s="384">
        <v>405000</v>
      </c>
      <c r="G653" s="270">
        <v>191569368</v>
      </c>
      <c r="H653" s="270"/>
    </row>
    <row r="654" spans="1:8" x14ac:dyDescent="0.25">
      <c r="A654" s="257">
        <v>656</v>
      </c>
      <c r="B654" s="267">
        <v>653</v>
      </c>
      <c r="C654" s="268" t="s">
        <v>1004</v>
      </c>
      <c r="D654" s="269">
        <v>41780</v>
      </c>
      <c r="E654" s="270" t="s">
        <v>2383</v>
      </c>
      <c r="F654" s="384">
        <v>405000</v>
      </c>
      <c r="G654" s="270">
        <v>690655317</v>
      </c>
      <c r="H654" s="270"/>
    </row>
    <row r="655" spans="1:8" x14ac:dyDescent="0.25">
      <c r="A655" s="257">
        <v>657</v>
      </c>
      <c r="B655" s="267">
        <v>654</v>
      </c>
      <c r="C655" s="268" t="s">
        <v>1817</v>
      </c>
      <c r="D655" s="269">
        <v>41780</v>
      </c>
      <c r="E655" s="270" t="s">
        <v>3323</v>
      </c>
      <c r="F655" s="384">
        <v>186000</v>
      </c>
      <c r="G655" s="270">
        <v>191414147</v>
      </c>
      <c r="H655" s="270"/>
    </row>
    <row r="656" spans="1:8" x14ac:dyDescent="0.25">
      <c r="A656" s="257">
        <v>658</v>
      </c>
      <c r="B656" s="267">
        <v>655</v>
      </c>
      <c r="C656" s="268" t="s">
        <v>1658</v>
      </c>
      <c r="D656" s="269">
        <v>41780</v>
      </c>
      <c r="E656" s="270" t="s">
        <v>825</v>
      </c>
      <c r="F656" s="384">
        <v>405000</v>
      </c>
      <c r="G656" s="270">
        <v>100951254</v>
      </c>
      <c r="H656" s="270"/>
    </row>
    <row r="657" spans="1:8" x14ac:dyDescent="0.25">
      <c r="A657" s="257">
        <v>659</v>
      </c>
      <c r="B657" s="267">
        <v>656</v>
      </c>
      <c r="C657" s="268" t="s">
        <v>3625</v>
      </c>
      <c r="D657" s="269">
        <v>41780</v>
      </c>
      <c r="E657" s="270" t="s">
        <v>48</v>
      </c>
      <c r="F657" s="384">
        <v>29000</v>
      </c>
      <c r="G657" s="270">
        <v>100811754</v>
      </c>
      <c r="H657" s="270"/>
    </row>
    <row r="658" spans="1:8" x14ac:dyDescent="0.25">
      <c r="A658" s="257">
        <v>660</v>
      </c>
      <c r="B658" s="267">
        <v>657</v>
      </c>
      <c r="C658" s="268" t="s">
        <v>342</v>
      </c>
      <c r="D658" s="269">
        <v>41780</v>
      </c>
      <c r="E658" s="270" t="s">
        <v>3558</v>
      </c>
      <c r="F658" s="384">
        <v>1040000</v>
      </c>
      <c r="G658" s="270">
        <v>601072665</v>
      </c>
      <c r="H658" s="270"/>
    </row>
    <row r="659" spans="1:8" x14ac:dyDescent="0.25">
      <c r="A659" s="257">
        <v>661</v>
      </c>
      <c r="B659" s="267">
        <v>658</v>
      </c>
      <c r="C659" s="268" t="s">
        <v>1658</v>
      </c>
      <c r="D659" s="269">
        <v>41781</v>
      </c>
      <c r="E659" s="270" t="s">
        <v>825</v>
      </c>
      <c r="F659" s="384">
        <v>520000</v>
      </c>
      <c r="G659" s="270">
        <v>100951254</v>
      </c>
      <c r="H659" s="270"/>
    </row>
    <row r="660" spans="1:8" x14ac:dyDescent="0.25">
      <c r="A660" s="257">
        <v>662</v>
      </c>
      <c r="B660" s="267">
        <v>659</v>
      </c>
      <c r="C660" s="268" t="s">
        <v>3133</v>
      </c>
      <c r="D660" s="269">
        <v>41781</v>
      </c>
      <c r="E660" s="270" t="s">
        <v>3587</v>
      </c>
      <c r="F660" s="384">
        <v>446000</v>
      </c>
      <c r="G660" s="270">
        <v>101254783</v>
      </c>
      <c r="H660" s="270"/>
    </row>
    <row r="661" spans="1:8" x14ac:dyDescent="0.25">
      <c r="A661" s="257">
        <v>663</v>
      </c>
      <c r="B661" s="267">
        <v>660</v>
      </c>
      <c r="C661" s="268" t="s">
        <v>387</v>
      </c>
      <c r="D661" s="269">
        <v>41781</v>
      </c>
      <c r="E661" s="270" t="s">
        <v>2837</v>
      </c>
      <c r="F661" s="384">
        <v>223000</v>
      </c>
      <c r="G661" s="270">
        <v>100320487</v>
      </c>
      <c r="H661" s="270"/>
    </row>
    <row r="662" spans="1:8" x14ac:dyDescent="0.25">
      <c r="A662" s="257">
        <v>664</v>
      </c>
      <c r="B662" s="267">
        <v>661</v>
      </c>
      <c r="C662" s="268" t="s">
        <v>1658</v>
      </c>
      <c r="D662" s="269">
        <v>41781</v>
      </c>
      <c r="E662" s="270" t="s">
        <v>825</v>
      </c>
      <c r="F662" s="384">
        <v>63000</v>
      </c>
      <c r="G662" s="270">
        <v>100951254</v>
      </c>
      <c r="H662" s="270"/>
    </row>
    <row r="663" spans="1:8" x14ac:dyDescent="0.25">
      <c r="A663" s="257">
        <v>665</v>
      </c>
      <c r="B663" s="267">
        <v>662</v>
      </c>
      <c r="C663" s="268" t="s">
        <v>3550</v>
      </c>
      <c r="D663" s="269">
        <v>41781</v>
      </c>
      <c r="E663" s="270" t="s">
        <v>2676</v>
      </c>
      <c r="F663" s="384">
        <v>145000</v>
      </c>
      <c r="G663" s="270">
        <v>690594220</v>
      </c>
      <c r="H663" s="270"/>
    </row>
    <row r="664" spans="1:8" x14ac:dyDescent="0.25">
      <c r="A664" s="257">
        <v>666</v>
      </c>
      <c r="B664" s="267">
        <v>663</v>
      </c>
      <c r="C664" s="268" t="s">
        <v>3550</v>
      </c>
      <c r="D664" s="269">
        <v>41781</v>
      </c>
      <c r="E664" s="270" t="s">
        <v>2676</v>
      </c>
      <c r="F664" s="384">
        <v>59000</v>
      </c>
      <c r="G664" s="270">
        <v>690594220</v>
      </c>
      <c r="H664" s="270"/>
    </row>
    <row r="665" spans="1:8" x14ac:dyDescent="0.25">
      <c r="A665" s="257">
        <v>667</v>
      </c>
      <c r="B665" s="267">
        <v>664</v>
      </c>
      <c r="C665" s="268" t="s">
        <v>973</v>
      </c>
      <c r="D665" s="269">
        <v>41781</v>
      </c>
      <c r="E665" s="270" t="s">
        <v>2836</v>
      </c>
      <c r="F665" s="384">
        <v>29000</v>
      </c>
      <c r="G665" s="270">
        <v>691531562</v>
      </c>
      <c r="H665" s="270"/>
    </row>
    <row r="666" spans="1:8" x14ac:dyDescent="0.25">
      <c r="A666" s="257">
        <v>668</v>
      </c>
      <c r="B666" s="267">
        <v>665</v>
      </c>
      <c r="C666" s="268" t="s">
        <v>462</v>
      </c>
      <c r="D666" s="269">
        <v>41782</v>
      </c>
      <c r="E666" s="270" t="s">
        <v>183</v>
      </c>
      <c r="F666" s="384">
        <v>260000</v>
      </c>
      <c r="G666" s="270">
        <v>190905167</v>
      </c>
      <c r="H666" s="270"/>
    </row>
    <row r="667" spans="1:8" x14ac:dyDescent="0.25">
      <c r="A667" s="257">
        <v>669</v>
      </c>
      <c r="B667" s="267">
        <v>666</v>
      </c>
      <c r="C667" s="268" t="s">
        <v>3216</v>
      </c>
      <c r="D667" s="269">
        <v>41782</v>
      </c>
      <c r="E667" s="270" t="s">
        <v>1644</v>
      </c>
      <c r="F667" s="384">
        <v>1300000</v>
      </c>
      <c r="G667" s="270">
        <v>100315288</v>
      </c>
      <c r="H667" s="270"/>
    </row>
    <row r="668" spans="1:8" x14ac:dyDescent="0.25">
      <c r="A668" s="257">
        <v>670</v>
      </c>
      <c r="B668" s="267">
        <v>667</v>
      </c>
      <c r="C668" s="268" t="s">
        <v>1658</v>
      </c>
      <c r="D668" s="269">
        <v>41782</v>
      </c>
      <c r="E668" s="270" t="s">
        <v>825</v>
      </c>
      <c r="F668" s="384">
        <v>405000</v>
      </c>
      <c r="G668" s="270">
        <v>100951254</v>
      </c>
      <c r="H668" s="270"/>
    </row>
    <row r="669" spans="1:8" x14ac:dyDescent="0.25">
      <c r="A669" s="257">
        <v>671</v>
      </c>
      <c r="B669" s="267">
        <v>668</v>
      </c>
      <c r="C669" s="268" t="s">
        <v>3253</v>
      </c>
      <c r="D669" s="269">
        <v>41785</v>
      </c>
      <c r="E669" s="270" t="s">
        <v>3631</v>
      </c>
      <c r="F669" s="384">
        <v>405000</v>
      </c>
      <c r="G669" s="270">
        <v>691380883</v>
      </c>
      <c r="H669" s="270"/>
    </row>
    <row r="670" spans="1:8" x14ac:dyDescent="0.25">
      <c r="A670" s="257">
        <v>672</v>
      </c>
      <c r="B670" s="267">
        <v>669</v>
      </c>
      <c r="C670" s="268" t="s">
        <v>3095</v>
      </c>
      <c r="D670" s="269">
        <v>41785</v>
      </c>
      <c r="E670" s="270" t="s">
        <v>1367</v>
      </c>
      <c r="F670" s="384">
        <v>446000</v>
      </c>
      <c r="G670" s="270">
        <v>600921909</v>
      </c>
      <c r="H670" s="270"/>
    </row>
    <row r="671" spans="1:8" x14ac:dyDescent="0.25">
      <c r="A671" s="257">
        <v>673</v>
      </c>
      <c r="B671" s="267">
        <v>670</v>
      </c>
      <c r="C671" s="268" t="s">
        <v>4234</v>
      </c>
      <c r="D671" s="269">
        <v>41785</v>
      </c>
      <c r="E671" s="270" t="s">
        <v>340</v>
      </c>
      <c r="F671" s="384">
        <v>810000</v>
      </c>
      <c r="G671" s="270">
        <v>190444477</v>
      </c>
      <c r="H671" s="270"/>
    </row>
    <row r="672" spans="1:8" x14ac:dyDescent="0.25">
      <c r="A672" s="257">
        <v>674</v>
      </c>
      <c r="B672" s="267">
        <v>671</v>
      </c>
      <c r="C672" s="268" t="s">
        <v>2437</v>
      </c>
      <c r="D672" s="269">
        <v>41785</v>
      </c>
      <c r="E672" s="270" t="s">
        <v>3584</v>
      </c>
      <c r="F672" s="384">
        <v>260000</v>
      </c>
      <c r="G672" s="270">
        <v>100297330</v>
      </c>
      <c r="H672" s="270"/>
    </row>
    <row r="673" spans="1:8" x14ac:dyDescent="0.25">
      <c r="A673" s="257">
        <v>675</v>
      </c>
      <c r="B673" s="267">
        <v>672</v>
      </c>
      <c r="C673" s="268" t="s">
        <v>2810</v>
      </c>
      <c r="D673" s="269">
        <v>41785</v>
      </c>
      <c r="E673" s="270" t="s">
        <v>1770</v>
      </c>
      <c r="F673" s="384">
        <v>223000</v>
      </c>
      <c r="G673" s="270">
        <v>691535767</v>
      </c>
      <c r="H673" s="270"/>
    </row>
    <row r="674" spans="1:8" x14ac:dyDescent="0.25">
      <c r="A674" s="257">
        <v>676</v>
      </c>
      <c r="B674" s="267">
        <v>673</v>
      </c>
      <c r="C674" s="268" t="s">
        <v>2104</v>
      </c>
      <c r="D674" s="269">
        <v>41786</v>
      </c>
      <c r="E674" s="270" t="s">
        <v>1915</v>
      </c>
      <c r="F674" s="384">
        <v>892000</v>
      </c>
      <c r="G674" s="270">
        <v>100011258</v>
      </c>
      <c r="H674" s="270"/>
    </row>
    <row r="675" spans="1:8" x14ac:dyDescent="0.25">
      <c r="A675" s="257">
        <v>677</v>
      </c>
      <c r="B675" s="267">
        <v>674</v>
      </c>
      <c r="C675" s="268" t="s">
        <v>2762</v>
      </c>
      <c r="D675" s="269">
        <v>41786</v>
      </c>
      <c r="E675" s="270" t="s">
        <v>238</v>
      </c>
      <c r="F675" s="384">
        <v>405000</v>
      </c>
      <c r="G675" s="270">
        <v>190800302</v>
      </c>
      <c r="H675" s="270"/>
    </row>
    <row r="676" spans="1:8" x14ac:dyDescent="0.25">
      <c r="A676" s="257">
        <v>678</v>
      </c>
      <c r="B676" s="267">
        <v>675</v>
      </c>
      <c r="C676" s="268" t="s">
        <v>1928</v>
      </c>
      <c r="D676" s="269">
        <v>41786</v>
      </c>
      <c r="E676" s="270" t="s">
        <v>2801</v>
      </c>
      <c r="F676" s="384">
        <v>186000</v>
      </c>
      <c r="G676" s="270">
        <v>190334745</v>
      </c>
      <c r="H676" s="270"/>
    </row>
    <row r="677" spans="1:8" x14ac:dyDescent="0.25">
      <c r="A677" s="257">
        <v>679</v>
      </c>
      <c r="B677" s="267">
        <v>676</v>
      </c>
      <c r="C677" s="268" t="s">
        <v>3253</v>
      </c>
      <c r="D677" s="269">
        <v>41786</v>
      </c>
      <c r="E677" s="270" t="s">
        <v>3631</v>
      </c>
      <c r="F677" s="384">
        <v>59000</v>
      </c>
      <c r="G677" s="270">
        <v>691380883</v>
      </c>
      <c r="H677" s="270"/>
    </row>
    <row r="678" spans="1:8" x14ac:dyDescent="0.25">
      <c r="A678" s="257">
        <v>680</v>
      </c>
      <c r="B678" s="267">
        <v>677</v>
      </c>
      <c r="C678" s="268" t="s">
        <v>1004</v>
      </c>
      <c r="D678" s="269">
        <v>41787</v>
      </c>
      <c r="E678" s="270" t="s">
        <v>2383</v>
      </c>
      <c r="F678" s="384">
        <v>260000</v>
      </c>
      <c r="G678" s="270">
        <v>690655317</v>
      </c>
      <c r="H678" s="270"/>
    </row>
    <row r="679" spans="1:8" x14ac:dyDescent="0.25">
      <c r="A679" s="257">
        <v>681</v>
      </c>
      <c r="B679" s="267">
        <v>678</v>
      </c>
      <c r="C679" s="268" t="s">
        <v>846</v>
      </c>
      <c r="D679" s="269">
        <v>41787</v>
      </c>
      <c r="E679" s="270" t="s">
        <v>500</v>
      </c>
      <c r="F679" s="384">
        <v>405000</v>
      </c>
      <c r="G679" s="270">
        <v>690631984</v>
      </c>
      <c r="H679" s="270"/>
    </row>
    <row r="680" spans="1:8" x14ac:dyDescent="0.25">
      <c r="A680" s="257">
        <v>682</v>
      </c>
      <c r="B680" s="267">
        <v>679</v>
      </c>
      <c r="C680" s="268" t="s">
        <v>1658</v>
      </c>
      <c r="D680" s="269">
        <v>41787</v>
      </c>
      <c r="E680" s="270" t="s">
        <v>825</v>
      </c>
      <c r="F680" s="384">
        <v>145000</v>
      </c>
      <c r="G680" s="270">
        <v>100951254</v>
      </c>
      <c r="H680" s="270"/>
    </row>
    <row r="681" spans="1:8" x14ac:dyDescent="0.25">
      <c r="A681" s="257">
        <v>683</v>
      </c>
      <c r="B681" s="267">
        <v>680</v>
      </c>
      <c r="C681" s="268" t="s">
        <v>477</v>
      </c>
      <c r="D681" s="269">
        <v>41787</v>
      </c>
      <c r="E681" s="270" t="s">
        <v>2887</v>
      </c>
      <c r="F681" s="384">
        <v>186000</v>
      </c>
      <c r="G681" s="270">
        <v>808000209</v>
      </c>
      <c r="H681" s="270"/>
    </row>
    <row r="682" spans="1:8" x14ac:dyDescent="0.25">
      <c r="A682" s="257">
        <v>684</v>
      </c>
      <c r="B682" s="267">
        <v>681</v>
      </c>
      <c r="C682" s="268" t="s">
        <v>2835</v>
      </c>
      <c r="D682" s="269">
        <v>41787</v>
      </c>
      <c r="E682" s="270" t="s">
        <v>2890</v>
      </c>
      <c r="F682" s="384">
        <v>88000</v>
      </c>
      <c r="G682" s="270">
        <v>690367172</v>
      </c>
      <c r="H682" s="270"/>
    </row>
    <row r="683" spans="1:8" x14ac:dyDescent="0.25">
      <c r="A683" s="257">
        <v>685</v>
      </c>
      <c r="B683" s="267">
        <v>682</v>
      </c>
      <c r="C683" s="268" t="s">
        <v>1798</v>
      </c>
      <c r="D683" s="269">
        <v>41787</v>
      </c>
      <c r="E683" s="270" t="s">
        <v>3847</v>
      </c>
      <c r="F683" s="384">
        <v>665000</v>
      </c>
      <c r="G683" s="270">
        <v>191747030</v>
      </c>
      <c r="H683" s="270"/>
    </row>
    <row r="684" spans="1:8" x14ac:dyDescent="0.25">
      <c r="A684" s="257">
        <v>686</v>
      </c>
      <c r="B684" s="267">
        <v>683</v>
      </c>
      <c r="C684" s="268" t="s">
        <v>145</v>
      </c>
      <c r="D684" s="269">
        <v>41787</v>
      </c>
      <c r="E684" s="270" t="s">
        <v>403</v>
      </c>
      <c r="F684" s="384">
        <v>405000</v>
      </c>
      <c r="G684" s="270">
        <v>190471062</v>
      </c>
      <c r="H684" s="270"/>
    </row>
    <row r="685" spans="1:8" x14ac:dyDescent="0.25">
      <c r="A685" s="257">
        <v>687</v>
      </c>
      <c r="B685" s="267">
        <v>684</v>
      </c>
      <c r="C685" s="268" t="s">
        <v>522</v>
      </c>
      <c r="D685" s="269">
        <v>41787</v>
      </c>
      <c r="E685" s="270" t="s">
        <v>2661</v>
      </c>
      <c r="F685" s="384">
        <v>405000</v>
      </c>
      <c r="G685" s="270">
        <v>691389467</v>
      </c>
      <c r="H685" s="270"/>
    </row>
    <row r="686" spans="1:8" x14ac:dyDescent="0.25">
      <c r="A686" s="257">
        <v>688</v>
      </c>
      <c r="B686" s="267">
        <v>685</v>
      </c>
      <c r="C686" s="268" t="s">
        <v>3658</v>
      </c>
      <c r="D686" s="269">
        <v>41787</v>
      </c>
      <c r="E686" s="270" t="s">
        <v>3552</v>
      </c>
      <c r="F686" s="384">
        <v>405000</v>
      </c>
      <c r="G686" s="270">
        <v>191569368</v>
      </c>
      <c r="H686" s="270"/>
    </row>
    <row r="687" spans="1:8" x14ac:dyDescent="0.25">
      <c r="A687" s="257">
        <v>689</v>
      </c>
      <c r="B687" s="267">
        <v>686</v>
      </c>
      <c r="C687" s="268" t="s">
        <v>2762</v>
      </c>
      <c r="D687" s="269">
        <v>41787</v>
      </c>
      <c r="E687" s="270" t="s">
        <v>238</v>
      </c>
      <c r="F687" s="384">
        <v>181000</v>
      </c>
      <c r="G687" s="270">
        <v>190800302</v>
      </c>
      <c r="H687" s="270"/>
    </row>
    <row r="688" spans="1:8" x14ac:dyDescent="0.25">
      <c r="A688" s="257">
        <v>690</v>
      </c>
      <c r="B688" s="267">
        <v>687</v>
      </c>
      <c r="C688" s="268" t="s">
        <v>3327</v>
      </c>
      <c r="D688" s="269">
        <v>41788</v>
      </c>
      <c r="E688" s="270" t="s">
        <v>3119</v>
      </c>
      <c r="F688" s="384">
        <v>223000</v>
      </c>
      <c r="G688" s="270">
        <v>691531149</v>
      </c>
      <c r="H688" s="270"/>
    </row>
    <row r="689" spans="1:8" x14ac:dyDescent="0.25">
      <c r="A689" s="257">
        <v>691</v>
      </c>
      <c r="B689" s="267">
        <v>688</v>
      </c>
      <c r="C689" s="268" t="s">
        <v>386</v>
      </c>
      <c r="D689" s="269">
        <v>41788</v>
      </c>
      <c r="E689" s="270" t="s">
        <v>1951</v>
      </c>
      <c r="F689" s="384">
        <v>155000</v>
      </c>
      <c r="G689" s="270">
        <v>400424686</v>
      </c>
      <c r="H689" s="270"/>
    </row>
    <row r="690" spans="1:8" x14ac:dyDescent="0.25">
      <c r="A690" s="257">
        <v>692</v>
      </c>
      <c r="B690" s="267">
        <v>689</v>
      </c>
      <c r="C690" s="268" t="s">
        <v>2406</v>
      </c>
      <c r="D690" s="269">
        <v>41788</v>
      </c>
      <c r="E690" s="270" t="s">
        <v>687</v>
      </c>
      <c r="F690" s="384">
        <v>1300000</v>
      </c>
      <c r="G690" s="270">
        <v>690699297</v>
      </c>
      <c r="H690" s="270"/>
    </row>
    <row r="691" spans="1:8" x14ac:dyDescent="0.25">
      <c r="A691" s="257">
        <v>693</v>
      </c>
      <c r="B691" s="267">
        <v>690</v>
      </c>
      <c r="C691" s="268" t="s">
        <v>221</v>
      </c>
      <c r="D691" s="269">
        <v>41788</v>
      </c>
      <c r="E691" s="270" t="s">
        <v>840</v>
      </c>
      <c r="F691" s="384">
        <v>810000</v>
      </c>
      <c r="G691" s="270">
        <v>191648960</v>
      </c>
      <c r="H691" s="270"/>
    </row>
    <row r="692" spans="1:8" x14ac:dyDescent="0.25">
      <c r="A692" s="257">
        <v>694</v>
      </c>
      <c r="B692" s="267">
        <v>691</v>
      </c>
      <c r="C692" s="268" t="s">
        <v>189</v>
      </c>
      <c r="D692" s="269">
        <v>41788</v>
      </c>
      <c r="E692" s="270" t="s">
        <v>2703</v>
      </c>
      <c r="F692" s="384">
        <v>405000</v>
      </c>
      <c r="G692" s="270">
        <v>190473476</v>
      </c>
      <c r="H692" s="270"/>
    </row>
    <row r="693" spans="1:8" x14ac:dyDescent="0.25">
      <c r="A693" s="257">
        <v>695</v>
      </c>
      <c r="B693" s="267">
        <v>692</v>
      </c>
      <c r="C693" s="268" t="s">
        <v>318</v>
      </c>
      <c r="D693" s="269">
        <v>41788</v>
      </c>
      <c r="E693" s="270" t="s">
        <v>4226</v>
      </c>
      <c r="F693" s="384">
        <v>186000</v>
      </c>
      <c r="G693" s="270">
        <v>191112043</v>
      </c>
      <c r="H693" s="270"/>
    </row>
    <row r="694" spans="1:8" x14ac:dyDescent="0.25">
      <c r="A694" s="257">
        <v>696</v>
      </c>
      <c r="B694" s="267">
        <v>693</v>
      </c>
      <c r="C694" s="268" t="s">
        <v>2449</v>
      </c>
      <c r="D694" s="269">
        <v>41788</v>
      </c>
      <c r="E694" s="270" t="s">
        <v>330</v>
      </c>
      <c r="F694" s="384">
        <v>186000</v>
      </c>
      <c r="G694" s="270">
        <v>691068458</v>
      </c>
      <c r="H694" s="270"/>
    </row>
    <row r="695" spans="1:8" x14ac:dyDescent="0.25">
      <c r="A695" s="257">
        <v>697</v>
      </c>
      <c r="B695" s="267">
        <v>694</v>
      </c>
      <c r="C695" s="268" t="s">
        <v>265</v>
      </c>
      <c r="D695" s="269">
        <v>41788</v>
      </c>
      <c r="E695" s="270" t="s">
        <v>450</v>
      </c>
      <c r="F695" s="384">
        <v>405000</v>
      </c>
      <c r="G695" s="270">
        <v>100468996</v>
      </c>
      <c r="H695" s="270"/>
    </row>
    <row r="696" spans="1:8" x14ac:dyDescent="0.25">
      <c r="A696" s="257">
        <v>698</v>
      </c>
      <c r="B696" s="267">
        <v>695</v>
      </c>
      <c r="C696" s="268" t="s">
        <v>2434</v>
      </c>
      <c r="D696" s="269">
        <v>41788</v>
      </c>
      <c r="E696" s="270" t="s">
        <v>820</v>
      </c>
      <c r="F696" s="384">
        <v>405000</v>
      </c>
      <c r="G696" s="270">
        <v>191301074</v>
      </c>
      <c r="H696" s="270"/>
    </row>
    <row r="697" spans="1:8" x14ac:dyDescent="0.25">
      <c r="A697" s="257">
        <v>699</v>
      </c>
      <c r="B697" s="267">
        <v>696</v>
      </c>
      <c r="C697" s="268" t="s">
        <v>3645</v>
      </c>
      <c r="D697" s="269">
        <v>41788</v>
      </c>
      <c r="E697" s="270" t="s">
        <v>148</v>
      </c>
      <c r="F697" s="384">
        <v>223000</v>
      </c>
      <c r="G697" s="270">
        <v>191004513</v>
      </c>
      <c r="H697" s="270"/>
    </row>
    <row r="698" spans="1:8" x14ac:dyDescent="0.25">
      <c r="A698" s="257">
        <v>700</v>
      </c>
      <c r="B698" s="267">
        <v>697</v>
      </c>
      <c r="C698" s="268" t="s">
        <v>688</v>
      </c>
      <c r="D698" s="269">
        <v>41789</v>
      </c>
      <c r="E698" s="270" t="s">
        <v>971</v>
      </c>
      <c r="F698" s="384">
        <v>810000</v>
      </c>
      <c r="G698" s="270">
        <v>691359964</v>
      </c>
      <c r="H698" s="270"/>
    </row>
    <row r="699" spans="1:8" x14ac:dyDescent="0.25">
      <c r="A699" s="257">
        <v>701</v>
      </c>
      <c r="B699" s="267">
        <v>698</v>
      </c>
      <c r="C699" s="268" t="s">
        <v>1524</v>
      </c>
      <c r="D699" s="269">
        <v>41789</v>
      </c>
      <c r="E699" s="270" t="s">
        <v>3543</v>
      </c>
      <c r="F699" s="384">
        <v>405000</v>
      </c>
      <c r="G699" s="270">
        <v>190149628</v>
      </c>
      <c r="H699" s="270"/>
    </row>
    <row r="700" spans="1:8" x14ac:dyDescent="0.25">
      <c r="A700" s="257">
        <v>702</v>
      </c>
      <c r="B700" s="267">
        <v>699</v>
      </c>
      <c r="C700" s="268" t="s">
        <v>925</v>
      </c>
      <c r="D700" s="269">
        <v>41789</v>
      </c>
      <c r="E700" s="270" t="s">
        <v>4217</v>
      </c>
      <c r="F700" s="384">
        <v>145000</v>
      </c>
      <c r="G700" s="270">
        <v>101090386</v>
      </c>
      <c r="H700" s="270"/>
    </row>
    <row r="701" spans="1:8" x14ac:dyDescent="0.25">
      <c r="A701" s="257">
        <v>703</v>
      </c>
      <c r="B701" s="267">
        <v>700</v>
      </c>
      <c r="C701" s="268" t="s">
        <v>716</v>
      </c>
      <c r="D701" s="269">
        <v>41789</v>
      </c>
      <c r="E701" s="270" t="s">
        <v>728</v>
      </c>
      <c r="F701" s="384">
        <v>260000</v>
      </c>
      <c r="G701" s="270">
        <v>691130684</v>
      </c>
      <c r="H701" s="270"/>
    </row>
    <row r="702" spans="1:8" x14ac:dyDescent="0.25">
      <c r="A702" s="257">
        <v>704</v>
      </c>
      <c r="B702" s="267">
        <v>701</v>
      </c>
      <c r="C702" s="268" t="s">
        <v>2162</v>
      </c>
      <c r="D702" s="269">
        <v>41789</v>
      </c>
      <c r="E702" s="270" t="s">
        <v>3244</v>
      </c>
      <c r="F702" s="384">
        <v>121000</v>
      </c>
      <c r="G702" s="270">
        <v>600011780</v>
      </c>
      <c r="H702" s="270"/>
    </row>
    <row r="703" spans="1:8" x14ac:dyDescent="0.25">
      <c r="A703" s="257">
        <v>705</v>
      </c>
      <c r="B703" s="267">
        <v>702</v>
      </c>
      <c r="C703" s="268" t="s">
        <v>2078</v>
      </c>
      <c r="D703" s="269">
        <v>41789</v>
      </c>
      <c r="E703" s="270" t="s">
        <v>2608</v>
      </c>
      <c r="F703" s="384">
        <v>150000</v>
      </c>
      <c r="G703" s="270">
        <v>190832660</v>
      </c>
      <c r="H703" s="270"/>
    </row>
    <row r="704" spans="1:8" x14ac:dyDescent="0.25">
      <c r="A704" s="257">
        <v>706</v>
      </c>
      <c r="B704" s="267">
        <v>703</v>
      </c>
      <c r="C704" s="268" t="s">
        <v>307</v>
      </c>
      <c r="D704" s="269">
        <v>41789</v>
      </c>
      <c r="E704" s="270" t="s">
        <v>2094</v>
      </c>
      <c r="F704" s="384">
        <v>280000</v>
      </c>
      <c r="G704" s="270">
        <v>691406576</v>
      </c>
      <c r="H704" s="270"/>
    </row>
    <row r="705" spans="1:8" x14ac:dyDescent="0.25">
      <c r="A705" s="257">
        <v>707</v>
      </c>
      <c r="B705" s="267">
        <v>704</v>
      </c>
      <c r="C705" s="268" t="s">
        <v>3645</v>
      </c>
      <c r="D705" s="269">
        <v>41789</v>
      </c>
      <c r="E705" s="270" t="s">
        <v>467</v>
      </c>
      <c r="F705" s="384">
        <v>223000</v>
      </c>
      <c r="G705" s="270">
        <v>191004513</v>
      </c>
      <c r="H705" s="270"/>
    </row>
    <row r="706" spans="1:8" x14ac:dyDescent="0.25">
      <c r="A706" s="257">
        <v>708</v>
      </c>
      <c r="B706" s="267">
        <v>705</v>
      </c>
      <c r="C706" s="268" t="s">
        <v>724</v>
      </c>
      <c r="D706" s="269">
        <v>41789</v>
      </c>
      <c r="E706" s="270" t="s">
        <v>1000</v>
      </c>
      <c r="F706" s="384">
        <v>405000</v>
      </c>
      <c r="G706" s="270">
        <v>808000410</v>
      </c>
      <c r="H706" s="270"/>
    </row>
    <row r="707" spans="1:8" x14ac:dyDescent="0.25">
      <c r="A707" s="257">
        <v>709</v>
      </c>
      <c r="B707" s="267">
        <v>706</v>
      </c>
      <c r="C707" s="268" t="s">
        <v>2618</v>
      </c>
      <c r="D707" s="269">
        <v>41789</v>
      </c>
      <c r="E707" s="270" t="s">
        <v>1622</v>
      </c>
      <c r="F707" s="384">
        <v>145000</v>
      </c>
      <c r="G707" s="270">
        <v>190513098</v>
      </c>
      <c r="H707" s="270"/>
    </row>
    <row r="708" spans="1:8" x14ac:dyDescent="0.25">
      <c r="A708" s="257">
        <v>710</v>
      </c>
      <c r="B708" s="267">
        <v>707</v>
      </c>
      <c r="C708" s="268" t="s">
        <v>343</v>
      </c>
      <c r="D708" s="269">
        <v>41789</v>
      </c>
      <c r="E708" s="270" t="s">
        <v>2642</v>
      </c>
      <c r="F708" s="384">
        <v>223000</v>
      </c>
      <c r="G708" s="270">
        <v>390498949</v>
      </c>
      <c r="H708" s="270"/>
    </row>
    <row r="709" spans="1:8" x14ac:dyDescent="0.25">
      <c r="A709" s="257">
        <v>711</v>
      </c>
      <c r="B709" s="267">
        <v>708</v>
      </c>
      <c r="C709" s="268" t="s">
        <v>429</v>
      </c>
      <c r="D709" s="269">
        <v>41792</v>
      </c>
      <c r="E709" s="270" t="s">
        <v>816</v>
      </c>
      <c r="F709" s="384">
        <v>260000</v>
      </c>
      <c r="G709" s="270">
        <v>101225557</v>
      </c>
      <c r="H709" s="270"/>
    </row>
    <row r="710" spans="1:8" x14ac:dyDescent="0.25">
      <c r="A710" s="257">
        <v>712</v>
      </c>
      <c r="B710" s="267">
        <v>709</v>
      </c>
      <c r="C710" s="268" t="s">
        <v>2645</v>
      </c>
      <c r="D710" s="269">
        <v>41792</v>
      </c>
      <c r="E710" s="270" t="s">
        <v>239</v>
      </c>
      <c r="F710" s="384">
        <v>810000</v>
      </c>
      <c r="G710" s="270">
        <v>101139097</v>
      </c>
      <c r="H710" s="270"/>
    </row>
    <row r="711" spans="1:8" x14ac:dyDescent="0.25">
      <c r="A711" s="257">
        <v>713</v>
      </c>
      <c r="B711" s="267">
        <v>710</v>
      </c>
      <c r="C711" s="268" t="s">
        <v>2143</v>
      </c>
      <c r="D711" s="269">
        <v>41792</v>
      </c>
      <c r="E711" s="270" t="s">
        <v>1927</v>
      </c>
      <c r="F711" s="384">
        <v>591000</v>
      </c>
      <c r="G711" s="270">
        <v>190032958</v>
      </c>
      <c r="H711" s="270"/>
    </row>
    <row r="712" spans="1:8" x14ac:dyDescent="0.25">
      <c r="A712" s="257">
        <v>714</v>
      </c>
      <c r="B712" s="267">
        <v>711</v>
      </c>
      <c r="C712" s="268" t="s">
        <v>1782</v>
      </c>
      <c r="D712" s="269">
        <v>41792</v>
      </c>
      <c r="E712" s="270" t="s">
        <v>268</v>
      </c>
      <c r="F712" s="384">
        <v>186000</v>
      </c>
      <c r="G712" s="270">
        <v>100614964</v>
      </c>
      <c r="H712" s="270"/>
    </row>
    <row r="713" spans="1:8" x14ac:dyDescent="0.25">
      <c r="A713" s="257">
        <v>715</v>
      </c>
      <c r="B713" s="267">
        <v>712</v>
      </c>
      <c r="C713" s="268" t="s">
        <v>196</v>
      </c>
      <c r="D713" s="269">
        <v>41792</v>
      </c>
      <c r="E713" s="270" t="s">
        <v>3110</v>
      </c>
      <c r="F713" s="384">
        <v>405000</v>
      </c>
      <c r="G713" s="270">
        <v>101538513</v>
      </c>
      <c r="H713" s="270"/>
    </row>
    <row r="714" spans="1:8" x14ac:dyDescent="0.25">
      <c r="A714" s="257">
        <v>716</v>
      </c>
      <c r="B714" s="267">
        <v>713</v>
      </c>
      <c r="C714" s="268" t="s">
        <v>1932</v>
      </c>
      <c r="D714" s="269">
        <v>41792</v>
      </c>
      <c r="E714" s="270" t="s">
        <v>858</v>
      </c>
      <c r="F714" s="384">
        <v>186000</v>
      </c>
      <c r="G714" s="270">
        <v>1000450888</v>
      </c>
      <c r="H714" s="270"/>
    </row>
    <row r="715" spans="1:8" x14ac:dyDescent="0.25">
      <c r="A715" s="257">
        <v>717</v>
      </c>
      <c r="B715" s="267">
        <v>714</v>
      </c>
      <c r="C715" s="268" t="s">
        <v>3298</v>
      </c>
      <c r="D715" s="269">
        <v>41792</v>
      </c>
      <c r="E715" s="270" t="s">
        <v>980</v>
      </c>
      <c r="F715" s="384">
        <v>223000</v>
      </c>
      <c r="G715" s="270">
        <v>100015784</v>
      </c>
      <c r="H715" s="270"/>
    </row>
    <row r="716" spans="1:8" x14ac:dyDescent="0.25">
      <c r="A716" s="257">
        <v>718</v>
      </c>
      <c r="B716" s="267">
        <v>715</v>
      </c>
      <c r="C716" s="268" t="s">
        <v>334</v>
      </c>
      <c r="D716" s="269">
        <v>41792</v>
      </c>
      <c r="E716" s="270" t="s">
        <v>1694</v>
      </c>
      <c r="F716" s="384">
        <v>150000</v>
      </c>
      <c r="G716" s="270">
        <v>101392173</v>
      </c>
      <c r="H716" s="270"/>
    </row>
    <row r="717" spans="1:8" x14ac:dyDescent="0.25">
      <c r="A717" s="257">
        <v>719</v>
      </c>
      <c r="B717" s="267">
        <v>716</v>
      </c>
      <c r="C717" s="268" t="s">
        <v>2382</v>
      </c>
      <c r="D717" s="269">
        <v>41792</v>
      </c>
      <c r="E717" s="270" t="s">
        <v>3733</v>
      </c>
      <c r="F717" s="384">
        <v>150000</v>
      </c>
      <c r="G717" s="270">
        <v>191031004</v>
      </c>
      <c r="H717" s="270"/>
    </row>
    <row r="718" spans="1:8" x14ac:dyDescent="0.25">
      <c r="A718" s="257">
        <v>720</v>
      </c>
      <c r="B718" s="267">
        <v>717</v>
      </c>
      <c r="C718" s="268" t="s">
        <v>345</v>
      </c>
      <c r="D718" s="269">
        <v>41792</v>
      </c>
      <c r="E718" s="270" t="s">
        <v>829</v>
      </c>
      <c r="F718" s="384">
        <v>186000</v>
      </c>
      <c r="G718" s="270">
        <v>800013760</v>
      </c>
      <c r="H718" s="270"/>
    </row>
    <row r="719" spans="1:8" x14ac:dyDescent="0.25">
      <c r="A719" s="257">
        <v>721</v>
      </c>
      <c r="B719" s="267">
        <v>718</v>
      </c>
      <c r="C719" s="268" t="s">
        <v>2437</v>
      </c>
      <c r="D719" s="269">
        <v>41793</v>
      </c>
      <c r="E719" s="270" t="s">
        <v>3584</v>
      </c>
      <c r="F719" s="384">
        <v>319000</v>
      </c>
      <c r="G719" s="270">
        <v>100297330</v>
      </c>
      <c r="H719" s="270"/>
    </row>
    <row r="720" spans="1:8" x14ac:dyDescent="0.25">
      <c r="A720" s="257">
        <v>722</v>
      </c>
      <c r="B720" s="267">
        <v>719</v>
      </c>
      <c r="C720" s="268" t="s">
        <v>212</v>
      </c>
      <c r="D720" s="269">
        <v>41793</v>
      </c>
      <c r="E720" s="270" t="s">
        <v>4187</v>
      </c>
      <c r="F720" s="384">
        <v>260000</v>
      </c>
      <c r="G720" s="270">
        <v>190812215</v>
      </c>
      <c r="H720" s="270"/>
    </row>
    <row r="721" spans="1:8" x14ac:dyDescent="0.25">
      <c r="A721" s="257">
        <v>723</v>
      </c>
      <c r="B721" s="267">
        <v>720</v>
      </c>
      <c r="C721" s="268" t="s">
        <v>2434</v>
      </c>
      <c r="D721" s="269">
        <v>41793</v>
      </c>
      <c r="E721" s="270" t="s">
        <v>820</v>
      </c>
      <c r="F721" s="384">
        <v>260000</v>
      </c>
      <c r="G721" s="270">
        <v>191301074</v>
      </c>
      <c r="H721" s="270"/>
    </row>
    <row r="722" spans="1:8" x14ac:dyDescent="0.25">
      <c r="A722" s="257">
        <v>724</v>
      </c>
      <c r="B722" s="267">
        <v>721</v>
      </c>
      <c r="C722" s="268" t="s">
        <v>973</v>
      </c>
      <c r="D722" s="269">
        <v>41793</v>
      </c>
      <c r="E722" s="270" t="s">
        <v>2836</v>
      </c>
      <c r="F722" s="384">
        <v>223000</v>
      </c>
      <c r="G722" s="270">
        <v>691531562</v>
      </c>
      <c r="H722" s="270"/>
    </row>
    <row r="723" spans="1:8" x14ac:dyDescent="0.25">
      <c r="A723" s="257">
        <v>725</v>
      </c>
      <c r="B723" s="267">
        <v>722</v>
      </c>
      <c r="C723" s="268" t="s">
        <v>2971</v>
      </c>
      <c r="D723" s="269">
        <v>41793</v>
      </c>
      <c r="E723" s="270" t="s">
        <v>4197</v>
      </c>
      <c r="F723" s="384">
        <v>260000</v>
      </c>
      <c r="G723" s="270">
        <v>691573917</v>
      </c>
      <c r="H723" s="270"/>
    </row>
    <row r="724" spans="1:8" x14ac:dyDescent="0.25">
      <c r="A724" s="257">
        <v>726</v>
      </c>
      <c r="B724" s="267">
        <v>723</v>
      </c>
      <c r="C724" s="268" t="s">
        <v>3776</v>
      </c>
      <c r="D724" s="269">
        <v>41793</v>
      </c>
      <c r="E724" s="270" t="s">
        <v>182</v>
      </c>
      <c r="F724" s="384">
        <v>260000</v>
      </c>
      <c r="G724" s="270">
        <v>190113200</v>
      </c>
      <c r="H724" s="270"/>
    </row>
    <row r="725" spans="1:8" x14ac:dyDescent="0.25">
      <c r="A725" s="257">
        <v>727</v>
      </c>
      <c r="B725" s="267">
        <v>724</v>
      </c>
      <c r="C725" s="268" t="s">
        <v>3734</v>
      </c>
      <c r="D725" s="269">
        <v>41793</v>
      </c>
      <c r="E725" s="270" t="s">
        <v>2358</v>
      </c>
      <c r="F725" s="384">
        <v>520000</v>
      </c>
      <c r="G725" s="270">
        <v>800008903</v>
      </c>
      <c r="H725" s="270"/>
    </row>
    <row r="726" spans="1:8" x14ac:dyDescent="0.25">
      <c r="A726" s="257">
        <v>728</v>
      </c>
      <c r="B726" s="267">
        <v>725</v>
      </c>
      <c r="C726" s="268" t="s">
        <v>265</v>
      </c>
      <c r="D726" s="269">
        <v>41793</v>
      </c>
      <c r="E726" s="270" t="s">
        <v>450</v>
      </c>
      <c r="F726" s="384">
        <v>405000</v>
      </c>
      <c r="G726" s="270">
        <v>100468996</v>
      </c>
      <c r="H726" s="270"/>
    </row>
    <row r="727" spans="1:8" x14ac:dyDescent="0.25">
      <c r="A727" s="257">
        <v>729</v>
      </c>
      <c r="B727" s="267">
        <v>726</v>
      </c>
      <c r="C727" s="268" t="s">
        <v>904</v>
      </c>
      <c r="D727" s="269">
        <v>41793</v>
      </c>
      <c r="E727" s="270" t="s">
        <v>5</v>
      </c>
      <c r="F727" s="384">
        <v>280000</v>
      </c>
      <c r="G727" s="270">
        <v>100067717</v>
      </c>
      <c r="H727" s="270"/>
    </row>
    <row r="728" spans="1:8" x14ac:dyDescent="0.25">
      <c r="A728" s="257">
        <v>730</v>
      </c>
      <c r="B728" s="267">
        <v>727</v>
      </c>
      <c r="C728" s="268" t="s">
        <v>889</v>
      </c>
      <c r="D728" s="269">
        <v>41793</v>
      </c>
      <c r="E728" s="270" t="s">
        <v>2149</v>
      </c>
      <c r="F728" s="384">
        <v>223000</v>
      </c>
      <c r="G728" s="270">
        <v>100236027</v>
      </c>
      <c r="H728" s="270"/>
    </row>
    <row r="729" spans="1:8" x14ac:dyDescent="0.25">
      <c r="A729" s="257">
        <v>731</v>
      </c>
      <c r="B729" s="267">
        <v>728</v>
      </c>
      <c r="C729" s="268" t="s">
        <v>4234</v>
      </c>
      <c r="D729" s="269">
        <v>41794</v>
      </c>
      <c r="E729" s="270" t="s">
        <v>340</v>
      </c>
      <c r="F729" s="384">
        <v>405000</v>
      </c>
      <c r="G729" s="270">
        <v>190444477</v>
      </c>
      <c r="H729" s="270"/>
    </row>
    <row r="730" spans="1:8" x14ac:dyDescent="0.25">
      <c r="A730" s="257">
        <v>732</v>
      </c>
      <c r="B730" s="267">
        <v>729</v>
      </c>
      <c r="C730" s="268" t="s">
        <v>4234</v>
      </c>
      <c r="D730" s="269">
        <v>41794</v>
      </c>
      <c r="E730" s="270" t="s">
        <v>340</v>
      </c>
      <c r="F730" s="384">
        <v>810000</v>
      </c>
      <c r="G730" s="270">
        <v>190444477</v>
      </c>
      <c r="H730" s="270"/>
    </row>
    <row r="731" spans="1:8" x14ac:dyDescent="0.25">
      <c r="A731" s="257">
        <v>733</v>
      </c>
      <c r="B731" s="267">
        <v>730</v>
      </c>
      <c r="C731" s="268" t="s">
        <v>2716</v>
      </c>
      <c r="D731" s="269">
        <v>41794</v>
      </c>
      <c r="E731" s="270" t="s">
        <v>2760</v>
      </c>
      <c r="F731" s="384">
        <v>780000</v>
      </c>
      <c r="G731" s="270">
        <v>100801936</v>
      </c>
      <c r="H731" s="270"/>
    </row>
    <row r="732" spans="1:8" x14ac:dyDescent="0.25">
      <c r="A732" s="257">
        <v>734</v>
      </c>
      <c r="B732" s="267">
        <v>731</v>
      </c>
      <c r="C732" s="268" t="s">
        <v>3586</v>
      </c>
      <c r="D732" s="269">
        <v>41794</v>
      </c>
      <c r="E732" s="270" t="s">
        <v>1611</v>
      </c>
      <c r="F732" s="384">
        <v>170000</v>
      </c>
      <c r="G732" s="270">
        <v>690397706</v>
      </c>
      <c r="H732" s="270"/>
    </row>
    <row r="733" spans="1:8" x14ac:dyDescent="0.25">
      <c r="A733" s="257">
        <v>735</v>
      </c>
      <c r="B733" s="267">
        <v>732</v>
      </c>
      <c r="C733" s="268" t="s">
        <v>3836</v>
      </c>
      <c r="D733" s="269">
        <v>41794</v>
      </c>
      <c r="E733" s="270" t="s">
        <v>3136</v>
      </c>
      <c r="F733" s="384">
        <v>600000</v>
      </c>
      <c r="G733" s="270">
        <v>690612576</v>
      </c>
      <c r="H733" s="270"/>
    </row>
    <row r="734" spans="1:8" x14ac:dyDescent="0.25">
      <c r="A734" s="257">
        <v>736</v>
      </c>
      <c r="B734" s="267">
        <v>733</v>
      </c>
      <c r="C734" s="268" t="s">
        <v>3658</v>
      </c>
      <c r="D734" s="269">
        <v>41794</v>
      </c>
      <c r="E734" s="270" t="s">
        <v>3552</v>
      </c>
      <c r="F734" s="384">
        <v>405000</v>
      </c>
      <c r="G734" s="270">
        <v>191569368</v>
      </c>
      <c r="H734" s="270"/>
    </row>
    <row r="735" spans="1:8" x14ac:dyDescent="0.25">
      <c r="A735" s="257">
        <v>737</v>
      </c>
      <c r="B735" s="267">
        <v>734</v>
      </c>
      <c r="C735" s="268" t="s">
        <v>3658</v>
      </c>
      <c r="D735" s="269">
        <v>41794</v>
      </c>
      <c r="E735" s="270" t="s">
        <v>3552</v>
      </c>
      <c r="F735" s="384">
        <v>260000</v>
      </c>
      <c r="G735" s="270">
        <v>191569368</v>
      </c>
      <c r="H735" s="270"/>
    </row>
    <row r="736" spans="1:8" x14ac:dyDescent="0.25">
      <c r="A736" s="257">
        <v>738</v>
      </c>
      <c r="B736" s="267">
        <v>735</v>
      </c>
      <c r="C736" s="268" t="s">
        <v>2434</v>
      </c>
      <c r="D736" s="269">
        <v>41794</v>
      </c>
      <c r="E736" s="270" t="s">
        <v>820</v>
      </c>
      <c r="F736" s="384">
        <v>260000</v>
      </c>
      <c r="G736" s="270">
        <v>191301074</v>
      </c>
      <c r="H736" s="270"/>
    </row>
    <row r="737" spans="1:8" x14ac:dyDescent="0.25">
      <c r="A737" s="257">
        <v>739</v>
      </c>
      <c r="B737" s="267">
        <v>736</v>
      </c>
      <c r="C737" s="268" t="s">
        <v>11</v>
      </c>
      <c r="D737" s="269">
        <v>41795</v>
      </c>
      <c r="E737" s="270" t="s">
        <v>1114</v>
      </c>
      <c r="F737" s="384">
        <v>386000</v>
      </c>
      <c r="G737" s="270">
        <v>101310002</v>
      </c>
      <c r="H737" s="270"/>
    </row>
    <row r="738" spans="1:8" x14ac:dyDescent="0.25">
      <c r="A738" s="257">
        <v>740</v>
      </c>
      <c r="B738" s="267">
        <v>737</v>
      </c>
      <c r="C738" s="268" t="s">
        <v>2966</v>
      </c>
      <c r="D738" s="269">
        <v>41795</v>
      </c>
      <c r="E738" s="270" t="s">
        <v>2885</v>
      </c>
      <c r="F738" s="384">
        <v>405000</v>
      </c>
      <c r="G738" s="270">
        <v>691132355</v>
      </c>
      <c r="H738" s="270"/>
    </row>
    <row r="739" spans="1:8" x14ac:dyDescent="0.25">
      <c r="A739" s="257">
        <v>741</v>
      </c>
      <c r="B739" s="267">
        <v>738</v>
      </c>
      <c r="C739" s="268" t="s">
        <v>212</v>
      </c>
      <c r="D739" s="269">
        <v>41795</v>
      </c>
      <c r="E739" s="270" t="s">
        <v>4187</v>
      </c>
      <c r="F739" s="384">
        <v>59000</v>
      </c>
      <c r="G739" s="270">
        <v>190812215</v>
      </c>
      <c r="H739" s="270"/>
    </row>
    <row r="740" spans="1:8" x14ac:dyDescent="0.25">
      <c r="A740" s="257">
        <v>742</v>
      </c>
      <c r="B740" s="267">
        <v>739</v>
      </c>
      <c r="C740" s="268" t="s">
        <v>145</v>
      </c>
      <c r="D740" s="269">
        <v>41795</v>
      </c>
      <c r="E740" s="270" t="s">
        <v>403</v>
      </c>
      <c r="F740" s="384">
        <v>405000</v>
      </c>
      <c r="G740" s="270">
        <v>190471062</v>
      </c>
      <c r="H740" s="270"/>
    </row>
    <row r="741" spans="1:8" x14ac:dyDescent="0.25">
      <c r="A741" s="257">
        <v>743</v>
      </c>
      <c r="B741" s="267">
        <v>740</v>
      </c>
      <c r="C741" s="268" t="s">
        <v>3309</v>
      </c>
      <c r="D741" s="269">
        <v>41795</v>
      </c>
      <c r="E741" s="270" t="s">
        <v>1692</v>
      </c>
      <c r="F741" s="384">
        <v>372000</v>
      </c>
      <c r="G741" s="270">
        <v>600537220</v>
      </c>
      <c r="H741" s="270"/>
    </row>
    <row r="742" spans="1:8" x14ac:dyDescent="0.25">
      <c r="A742" s="257">
        <v>744</v>
      </c>
      <c r="B742" s="267">
        <v>741</v>
      </c>
      <c r="C742" s="268" t="s">
        <v>1658</v>
      </c>
      <c r="D742" s="269">
        <v>41796</v>
      </c>
      <c r="E742" s="270" t="s">
        <v>825</v>
      </c>
      <c r="F742" s="384">
        <v>145000</v>
      </c>
      <c r="G742" s="270">
        <v>100951254</v>
      </c>
      <c r="H742" s="270"/>
    </row>
    <row r="743" spans="1:8" x14ac:dyDescent="0.25">
      <c r="A743" s="257">
        <v>745</v>
      </c>
      <c r="B743" s="267">
        <v>742</v>
      </c>
      <c r="C743" s="268" t="s">
        <v>2751</v>
      </c>
      <c r="D743" s="269">
        <v>41796</v>
      </c>
      <c r="E743" s="270" t="s">
        <v>449</v>
      </c>
      <c r="F743" s="384">
        <v>1215000</v>
      </c>
      <c r="G743" s="270">
        <v>100025732</v>
      </c>
      <c r="H743" s="270"/>
    </row>
    <row r="744" spans="1:8" x14ac:dyDescent="0.25">
      <c r="A744" s="257">
        <v>746</v>
      </c>
      <c r="B744" s="267">
        <v>743</v>
      </c>
      <c r="C744" s="268" t="s">
        <v>2166</v>
      </c>
      <c r="D744" s="269">
        <v>41796</v>
      </c>
      <c r="E744" s="270" t="s">
        <v>1685</v>
      </c>
      <c r="F744" s="384">
        <v>150000</v>
      </c>
      <c r="G744" s="270">
        <v>100315326</v>
      </c>
      <c r="H744" s="270"/>
    </row>
    <row r="745" spans="1:8" x14ac:dyDescent="0.25">
      <c r="A745" s="257">
        <v>747</v>
      </c>
      <c r="B745" s="267">
        <v>744</v>
      </c>
      <c r="C745" s="268" t="s">
        <v>337</v>
      </c>
      <c r="D745" s="269">
        <v>41796</v>
      </c>
      <c r="E745" s="270" t="s">
        <v>3580</v>
      </c>
      <c r="F745" s="384">
        <v>223000</v>
      </c>
      <c r="G745" s="270">
        <v>100863054</v>
      </c>
      <c r="H745" s="270"/>
    </row>
    <row r="746" spans="1:8" x14ac:dyDescent="0.25">
      <c r="A746" s="257">
        <v>748</v>
      </c>
      <c r="B746" s="267">
        <v>745</v>
      </c>
      <c r="C746" s="268" t="s">
        <v>3223</v>
      </c>
      <c r="D746" s="269">
        <v>41796</v>
      </c>
      <c r="E746" s="270" t="s">
        <v>3303</v>
      </c>
      <c r="F746" s="384">
        <v>260000</v>
      </c>
      <c r="G746" s="270">
        <v>100297103</v>
      </c>
      <c r="H746" s="270"/>
    </row>
    <row r="747" spans="1:8" x14ac:dyDescent="0.25">
      <c r="A747" s="257">
        <v>749</v>
      </c>
      <c r="B747" s="267">
        <v>746</v>
      </c>
      <c r="C747" s="268" t="s">
        <v>2971</v>
      </c>
      <c r="D747" s="269">
        <v>41796</v>
      </c>
      <c r="E747" s="270" t="s">
        <v>4197</v>
      </c>
      <c r="F747" s="384">
        <v>59000</v>
      </c>
      <c r="G747" s="270">
        <v>691573917</v>
      </c>
      <c r="H747" s="270"/>
    </row>
    <row r="748" spans="1:8" x14ac:dyDescent="0.25">
      <c r="A748" s="257">
        <v>750</v>
      </c>
      <c r="B748" s="267">
        <v>747</v>
      </c>
      <c r="C748" s="268" t="s">
        <v>3836</v>
      </c>
      <c r="D748" s="269">
        <v>41799</v>
      </c>
      <c r="E748" s="270" t="s">
        <v>3136</v>
      </c>
      <c r="F748" s="384">
        <v>57000</v>
      </c>
      <c r="G748" s="270">
        <v>690612576</v>
      </c>
      <c r="H748" s="270"/>
    </row>
    <row r="749" spans="1:8" x14ac:dyDescent="0.25">
      <c r="A749" s="257">
        <v>751</v>
      </c>
      <c r="B749" s="267">
        <v>748</v>
      </c>
      <c r="C749" s="268" t="s">
        <v>802</v>
      </c>
      <c r="D749" s="269">
        <v>41799</v>
      </c>
      <c r="E749" s="270" t="s">
        <v>1641</v>
      </c>
      <c r="F749" s="384">
        <v>150000</v>
      </c>
      <c r="G749" s="270">
        <v>100135464</v>
      </c>
      <c r="H749" s="270"/>
    </row>
    <row r="750" spans="1:8" x14ac:dyDescent="0.25">
      <c r="A750" s="257">
        <v>752</v>
      </c>
      <c r="B750" s="267">
        <v>749</v>
      </c>
      <c r="C750" s="268" t="s">
        <v>1784</v>
      </c>
      <c r="D750" s="269">
        <v>41799</v>
      </c>
      <c r="E750" s="270" t="s">
        <v>739</v>
      </c>
      <c r="F750" s="384">
        <v>405000</v>
      </c>
      <c r="G750" s="270">
        <v>190345942</v>
      </c>
      <c r="H750" s="270"/>
    </row>
    <row r="751" spans="1:8" x14ac:dyDescent="0.25">
      <c r="A751" s="257">
        <v>753</v>
      </c>
      <c r="B751" s="267">
        <v>750</v>
      </c>
      <c r="C751" s="268" t="s">
        <v>1366</v>
      </c>
      <c r="D751" s="269">
        <v>41799</v>
      </c>
      <c r="E751" s="270" t="s">
        <v>1118</v>
      </c>
      <c r="F751" s="384">
        <v>223000</v>
      </c>
      <c r="G751" s="270">
        <v>691601521</v>
      </c>
      <c r="H751" s="270"/>
    </row>
    <row r="752" spans="1:8" x14ac:dyDescent="0.25">
      <c r="A752" s="257">
        <v>754</v>
      </c>
      <c r="B752" s="267">
        <v>751</v>
      </c>
      <c r="C752" s="268" t="s">
        <v>3864</v>
      </c>
      <c r="D752" s="269">
        <v>41799</v>
      </c>
      <c r="E752" s="270" t="s">
        <v>906</v>
      </c>
      <c r="F752" s="384">
        <v>186000</v>
      </c>
      <c r="G752" s="270">
        <v>100348119</v>
      </c>
      <c r="H752" s="270"/>
    </row>
    <row r="753" spans="1:8" x14ac:dyDescent="0.25">
      <c r="A753" s="257">
        <v>755</v>
      </c>
      <c r="B753" s="267">
        <v>752</v>
      </c>
      <c r="C753" s="268" t="s">
        <v>2828</v>
      </c>
      <c r="D753" s="269">
        <v>41799</v>
      </c>
      <c r="E753" s="270" t="s">
        <v>892</v>
      </c>
      <c r="F753" s="384">
        <v>150000</v>
      </c>
      <c r="G753" s="270">
        <v>100390954</v>
      </c>
      <c r="H753" s="270"/>
    </row>
    <row r="754" spans="1:8" x14ac:dyDescent="0.25">
      <c r="A754" s="257">
        <v>756</v>
      </c>
      <c r="B754" s="267">
        <v>753</v>
      </c>
      <c r="C754" s="268" t="s">
        <v>2889</v>
      </c>
      <c r="D754" s="269">
        <v>41799</v>
      </c>
      <c r="E754" s="270" t="s">
        <v>523</v>
      </c>
      <c r="F754" s="384">
        <v>405000</v>
      </c>
      <c r="G754" s="270">
        <v>691539111</v>
      </c>
      <c r="H754" s="270"/>
    </row>
    <row r="755" spans="1:8" x14ac:dyDescent="0.25">
      <c r="A755" s="257">
        <v>757</v>
      </c>
      <c r="B755" s="267">
        <v>754</v>
      </c>
      <c r="C755" s="268" t="s">
        <v>2835</v>
      </c>
      <c r="D755" s="269">
        <v>41799</v>
      </c>
      <c r="E755" s="270" t="s">
        <v>2890</v>
      </c>
      <c r="F755" s="384">
        <v>520000</v>
      </c>
      <c r="G755" s="270">
        <v>690367172</v>
      </c>
      <c r="H755" s="270"/>
    </row>
    <row r="756" spans="1:8" x14ac:dyDescent="0.25">
      <c r="A756" s="257">
        <v>758</v>
      </c>
      <c r="B756" s="267">
        <v>755</v>
      </c>
      <c r="C756" s="268" t="s">
        <v>3538</v>
      </c>
      <c r="D756" s="269">
        <v>41799</v>
      </c>
      <c r="E756" s="270" t="s">
        <v>445</v>
      </c>
      <c r="F756" s="384">
        <v>186000</v>
      </c>
      <c r="G756" s="270">
        <v>190696505</v>
      </c>
      <c r="H756" s="270"/>
    </row>
    <row r="757" spans="1:8" x14ac:dyDescent="0.25">
      <c r="A757" s="257">
        <v>759</v>
      </c>
      <c r="B757" s="267">
        <v>756</v>
      </c>
      <c r="C757" s="268" t="s">
        <v>717</v>
      </c>
      <c r="D757" s="269">
        <v>41799</v>
      </c>
      <c r="E757" s="270" t="s">
        <v>707</v>
      </c>
      <c r="F757" s="384">
        <v>150000</v>
      </c>
      <c r="G757" s="270">
        <v>191084413</v>
      </c>
      <c r="H757" s="270"/>
    </row>
    <row r="758" spans="1:8" x14ac:dyDescent="0.25">
      <c r="A758" s="257">
        <v>760</v>
      </c>
      <c r="B758" s="267">
        <v>757</v>
      </c>
      <c r="C758" s="268" t="s">
        <v>2440</v>
      </c>
      <c r="D758" s="269">
        <v>41799</v>
      </c>
      <c r="E758" s="270" t="s">
        <v>404</v>
      </c>
      <c r="F758" s="384">
        <v>223000</v>
      </c>
      <c r="G758" s="270">
        <v>690657151</v>
      </c>
      <c r="H758" s="270"/>
    </row>
    <row r="759" spans="1:8" x14ac:dyDescent="0.25">
      <c r="A759" s="257">
        <v>761</v>
      </c>
      <c r="B759" s="267">
        <v>758</v>
      </c>
      <c r="C759" s="268" t="s">
        <v>2955</v>
      </c>
      <c r="D759" s="269">
        <v>41799</v>
      </c>
      <c r="E759" s="270" t="s">
        <v>1929</v>
      </c>
      <c r="F759" s="384">
        <v>223000</v>
      </c>
      <c r="G759" s="270">
        <v>200551259</v>
      </c>
      <c r="H759" s="270"/>
    </row>
    <row r="760" spans="1:8" x14ac:dyDescent="0.25">
      <c r="A760" s="257">
        <v>762</v>
      </c>
      <c r="B760" s="267">
        <v>759</v>
      </c>
      <c r="C760" s="268" t="s">
        <v>2963</v>
      </c>
      <c r="D760" s="269">
        <v>41800</v>
      </c>
      <c r="E760" s="270" t="s">
        <v>220</v>
      </c>
      <c r="F760" s="384">
        <v>818000</v>
      </c>
      <c r="G760" s="270">
        <v>100230496</v>
      </c>
      <c r="H760" s="270"/>
    </row>
    <row r="761" spans="1:8" x14ac:dyDescent="0.25">
      <c r="A761" s="257">
        <v>763</v>
      </c>
      <c r="B761" s="267">
        <v>760</v>
      </c>
      <c r="C761" s="268" t="s">
        <v>3284</v>
      </c>
      <c r="D761" s="269">
        <v>41800</v>
      </c>
      <c r="E761" s="270" t="s">
        <v>1651</v>
      </c>
      <c r="F761" s="384">
        <v>405000</v>
      </c>
      <c r="G761" s="270">
        <v>190884251</v>
      </c>
      <c r="H761" s="270"/>
    </row>
    <row r="762" spans="1:8" x14ac:dyDescent="0.25">
      <c r="A762" s="257">
        <v>764</v>
      </c>
      <c r="B762" s="267">
        <v>761</v>
      </c>
      <c r="C762" s="268" t="s">
        <v>1629</v>
      </c>
      <c r="D762" s="269">
        <v>41800</v>
      </c>
      <c r="E762" s="270" t="s">
        <v>2378</v>
      </c>
      <c r="F762" s="384">
        <v>927000</v>
      </c>
      <c r="G762" s="270">
        <v>192009540</v>
      </c>
      <c r="H762" s="270"/>
    </row>
    <row r="763" spans="1:8" x14ac:dyDescent="0.25">
      <c r="A763" s="257">
        <v>765</v>
      </c>
      <c r="B763" s="267">
        <v>762</v>
      </c>
      <c r="C763" s="268" t="s">
        <v>4234</v>
      </c>
      <c r="D763" s="269">
        <v>41800</v>
      </c>
      <c r="E763" s="270" t="s">
        <v>340</v>
      </c>
      <c r="F763" s="384">
        <v>405000</v>
      </c>
      <c r="G763" s="270">
        <v>190444477</v>
      </c>
      <c r="H763" s="270"/>
    </row>
    <row r="764" spans="1:8" x14ac:dyDescent="0.25">
      <c r="A764" s="257">
        <v>766</v>
      </c>
      <c r="B764" s="267">
        <v>763</v>
      </c>
      <c r="C764" s="268" t="s">
        <v>2162</v>
      </c>
      <c r="D764" s="269">
        <v>41800</v>
      </c>
      <c r="E764" s="270" t="s">
        <v>3244</v>
      </c>
      <c r="F764" s="384">
        <v>59000</v>
      </c>
      <c r="G764" s="270">
        <v>600011780</v>
      </c>
      <c r="H764" s="270"/>
    </row>
    <row r="765" spans="1:8" x14ac:dyDescent="0.25">
      <c r="A765" s="257">
        <v>767</v>
      </c>
      <c r="B765" s="267">
        <v>764</v>
      </c>
      <c r="C765" s="268" t="s">
        <v>889</v>
      </c>
      <c r="D765" s="269">
        <v>41800</v>
      </c>
      <c r="E765" s="270" t="s">
        <v>2149</v>
      </c>
      <c r="F765" s="384">
        <v>41000</v>
      </c>
      <c r="G765" s="270">
        <v>100236027</v>
      </c>
      <c r="H765" s="270"/>
    </row>
    <row r="766" spans="1:8" x14ac:dyDescent="0.25">
      <c r="A766" s="257">
        <v>768</v>
      </c>
      <c r="B766" s="267">
        <v>765</v>
      </c>
      <c r="C766" s="268" t="s">
        <v>870</v>
      </c>
      <c r="D766" s="269">
        <v>41800</v>
      </c>
      <c r="E766" s="270" t="s">
        <v>428</v>
      </c>
      <c r="F766" s="384">
        <v>409000</v>
      </c>
      <c r="G766" s="270">
        <v>100783448</v>
      </c>
      <c r="H766" s="270"/>
    </row>
    <row r="767" spans="1:8" x14ac:dyDescent="0.25">
      <c r="A767" s="257">
        <v>769</v>
      </c>
      <c r="B767" s="267">
        <v>766</v>
      </c>
      <c r="C767" s="268" t="s">
        <v>3855</v>
      </c>
      <c r="D767" s="269">
        <v>41800</v>
      </c>
      <c r="E767" s="270" t="s">
        <v>2700</v>
      </c>
      <c r="F767" s="384">
        <v>280000</v>
      </c>
      <c r="G767" s="270">
        <v>100422536</v>
      </c>
      <c r="H767" s="270"/>
    </row>
    <row r="768" spans="1:8" x14ac:dyDescent="0.25">
      <c r="A768" s="257">
        <v>770</v>
      </c>
      <c r="B768" s="267">
        <v>767</v>
      </c>
      <c r="C768" s="268" t="s">
        <v>3658</v>
      </c>
      <c r="D768" s="269">
        <v>41800</v>
      </c>
      <c r="E768" s="270" t="s">
        <v>3552</v>
      </c>
      <c r="F768" s="384">
        <v>59000</v>
      </c>
      <c r="G768" s="270">
        <v>191569368</v>
      </c>
      <c r="H768" s="270"/>
    </row>
    <row r="769" spans="1:8" x14ac:dyDescent="0.25">
      <c r="A769" s="257">
        <v>771</v>
      </c>
      <c r="B769" s="267">
        <v>768</v>
      </c>
      <c r="C769" s="268" t="s">
        <v>3658</v>
      </c>
      <c r="D769" s="269">
        <v>41800</v>
      </c>
      <c r="E769" s="270" t="s">
        <v>3552</v>
      </c>
      <c r="F769" s="384">
        <v>405000</v>
      </c>
      <c r="G769" s="270">
        <v>191569368</v>
      </c>
      <c r="H769" s="270"/>
    </row>
    <row r="770" spans="1:8" x14ac:dyDescent="0.25">
      <c r="A770" s="257">
        <v>772</v>
      </c>
      <c r="B770" s="267">
        <v>769</v>
      </c>
      <c r="C770" s="268" t="s">
        <v>846</v>
      </c>
      <c r="D770" s="269">
        <v>41800</v>
      </c>
      <c r="E770" s="270" t="s">
        <v>500</v>
      </c>
      <c r="F770" s="384">
        <v>186000</v>
      </c>
      <c r="G770" s="270">
        <v>690631984</v>
      </c>
      <c r="H770" s="270"/>
    </row>
    <row r="771" spans="1:8" x14ac:dyDescent="0.25">
      <c r="A771" s="257">
        <v>773</v>
      </c>
      <c r="B771" s="267">
        <v>770</v>
      </c>
      <c r="C771" s="268" t="s">
        <v>3550</v>
      </c>
      <c r="D771" s="269">
        <v>41800</v>
      </c>
      <c r="E771" s="270" t="s">
        <v>2676</v>
      </c>
      <c r="F771" s="384">
        <v>63000</v>
      </c>
      <c r="G771" s="270">
        <v>690594220</v>
      </c>
      <c r="H771" s="270"/>
    </row>
    <row r="772" spans="1:8" x14ac:dyDescent="0.25">
      <c r="A772" s="257">
        <v>774</v>
      </c>
      <c r="B772" s="267">
        <v>771</v>
      </c>
      <c r="C772" s="268" t="s">
        <v>1525</v>
      </c>
      <c r="D772" s="269">
        <v>41801</v>
      </c>
      <c r="E772" s="270" t="s">
        <v>1005</v>
      </c>
      <c r="F772" s="384">
        <v>150000</v>
      </c>
      <c r="G772" s="270">
        <v>101116081</v>
      </c>
      <c r="H772" s="270"/>
    </row>
    <row r="773" spans="1:8" x14ac:dyDescent="0.25">
      <c r="A773" s="257">
        <v>775</v>
      </c>
      <c r="B773" s="267">
        <v>772</v>
      </c>
      <c r="C773" s="268" t="s">
        <v>960</v>
      </c>
      <c r="D773" s="269">
        <v>41801</v>
      </c>
      <c r="E773" s="270" t="s">
        <v>959</v>
      </c>
      <c r="F773" s="384">
        <v>405000</v>
      </c>
      <c r="G773" s="270">
        <v>100977215</v>
      </c>
      <c r="H773" s="270"/>
    </row>
    <row r="774" spans="1:8" x14ac:dyDescent="0.25">
      <c r="A774" s="257">
        <v>776</v>
      </c>
      <c r="B774" s="267">
        <v>773</v>
      </c>
      <c r="C774" s="268" t="s">
        <v>2645</v>
      </c>
      <c r="D774" s="269">
        <v>41801</v>
      </c>
      <c r="E774" s="270" t="s">
        <v>239</v>
      </c>
      <c r="F774" s="384">
        <v>405000</v>
      </c>
      <c r="G774" s="270">
        <v>101139097</v>
      </c>
      <c r="H774" s="270"/>
    </row>
    <row r="775" spans="1:8" x14ac:dyDescent="0.25">
      <c r="A775" s="257">
        <v>777</v>
      </c>
      <c r="B775" s="267">
        <v>774</v>
      </c>
      <c r="C775" s="268" t="s">
        <v>3860</v>
      </c>
      <c r="D775" s="269">
        <v>41801</v>
      </c>
      <c r="E775" s="270" t="s">
        <v>2638</v>
      </c>
      <c r="F775" s="384">
        <v>223000</v>
      </c>
      <c r="G775" s="270">
        <v>100279781</v>
      </c>
      <c r="H775" s="270"/>
    </row>
    <row r="776" spans="1:8" x14ac:dyDescent="0.25">
      <c r="A776" s="257">
        <v>778</v>
      </c>
      <c r="B776" s="267">
        <v>775</v>
      </c>
      <c r="C776" s="268" t="s">
        <v>2405</v>
      </c>
      <c r="D776" s="269">
        <v>41801</v>
      </c>
      <c r="E776" s="270" t="s">
        <v>1944</v>
      </c>
      <c r="F776" s="384">
        <v>186000</v>
      </c>
      <c r="G776" s="270">
        <v>100345799</v>
      </c>
      <c r="H776" s="270"/>
    </row>
    <row r="777" spans="1:8" x14ac:dyDescent="0.25">
      <c r="A777" s="257">
        <v>779</v>
      </c>
      <c r="B777" s="267">
        <v>776</v>
      </c>
      <c r="C777" s="268" t="s">
        <v>2857</v>
      </c>
      <c r="D777" s="269">
        <v>41801</v>
      </c>
      <c r="E777" s="270" t="s">
        <v>240</v>
      </c>
      <c r="F777" s="384">
        <v>405000</v>
      </c>
      <c r="G777" s="270">
        <v>191493224</v>
      </c>
      <c r="H777" s="270"/>
    </row>
    <row r="778" spans="1:8" x14ac:dyDescent="0.25">
      <c r="A778" s="257">
        <v>780</v>
      </c>
      <c r="B778" s="267">
        <v>777</v>
      </c>
      <c r="C778" s="268" t="s">
        <v>3130</v>
      </c>
      <c r="D778" s="269">
        <v>41801</v>
      </c>
      <c r="E778" s="270" t="s">
        <v>2740</v>
      </c>
      <c r="F778" s="384">
        <v>260000</v>
      </c>
      <c r="G778" s="270">
        <v>690611383</v>
      </c>
      <c r="H778" s="270"/>
    </row>
    <row r="779" spans="1:8" x14ac:dyDescent="0.25">
      <c r="A779" s="257">
        <v>781</v>
      </c>
      <c r="B779" s="267">
        <v>778</v>
      </c>
      <c r="C779" s="268" t="s">
        <v>832</v>
      </c>
      <c r="D779" s="269">
        <v>41801</v>
      </c>
      <c r="E779" s="270" t="s">
        <v>245</v>
      </c>
      <c r="F779" s="384">
        <v>372000</v>
      </c>
      <c r="G779" s="270">
        <v>100886879</v>
      </c>
      <c r="H779" s="270"/>
    </row>
    <row r="780" spans="1:8" x14ac:dyDescent="0.25">
      <c r="A780" s="257">
        <v>782</v>
      </c>
      <c r="B780" s="267">
        <v>779</v>
      </c>
      <c r="C780" s="268" t="s">
        <v>51</v>
      </c>
      <c r="D780" s="269">
        <v>41802</v>
      </c>
      <c r="E780" s="270" t="s">
        <v>2439</v>
      </c>
      <c r="F780" s="384">
        <v>129000</v>
      </c>
      <c r="G780" s="270">
        <v>101844835</v>
      </c>
      <c r="H780" s="270"/>
    </row>
    <row r="781" spans="1:8" x14ac:dyDescent="0.25">
      <c r="A781" s="257">
        <v>783</v>
      </c>
      <c r="B781" s="267">
        <v>780</v>
      </c>
      <c r="C781" s="268" t="s">
        <v>3101</v>
      </c>
      <c r="D781" s="269">
        <v>41802</v>
      </c>
      <c r="E781" s="270" t="s">
        <v>1022</v>
      </c>
      <c r="F781" s="384">
        <v>223000</v>
      </c>
      <c r="G781" s="270">
        <v>690591512</v>
      </c>
      <c r="H781" s="270"/>
    </row>
    <row r="782" spans="1:8" x14ac:dyDescent="0.25">
      <c r="A782" s="257">
        <v>784</v>
      </c>
      <c r="B782" s="267">
        <v>781</v>
      </c>
      <c r="C782" s="268" t="s">
        <v>265</v>
      </c>
      <c r="D782" s="269">
        <v>41802</v>
      </c>
      <c r="E782" s="270" t="s">
        <v>450</v>
      </c>
      <c r="F782" s="384">
        <v>405000</v>
      </c>
      <c r="G782" s="270">
        <v>100468996</v>
      </c>
      <c r="H782" s="270"/>
    </row>
    <row r="783" spans="1:8" x14ac:dyDescent="0.25">
      <c r="A783" s="257">
        <v>785</v>
      </c>
      <c r="B783" s="267">
        <v>782</v>
      </c>
      <c r="C783" s="268" t="s">
        <v>915</v>
      </c>
      <c r="D783" s="269">
        <v>41802</v>
      </c>
      <c r="E783" s="270" t="s">
        <v>3088</v>
      </c>
      <c r="F783" s="384">
        <v>405000</v>
      </c>
      <c r="G783" s="270">
        <v>102299021</v>
      </c>
      <c r="H783" s="270"/>
    </row>
    <row r="784" spans="1:8" x14ac:dyDescent="0.25">
      <c r="A784" s="257">
        <v>786</v>
      </c>
      <c r="B784" s="267">
        <v>783</v>
      </c>
      <c r="C784" s="268" t="s">
        <v>1540</v>
      </c>
      <c r="D784" s="269">
        <v>41802</v>
      </c>
      <c r="E784" s="270" t="s">
        <v>1818</v>
      </c>
      <c r="F784" s="384">
        <v>186000</v>
      </c>
      <c r="G784" s="270">
        <v>190835019</v>
      </c>
      <c r="H784" s="270"/>
    </row>
    <row r="785" spans="1:8" x14ac:dyDescent="0.25">
      <c r="A785" s="257">
        <v>787</v>
      </c>
      <c r="B785" s="267">
        <v>784</v>
      </c>
      <c r="C785" s="268" t="s">
        <v>2377</v>
      </c>
      <c r="D785" s="269">
        <v>41802</v>
      </c>
      <c r="E785" s="270" t="s">
        <v>226</v>
      </c>
      <c r="F785" s="384">
        <v>930000</v>
      </c>
      <c r="G785" s="270">
        <v>190654467</v>
      </c>
      <c r="H785" s="270"/>
    </row>
    <row r="786" spans="1:8" x14ac:dyDescent="0.25">
      <c r="A786" s="257">
        <v>788</v>
      </c>
      <c r="B786" s="267">
        <v>785</v>
      </c>
      <c r="C786" s="268" t="s">
        <v>732</v>
      </c>
      <c r="D786" s="269">
        <v>41803</v>
      </c>
      <c r="E786" s="270" t="s">
        <v>3238</v>
      </c>
      <c r="F786" s="384">
        <v>145000</v>
      </c>
      <c r="G786" s="270">
        <v>191870208</v>
      </c>
      <c r="H786" s="270"/>
    </row>
    <row r="787" spans="1:8" x14ac:dyDescent="0.25">
      <c r="A787" s="257">
        <v>789</v>
      </c>
      <c r="B787" s="267">
        <v>786</v>
      </c>
      <c r="C787" s="268" t="s">
        <v>3298</v>
      </c>
      <c r="D787" s="269">
        <v>41803</v>
      </c>
      <c r="E787" s="270" t="s">
        <v>980</v>
      </c>
      <c r="F787" s="384">
        <v>110000</v>
      </c>
      <c r="G787" s="270">
        <v>100015784</v>
      </c>
      <c r="H787" s="270"/>
    </row>
    <row r="788" spans="1:8" x14ac:dyDescent="0.25">
      <c r="A788" s="257">
        <v>790</v>
      </c>
      <c r="B788" s="267">
        <v>787</v>
      </c>
      <c r="C788" s="268" t="s">
        <v>494</v>
      </c>
      <c r="D788" s="269">
        <v>41803</v>
      </c>
      <c r="E788" s="270" t="s">
        <v>339</v>
      </c>
      <c r="F788" s="384">
        <v>405000</v>
      </c>
      <c r="G788" s="270">
        <v>690629013</v>
      </c>
      <c r="H788" s="270"/>
    </row>
    <row r="789" spans="1:8" x14ac:dyDescent="0.25">
      <c r="A789" s="257">
        <v>791</v>
      </c>
      <c r="B789" s="267">
        <v>788</v>
      </c>
      <c r="C789" s="268" t="s">
        <v>948</v>
      </c>
      <c r="D789" s="269">
        <v>41803</v>
      </c>
      <c r="E789" s="270" t="s">
        <v>225</v>
      </c>
      <c r="F789" s="384">
        <v>280000</v>
      </c>
      <c r="G789" s="270">
        <v>100152060</v>
      </c>
      <c r="H789" s="270"/>
    </row>
    <row r="790" spans="1:8" x14ac:dyDescent="0.25">
      <c r="A790" s="257">
        <v>792</v>
      </c>
      <c r="B790" s="267">
        <v>789</v>
      </c>
      <c r="C790" s="268" t="s">
        <v>2735</v>
      </c>
      <c r="D790" s="269">
        <v>41803</v>
      </c>
      <c r="E790" s="270" t="s">
        <v>141</v>
      </c>
      <c r="F790" s="384">
        <v>155000</v>
      </c>
      <c r="G790" s="270">
        <v>600049547</v>
      </c>
      <c r="H790" s="270"/>
    </row>
    <row r="791" spans="1:8" x14ac:dyDescent="0.25">
      <c r="A791" s="257">
        <v>793</v>
      </c>
      <c r="B791" s="267">
        <v>790</v>
      </c>
      <c r="C791" s="268" t="s">
        <v>3624</v>
      </c>
      <c r="D791" s="269">
        <v>41806</v>
      </c>
      <c r="E791" s="270" t="s">
        <v>528</v>
      </c>
      <c r="F791" s="384">
        <v>558000</v>
      </c>
      <c r="G791" s="270">
        <v>100068356</v>
      </c>
      <c r="H791" s="270"/>
    </row>
    <row r="792" spans="1:8" x14ac:dyDescent="0.25">
      <c r="A792" s="257">
        <v>794</v>
      </c>
      <c r="B792" s="267">
        <v>791</v>
      </c>
      <c r="C792" s="268" t="s">
        <v>2751</v>
      </c>
      <c r="D792" s="269">
        <v>41806</v>
      </c>
      <c r="E792" s="270" t="s">
        <v>449</v>
      </c>
      <c r="F792" s="384">
        <v>405000</v>
      </c>
      <c r="G792" s="270">
        <v>100025732</v>
      </c>
      <c r="H792" s="270"/>
    </row>
    <row r="793" spans="1:8" x14ac:dyDescent="0.25">
      <c r="A793" s="257">
        <v>795</v>
      </c>
      <c r="B793" s="267">
        <v>792</v>
      </c>
      <c r="C793" s="268" t="s">
        <v>1128</v>
      </c>
      <c r="D793" s="269">
        <v>41806</v>
      </c>
      <c r="E793" s="270" t="s">
        <v>3142</v>
      </c>
      <c r="F793" s="384">
        <v>134000</v>
      </c>
      <c r="G793" s="270">
        <v>190341035</v>
      </c>
      <c r="H793" s="270"/>
    </row>
    <row r="794" spans="1:8" x14ac:dyDescent="0.25">
      <c r="A794" s="257">
        <v>796</v>
      </c>
      <c r="B794" s="267">
        <v>793</v>
      </c>
      <c r="C794" s="268" t="s">
        <v>1525</v>
      </c>
      <c r="D794" s="269">
        <v>41806</v>
      </c>
      <c r="E794" s="270" t="s">
        <v>1005</v>
      </c>
      <c r="F794" s="384">
        <v>186000</v>
      </c>
      <c r="G794" s="270">
        <v>101116081</v>
      </c>
      <c r="H794" s="270"/>
    </row>
    <row r="795" spans="1:8" x14ac:dyDescent="0.25">
      <c r="A795" s="257">
        <v>797</v>
      </c>
      <c r="B795" s="267">
        <v>794</v>
      </c>
      <c r="C795" s="268" t="s">
        <v>429</v>
      </c>
      <c r="D795" s="269">
        <v>41806</v>
      </c>
      <c r="E795" s="270" t="s">
        <v>816</v>
      </c>
      <c r="F795" s="384">
        <v>260000</v>
      </c>
      <c r="G795" s="270">
        <v>101225557</v>
      </c>
      <c r="H795" s="270"/>
    </row>
    <row r="796" spans="1:8" x14ac:dyDescent="0.25">
      <c r="A796" s="257">
        <v>798</v>
      </c>
      <c r="B796" s="267">
        <v>795</v>
      </c>
      <c r="C796" s="268" t="s">
        <v>984</v>
      </c>
      <c r="D796" s="269">
        <v>41806</v>
      </c>
      <c r="E796" s="270" t="s">
        <v>2443</v>
      </c>
      <c r="F796" s="384">
        <v>186000</v>
      </c>
      <c r="G796" s="270">
        <v>100067931</v>
      </c>
      <c r="H796" s="270"/>
    </row>
    <row r="797" spans="1:8" x14ac:dyDescent="0.25">
      <c r="A797" s="257">
        <v>799</v>
      </c>
      <c r="B797" s="267">
        <v>796</v>
      </c>
      <c r="C797" s="268" t="s">
        <v>984</v>
      </c>
      <c r="D797" s="269">
        <v>41806</v>
      </c>
      <c r="E797" s="270" t="s">
        <v>2443</v>
      </c>
      <c r="F797" s="384">
        <v>34000</v>
      </c>
      <c r="G797" s="270">
        <v>100067931</v>
      </c>
      <c r="H797" s="270"/>
    </row>
    <row r="798" spans="1:8" x14ac:dyDescent="0.25">
      <c r="A798" s="257">
        <v>800</v>
      </c>
      <c r="B798" s="267">
        <v>797</v>
      </c>
      <c r="C798" s="268" t="s">
        <v>984</v>
      </c>
      <c r="D798" s="269">
        <v>41806</v>
      </c>
      <c r="E798" s="270" t="s">
        <v>2443</v>
      </c>
      <c r="F798" s="384">
        <v>632000</v>
      </c>
      <c r="G798" s="270">
        <v>100067931</v>
      </c>
      <c r="H798" s="270"/>
    </row>
    <row r="799" spans="1:8" x14ac:dyDescent="0.25">
      <c r="A799" s="257">
        <v>801</v>
      </c>
      <c r="B799" s="267">
        <v>798</v>
      </c>
      <c r="C799" s="268" t="s">
        <v>2895</v>
      </c>
      <c r="D799" s="269">
        <v>41807</v>
      </c>
      <c r="E799" s="270" t="s">
        <v>2843</v>
      </c>
      <c r="F799" s="384">
        <v>280000</v>
      </c>
      <c r="G799" s="270">
        <v>19146884</v>
      </c>
      <c r="H799" s="270"/>
    </row>
    <row r="800" spans="1:8" x14ac:dyDescent="0.25">
      <c r="A800" s="257">
        <v>802</v>
      </c>
      <c r="B800" s="267">
        <v>799</v>
      </c>
      <c r="C800" s="268" t="s">
        <v>1910</v>
      </c>
      <c r="D800" s="269">
        <v>41807</v>
      </c>
      <c r="E800" s="270" t="s">
        <v>2609</v>
      </c>
      <c r="F800" s="384">
        <v>186000</v>
      </c>
      <c r="G800" s="270">
        <v>190549048</v>
      </c>
      <c r="H800" s="270"/>
    </row>
    <row r="801" spans="1:8" x14ac:dyDescent="0.25">
      <c r="A801" s="257">
        <v>803</v>
      </c>
      <c r="B801" s="267">
        <v>800</v>
      </c>
      <c r="C801" s="268" t="s">
        <v>1910</v>
      </c>
      <c r="D801" s="269">
        <v>41807</v>
      </c>
      <c r="E801" s="270" t="s">
        <v>2609</v>
      </c>
      <c r="F801" s="384">
        <v>186000</v>
      </c>
      <c r="G801" s="270">
        <v>190549048</v>
      </c>
      <c r="H801" s="270"/>
    </row>
    <row r="802" spans="1:8" x14ac:dyDescent="0.25">
      <c r="A802" s="257">
        <v>804</v>
      </c>
      <c r="B802" s="267">
        <v>801</v>
      </c>
      <c r="C802" s="268" t="s">
        <v>1653</v>
      </c>
      <c r="D802" s="269">
        <v>41807</v>
      </c>
      <c r="E802" s="270" t="s">
        <v>171</v>
      </c>
      <c r="F802" s="384">
        <v>223000</v>
      </c>
      <c r="G802" s="270">
        <v>691074852</v>
      </c>
      <c r="H802" s="270"/>
    </row>
    <row r="803" spans="1:8" x14ac:dyDescent="0.25">
      <c r="A803" s="257">
        <v>805</v>
      </c>
      <c r="B803" s="267">
        <v>802</v>
      </c>
      <c r="C803" s="268" t="s">
        <v>2828</v>
      </c>
      <c r="D803" s="269">
        <v>41807</v>
      </c>
      <c r="E803" s="270" t="s">
        <v>892</v>
      </c>
      <c r="F803" s="384">
        <v>88000</v>
      </c>
      <c r="G803" s="270">
        <v>100390954</v>
      </c>
      <c r="H803" s="270"/>
    </row>
    <row r="804" spans="1:8" x14ac:dyDescent="0.25">
      <c r="A804" s="257">
        <v>806</v>
      </c>
      <c r="B804" s="267">
        <v>803</v>
      </c>
      <c r="C804" s="268" t="s">
        <v>3550</v>
      </c>
      <c r="D804" s="269">
        <v>41807</v>
      </c>
      <c r="E804" s="270" t="s">
        <v>2676</v>
      </c>
      <c r="F804" s="384">
        <v>59000</v>
      </c>
      <c r="G804" s="270">
        <v>690594220</v>
      </c>
      <c r="H804" s="270"/>
    </row>
    <row r="805" spans="1:8" x14ac:dyDescent="0.25">
      <c r="A805" s="257">
        <v>807</v>
      </c>
      <c r="B805" s="267">
        <v>804</v>
      </c>
      <c r="C805" s="268" t="s">
        <v>137</v>
      </c>
      <c r="D805" s="269">
        <v>41807</v>
      </c>
      <c r="E805" s="270" t="s">
        <v>405</v>
      </c>
      <c r="F805" s="384">
        <v>63000</v>
      </c>
      <c r="G805" s="270">
        <v>190778354</v>
      </c>
      <c r="H805" s="270"/>
    </row>
    <row r="806" spans="1:8" x14ac:dyDescent="0.25">
      <c r="A806" s="257">
        <v>808</v>
      </c>
      <c r="B806" s="267">
        <v>805</v>
      </c>
      <c r="C806" s="268" t="s">
        <v>2143</v>
      </c>
      <c r="D806" s="269">
        <v>41807</v>
      </c>
      <c r="E806" s="270" t="s">
        <v>1927</v>
      </c>
      <c r="F806" s="384">
        <v>373000</v>
      </c>
      <c r="G806" s="270">
        <v>190032958</v>
      </c>
      <c r="H806" s="270"/>
    </row>
    <row r="807" spans="1:8" x14ac:dyDescent="0.25">
      <c r="A807" s="257">
        <v>809</v>
      </c>
      <c r="B807" s="267">
        <v>806</v>
      </c>
      <c r="C807" s="268" t="s">
        <v>1806</v>
      </c>
      <c r="D807" s="269">
        <v>41807</v>
      </c>
      <c r="E807" s="270" t="s">
        <v>2370</v>
      </c>
      <c r="F807" s="384">
        <v>223000</v>
      </c>
      <c r="G807" s="270">
        <v>100315382</v>
      </c>
      <c r="H807" s="270"/>
    </row>
    <row r="808" spans="1:8" x14ac:dyDescent="0.25">
      <c r="A808" s="257">
        <v>810</v>
      </c>
      <c r="B808" s="267">
        <v>807</v>
      </c>
      <c r="C808" s="268" t="s">
        <v>2835</v>
      </c>
      <c r="D808" s="269">
        <v>41807</v>
      </c>
      <c r="E808" s="270" t="s">
        <v>2890</v>
      </c>
      <c r="F808" s="384">
        <v>150000</v>
      </c>
      <c r="G808" s="270">
        <v>690367172</v>
      </c>
      <c r="H808" s="270"/>
    </row>
    <row r="809" spans="1:8" x14ac:dyDescent="0.25">
      <c r="A809" s="257">
        <v>811</v>
      </c>
      <c r="B809" s="267">
        <v>808</v>
      </c>
      <c r="C809" s="268" t="s">
        <v>3545</v>
      </c>
      <c r="D809" s="269">
        <v>41807</v>
      </c>
      <c r="E809" s="270" t="s">
        <v>4192</v>
      </c>
      <c r="F809" s="384">
        <v>1115000</v>
      </c>
      <c r="G809" s="270">
        <v>190063577</v>
      </c>
      <c r="H809" s="270"/>
    </row>
    <row r="810" spans="1:8" x14ac:dyDescent="0.25">
      <c r="A810" s="257">
        <v>812</v>
      </c>
      <c r="B810" s="267">
        <v>809</v>
      </c>
      <c r="C810" s="268" t="s">
        <v>314</v>
      </c>
      <c r="D810" s="269">
        <v>41808</v>
      </c>
      <c r="E810" s="270" t="s">
        <v>3495</v>
      </c>
      <c r="F810" s="384">
        <v>223000</v>
      </c>
      <c r="G810" s="270">
        <v>808000252</v>
      </c>
      <c r="H810" s="270"/>
    </row>
    <row r="811" spans="1:8" x14ac:dyDescent="0.25">
      <c r="A811" s="257">
        <v>813</v>
      </c>
      <c r="B811" s="267">
        <v>810</v>
      </c>
      <c r="C811" s="268" t="s">
        <v>390</v>
      </c>
      <c r="D811" s="269">
        <v>41808</v>
      </c>
      <c r="E811" s="270" t="s">
        <v>3518</v>
      </c>
      <c r="F811" s="384">
        <v>186000</v>
      </c>
      <c r="G811" s="270">
        <v>100092100</v>
      </c>
      <c r="H811" s="270"/>
    </row>
    <row r="812" spans="1:8" x14ac:dyDescent="0.25">
      <c r="A812" s="257">
        <v>814</v>
      </c>
      <c r="B812" s="267">
        <v>811</v>
      </c>
      <c r="C812" s="268" t="s">
        <v>3633</v>
      </c>
      <c r="D812" s="269">
        <v>41808</v>
      </c>
      <c r="E812" s="270" t="s">
        <v>2845</v>
      </c>
      <c r="F812" s="384">
        <v>186000</v>
      </c>
      <c r="G812" s="270">
        <v>190321147</v>
      </c>
      <c r="H812" s="270"/>
    </row>
    <row r="813" spans="1:8" x14ac:dyDescent="0.25">
      <c r="A813" s="257">
        <v>815</v>
      </c>
      <c r="B813" s="267">
        <v>812</v>
      </c>
      <c r="C813" s="268" t="s">
        <v>3776</v>
      </c>
      <c r="D813" s="269">
        <v>41808</v>
      </c>
      <c r="E813" s="270" t="s">
        <v>182</v>
      </c>
      <c r="F813" s="384">
        <v>405000</v>
      </c>
      <c r="G813" s="270">
        <v>190113200</v>
      </c>
      <c r="H813" s="270"/>
    </row>
    <row r="814" spans="1:8" x14ac:dyDescent="0.25">
      <c r="A814" s="257">
        <v>816</v>
      </c>
      <c r="B814" s="267">
        <v>813</v>
      </c>
      <c r="C814" s="268" t="s">
        <v>51</v>
      </c>
      <c r="D814" s="269">
        <v>41808</v>
      </c>
      <c r="E814" s="270" t="s">
        <v>2439</v>
      </c>
      <c r="F814" s="384">
        <v>2600000</v>
      </c>
      <c r="G814" s="270">
        <v>101844835</v>
      </c>
      <c r="H814" s="270"/>
    </row>
    <row r="815" spans="1:8" x14ac:dyDescent="0.25">
      <c r="A815" s="257">
        <v>817</v>
      </c>
      <c r="B815" s="267">
        <v>814</v>
      </c>
      <c r="C815" s="268" t="s">
        <v>812</v>
      </c>
      <c r="D815" s="269">
        <v>41808</v>
      </c>
      <c r="E815" s="270" t="s">
        <v>1913</v>
      </c>
      <c r="F815" s="384">
        <v>150000</v>
      </c>
      <c r="G815" s="270">
        <v>190692658</v>
      </c>
      <c r="H815" s="270"/>
    </row>
    <row r="816" spans="1:8" x14ac:dyDescent="0.25">
      <c r="A816" s="257">
        <v>818</v>
      </c>
      <c r="B816" s="267">
        <v>815</v>
      </c>
      <c r="C816" s="268" t="s">
        <v>846</v>
      </c>
      <c r="D816" s="269">
        <v>41808</v>
      </c>
      <c r="E816" s="270" t="s">
        <v>500</v>
      </c>
      <c r="F816" s="384">
        <v>145000</v>
      </c>
      <c r="G816" s="270">
        <v>690631984</v>
      </c>
      <c r="H816" s="270"/>
    </row>
    <row r="817" spans="1:8" x14ac:dyDescent="0.25">
      <c r="A817" s="257">
        <v>819</v>
      </c>
      <c r="B817" s="267">
        <v>816</v>
      </c>
      <c r="C817" s="268" t="s">
        <v>1811</v>
      </c>
      <c r="D817" s="269">
        <v>41809</v>
      </c>
      <c r="E817" s="270" t="s">
        <v>2619</v>
      </c>
      <c r="F817" s="384">
        <v>223000</v>
      </c>
      <c r="G817" s="270">
        <v>190321121</v>
      </c>
      <c r="H817" s="270"/>
    </row>
    <row r="818" spans="1:8" x14ac:dyDescent="0.25">
      <c r="A818" s="257">
        <v>820</v>
      </c>
      <c r="B818" s="267">
        <v>817</v>
      </c>
      <c r="C818" s="268" t="s">
        <v>1826</v>
      </c>
      <c r="D818" s="269">
        <v>41809</v>
      </c>
      <c r="E818" s="270" t="s">
        <v>2424</v>
      </c>
      <c r="F818" s="384">
        <v>2150000</v>
      </c>
      <c r="G818" s="270">
        <v>101326441</v>
      </c>
      <c r="H818" s="270"/>
    </row>
    <row r="819" spans="1:8" x14ac:dyDescent="0.25">
      <c r="A819" s="257">
        <v>821</v>
      </c>
      <c r="B819" s="267">
        <v>818</v>
      </c>
      <c r="C819" s="268" t="s">
        <v>957</v>
      </c>
      <c r="D819" s="269">
        <v>41809</v>
      </c>
      <c r="E819" s="270" t="s">
        <v>3213</v>
      </c>
      <c r="F819" s="384">
        <v>186000</v>
      </c>
      <c r="G819" s="270">
        <v>191319130</v>
      </c>
      <c r="H819" s="270"/>
    </row>
    <row r="820" spans="1:8" x14ac:dyDescent="0.25">
      <c r="A820" s="257">
        <v>822</v>
      </c>
      <c r="B820" s="267">
        <v>819</v>
      </c>
      <c r="C820" s="268" t="s">
        <v>3132</v>
      </c>
      <c r="D820" s="269">
        <v>41809</v>
      </c>
      <c r="E820" s="270" t="s">
        <v>3493</v>
      </c>
      <c r="F820" s="384">
        <v>405000</v>
      </c>
      <c r="G820" s="270">
        <v>200700928</v>
      </c>
      <c r="H820" s="270"/>
    </row>
    <row r="821" spans="1:8" x14ac:dyDescent="0.25">
      <c r="A821" s="257">
        <v>823</v>
      </c>
      <c r="B821" s="267">
        <v>820</v>
      </c>
      <c r="C821" s="268" t="s">
        <v>4221</v>
      </c>
      <c r="D821" s="269">
        <v>41809</v>
      </c>
      <c r="E821" s="270" t="s">
        <v>3774</v>
      </c>
      <c r="F821" s="384">
        <v>200000</v>
      </c>
      <c r="G821" s="270">
        <v>690019524</v>
      </c>
      <c r="H821" s="270"/>
    </row>
    <row r="822" spans="1:8" x14ac:dyDescent="0.25">
      <c r="A822" s="257">
        <v>824</v>
      </c>
      <c r="B822" s="267">
        <v>821</v>
      </c>
      <c r="C822" s="268" t="s">
        <v>520</v>
      </c>
      <c r="D822" s="269">
        <v>41809</v>
      </c>
      <c r="E822" s="270" t="s">
        <v>3575</v>
      </c>
      <c r="F822" s="384">
        <v>409000</v>
      </c>
      <c r="G822" s="270">
        <v>190345927</v>
      </c>
      <c r="H822" s="270"/>
    </row>
    <row r="823" spans="1:8" x14ac:dyDescent="0.25">
      <c r="A823" s="257">
        <v>825</v>
      </c>
      <c r="B823" s="267">
        <v>822</v>
      </c>
      <c r="C823" s="268" t="s">
        <v>1772</v>
      </c>
      <c r="D823" s="269">
        <v>41810</v>
      </c>
      <c r="E823" s="270" t="s">
        <v>3640</v>
      </c>
      <c r="F823" s="384">
        <v>370000</v>
      </c>
      <c r="G823" s="270">
        <v>190717676</v>
      </c>
      <c r="H823" s="270"/>
    </row>
    <row r="824" spans="1:8" x14ac:dyDescent="0.25">
      <c r="A824" s="257">
        <v>826</v>
      </c>
      <c r="B824" s="267">
        <v>823</v>
      </c>
      <c r="C824" s="268" t="s">
        <v>2432</v>
      </c>
      <c r="D824" s="269">
        <v>41810</v>
      </c>
      <c r="E824" s="270" t="s">
        <v>1827</v>
      </c>
      <c r="F824" s="384">
        <v>260000</v>
      </c>
      <c r="G824" s="270">
        <v>691069640</v>
      </c>
      <c r="H824" s="270"/>
    </row>
    <row r="825" spans="1:8" x14ac:dyDescent="0.25">
      <c r="A825" s="257">
        <v>827</v>
      </c>
      <c r="B825" s="267">
        <v>824</v>
      </c>
      <c r="C825" s="268" t="s">
        <v>735</v>
      </c>
      <c r="D825" s="269">
        <v>41810</v>
      </c>
      <c r="E825" s="270" t="s">
        <v>2715</v>
      </c>
      <c r="F825" s="384">
        <v>260000</v>
      </c>
      <c r="G825" s="270">
        <v>191564259</v>
      </c>
      <c r="H825" s="270"/>
    </row>
    <row r="826" spans="1:8" x14ac:dyDescent="0.25">
      <c r="A826" s="257">
        <v>828</v>
      </c>
      <c r="B826" s="267">
        <v>825</v>
      </c>
      <c r="C826" s="268" t="s">
        <v>3126</v>
      </c>
      <c r="D826" s="269">
        <v>41810</v>
      </c>
      <c r="E826" s="270" t="s">
        <v>2409</v>
      </c>
      <c r="F826" s="384">
        <v>405000</v>
      </c>
      <c r="G826" s="270">
        <v>691464441</v>
      </c>
      <c r="H826" s="270"/>
    </row>
    <row r="827" spans="1:8" x14ac:dyDescent="0.25">
      <c r="A827" s="257">
        <v>829</v>
      </c>
      <c r="B827" s="267">
        <v>826</v>
      </c>
      <c r="C827" s="268" t="s">
        <v>910</v>
      </c>
      <c r="D827" s="269">
        <v>41810</v>
      </c>
      <c r="E827" s="270" t="s">
        <v>1656</v>
      </c>
      <c r="F827" s="384">
        <v>59000</v>
      </c>
      <c r="G827" s="270">
        <v>101439397</v>
      </c>
      <c r="H827" s="270"/>
    </row>
    <row r="828" spans="1:8" x14ac:dyDescent="0.25">
      <c r="A828" s="257">
        <v>830</v>
      </c>
      <c r="B828" s="267">
        <v>827</v>
      </c>
      <c r="C828" s="268" t="s">
        <v>2634</v>
      </c>
      <c r="D828" s="269">
        <v>41811</v>
      </c>
      <c r="E828" s="270" t="s">
        <v>1126</v>
      </c>
      <c r="F828" s="384">
        <v>223000</v>
      </c>
      <c r="G828" s="270">
        <v>101325710</v>
      </c>
      <c r="H828" s="270"/>
    </row>
    <row r="829" spans="1:8" x14ac:dyDescent="0.25">
      <c r="A829" s="257">
        <v>831</v>
      </c>
      <c r="B829" s="267">
        <v>828</v>
      </c>
      <c r="C829" s="268" t="s">
        <v>1811</v>
      </c>
      <c r="D829" s="269">
        <v>41813</v>
      </c>
      <c r="E829" s="270" t="s">
        <v>2619</v>
      </c>
      <c r="F829" s="384">
        <v>129000</v>
      </c>
      <c r="G829" s="270">
        <v>190321121</v>
      </c>
      <c r="H829" s="270"/>
    </row>
    <row r="830" spans="1:8" x14ac:dyDescent="0.25">
      <c r="A830" s="257">
        <v>832</v>
      </c>
      <c r="B830" s="267">
        <v>829</v>
      </c>
      <c r="C830" s="268" t="s">
        <v>1128</v>
      </c>
      <c r="D830" s="269">
        <v>41813</v>
      </c>
      <c r="E830" s="270" t="s">
        <v>3142</v>
      </c>
      <c r="F830" s="384">
        <v>59000</v>
      </c>
      <c r="G830" s="270">
        <v>190341035</v>
      </c>
      <c r="H830" s="270"/>
    </row>
    <row r="831" spans="1:8" x14ac:dyDescent="0.25">
      <c r="A831" s="257">
        <v>833</v>
      </c>
      <c r="B831" s="267">
        <v>830</v>
      </c>
      <c r="C831" s="268" t="s">
        <v>1128</v>
      </c>
      <c r="D831" s="269">
        <v>41813</v>
      </c>
      <c r="E831" s="270" t="s">
        <v>3142</v>
      </c>
      <c r="F831" s="384">
        <v>59000</v>
      </c>
      <c r="G831" s="270">
        <v>190341035</v>
      </c>
      <c r="H831" s="270"/>
    </row>
    <row r="832" spans="1:8" x14ac:dyDescent="0.25">
      <c r="A832" s="257">
        <v>834</v>
      </c>
      <c r="B832" s="267">
        <v>831</v>
      </c>
      <c r="C832" s="268" t="s">
        <v>384</v>
      </c>
      <c r="D832" s="269">
        <v>41813</v>
      </c>
      <c r="E832" s="270" t="s">
        <v>804</v>
      </c>
      <c r="F832" s="384">
        <v>150000</v>
      </c>
      <c r="G832" s="270">
        <v>100122328</v>
      </c>
      <c r="H832" s="270"/>
    </row>
    <row r="833" spans="1:8" x14ac:dyDescent="0.25">
      <c r="A833" s="257">
        <v>835</v>
      </c>
      <c r="B833" s="267">
        <v>832</v>
      </c>
      <c r="C833" s="268" t="s">
        <v>2645</v>
      </c>
      <c r="D833" s="269">
        <v>41813</v>
      </c>
      <c r="E833" s="270" t="s">
        <v>239</v>
      </c>
      <c r="F833" s="384">
        <v>810000</v>
      </c>
      <c r="G833" s="270">
        <v>101139097</v>
      </c>
      <c r="H833" s="270"/>
    </row>
    <row r="834" spans="1:8" x14ac:dyDescent="0.25">
      <c r="A834" s="257">
        <v>836</v>
      </c>
      <c r="B834" s="267">
        <v>833</v>
      </c>
      <c r="C834" s="268" t="s">
        <v>3326</v>
      </c>
      <c r="D834" s="269">
        <v>41813</v>
      </c>
      <c r="E834" s="270" t="s">
        <v>164</v>
      </c>
      <c r="F834" s="384">
        <v>5005000</v>
      </c>
      <c r="G834" s="270">
        <v>100534485</v>
      </c>
      <c r="H834" s="270"/>
    </row>
    <row r="835" spans="1:8" x14ac:dyDescent="0.25">
      <c r="A835" s="257">
        <v>837</v>
      </c>
      <c r="B835" s="267">
        <v>834</v>
      </c>
      <c r="C835" s="268" t="s">
        <v>3612</v>
      </c>
      <c r="D835" s="269">
        <v>41813</v>
      </c>
      <c r="E835" s="270" t="s">
        <v>2710</v>
      </c>
      <c r="F835" s="384">
        <v>628000</v>
      </c>
      <c r="G835" s="270">
        <v>690643552</v>
      </c>
      <c r="H835" s="270"/>
    </row>
    <row r="836" spans="1:8" x14ac:dyDescent="0.25">
      <c r="A836" s="257">
        <v>838</v>
      </c>
      <c r="B836" s="267">
        <v>835</v>
      </c>
      <c r="C836" s="268" t="s">
        <v>128</v>
      </c>
      <c r="D836" s="269">
        <v>41813</v>
      </c>
      <c r="E836" s="270" t="s">
        <v>3259</v>
      </c>
      <c r="F836" s="384">
        <v>405000</v>
      </c>
      <c r="G836" s="270">
        <v>190904186</v>
      </c>
      <c r="H836" s="270"/>
    </row>
    <row r="837" spans="1:8" x14ac:dyDescent="0.25">
      <c r="A837" s="257">
        <v>839</v>
      </c>
      <c r="B837" s="267">
        <v>836</v>
      </c>
      <c r="C837" s="268" t="s">
        <v>486</v>
      </c>
      <c r="D837" s="269">
        <v>41813</v>
      </c>
      <c r="E837" s="270" t="s">
        <v>871</v>
      </c>
      <c r="F837" s="384">
        <v>200000</v>
      </c>
      <c r="G837" s="270">
        <v>101452725</v>
      </c>
      <c r="H837" s="270"/>
    </row>
    <row r="838" spans="1:8" x14ac:dyDescent="0.25">
      <c r="A838" s="257">
        <v>840</v>
      </c>
      <c r="B838" s="267">
        <v>837</v>
      </c>
      <c r="C838" s="268" t="s">
        <v>181</v>
      </c>
      <c r="D838" s="269">
        <v>41813</v>
      </c>
      <c r="E838" s="270" t="s">
        <v>3107</v>
      </c>
      <c r="F838" s="384">
        <v>780000</v>
      </c>
      <c r="G838" s="270">
        <v>100320487</v>
      </c>
      <c r="H838" s="270"/>
    </row>
    <row r="839" spans="1:8" x14ac:dyDescent="0.25">
      <c r="A839" s="257">
        <v>841</v>
      </c>
      <c r="B839" s="267">
        <v>838</v>
      </c>
      <c r="C839" s="268" t="s">
        <v>159</v>
      </c>
      <c r="D839" s="269">
        <v>41814</v>
      </c>
      <c r="E839" s="270" t="s">
        <v>1684</v>
      </c>
      <c r="F839" s="384">
        <v>405000</v>
      </c>
      <c r="G839" s="270">
        <v>100819821</v>
      </c>
      <c r="H839" s="270"/>
    </row>
    <row r="840" spans="1:8" x14ac:dyDescent="0.25">
      <c r="A840" s="257">
        <v>842</v>
      </c>
      <c r="B840" s="267">
        <v>839</v>
      </c>
      <c r="C840" s="268" t="s">
        <v>2790</v>
      </c>
      <c r="D840" s="269">
        <v>41814</v>
      </c>
      <c r="E840" s="270" t="s">
        <v>713</v>
      </c>
      <c r="F840" s="384">
        <v>260000</v>
      </c>
      <c r="G840" s="270">
        <v>191167894</v>
      </c>
      <c r="H840" s="270"/>
    </row>
    <row r="841" spans="1:8" x14ac:dyDescent="0.25">
      <c r="A841" s="257">
        <v>843</v>
      </c>
      <c r="B841" s="267">
        <v>840</v>
      </c>
      <c r="C841" s="268" t="s">
        <v>2751</v>
      </c>
      <c r="D841" s="269">
        <v>41814</v>
      </c>
      <c r="E841" s="270" t="s">
        <v>449</v>
      </c>
      <c r="F841" s="384">
        <v>223000</v>
      </c>
      <c r="G841" s="270">
        <v>100025732</v>
      </c>
      <c r="H841" s="270"/>
    </row>
    <row r="842" spans="1:8" x14ac:dyDescent="0.25">
      <c r="A842" s="257">
        <v>844</v>
      </c>
      <c r="B842" s="267">
        <v>841</v>
      </c>
      <c r="C842" s="268" t="s">
        <v>2724</v>
      </c>
      <c r="D842" s="269">
        <v>41814</v>
      </c>
      <c r="E842" s="270" t="s">
        <v>3647</v>
      </c>
      <c r="F842" s="384">
        <v>186000</v>
      </c>
      <c r="G842" s="270">
        <v>691383696</v>
      </c>
      <c r="H842" s="270"/>
    </row>
    <row r="843" spans="1:8" x14ac:dyDescent="0.25">
      <c r="A843" s="257">
        <v>845</v>
      </c>
      <c r="B843" s="267">
        <v>842</v>
      </c>
      <c r="C843" s="268" t="s">
        <v>137</v>
      </c>
      <c r="D843" s="269">
        <v>41814</v>
      </c>
      <c r="E843" s="270" t="s">
        <v>405</v>
      </c>
      <c r="F843" s="384">
        <v>150000</v>
      </c>
      <c r="G843" s="270">
        <v>190778354</v>
      </c>
      <c r="H843" s="270"/>
    </row>
    <row r="844" spans="1:8" x14ac:dyDescent="0.25">
      <c r="A844" s="257">
        <v>846</v>
      </c>
      <c r="B844" s="267">
        <v>843</v>
      </c>
      <c r="C844" s="268" t="s">
        <v>3652</v>
      </c>
      <c r="D844" s="269">
        <v>41814</v>
      </c>
      <c r="E844" s="270" t="s">
        <v>379</v>
      </c>
      <c r="F844" s="384">
        <v>186000</v>
      </c>
      <c r="G844" s="270">
        <v>690604204</v>
      </c>
      <c r="H844" s="270"/>
    </row>
    <row r="845" spans="1:8" x14ac:dyDescent="0.25">
      <c r="A845" s="257">
        <v>847</v>
      </c>
      <c r="B845" s="267">
        <v>844</v>
      </c>
      <c r="C845" s="268" t="s">
        <v>155</v>
      </c>
      <c r="D845" s="269">
        <v>41814</v>
      </c>
      <c r="E845" s="270" t="s">
        <v>946</v>
      </c>
      <c r="F845" s="384">
        <v>186000</v>
      </c>
      <c r="G845" s="270">
        <v>690579231</v>
      </c>
      <c r="H845" s="270"/>
    </row>
    <row r="846" spans="1:8" x14ac:dyDescent="0.25">
      <c r="A846" s="257">
        <v>848</v>
      </c>
      <c r="B846" s="267">
        <v>845</v>
      </c>
      <c r="C846" s="268" t="s">
        <v>3764</v>
      </c>
      <c r="D846" s="269">
        <v>41814</v>
      </c>
      <c r="E846" s="270" t="s">
        <v>479</v>
      </c>
      <c r="F846" s="384">
        <v>186000</v>
      </c>
      <c r="G846" s="270">
        <v>6911578401</v>
      </c>
      <c r="H846" s="270"/>
    </row>
    <row r="847" spans="1:8" x14ac:dyDescent="0.25">
      <c r="A847" s="257">
        <v>849</v>
      </c>
      <c r="B847" s="267">
        <v>846</v>
      </c>
      <c r="C847" s="268" t="s">
        <v>438</v>
      </c>
      <c r="D847" s="269">
        <v>41814</v>
      </c>
      <c r="E847" s="270" t="s">
        <v>2149</v>
      </c>
      <c r="F847" s="384">
        <v>260000</v>
      </c>
      <c r="G847" s="270">
        <v>100236027</v>
      </c>
      <c r="H847" s="270"/>
    </row>
    <row r="848" spans="1:8" x14ac:dyDescent="0.25">
      <c r="A848" s="257">
        <v>850</v>
      </c>
      <c r="B848" s="267">
        <v>847</v>
      </c>
      <c r="C848" s="268" t="s">
        <v>3849</v>
      </c>
      <c r="D848" s="269">
        <v>41815</v>
      </c>
      <c r="E848" s="270" t="s">
        <v>3755</v>
      </c>
      <c r="F848" s="384">
        <v>223000</v>
      </c>
      <c r="G848" s="270">
        <v>190460526</v>
      </c>
      <c r="H848" s="270"/>
    </row>
    <row r="849" spans="1:8" x14ac:dyDescent="0.25">
      <c r="A849" s="257">
        <v>851</v>
      </c>
      <c r="B849" s="267">
        <v>848</v>
      </c>
      <c r="C849" s="268" t="s">
        <v>1910</v>
      </c>
      <c r="D849" s="269">
        <v>41815</v>
      </c>
      <c r="E849" s="270" t="s">
        <v>2609</v>
      </c>
      <c r="F849" s="384">
        <v>186000</v>
      </c>
      <c r="G849" s="270">
        <v>190549048</v>
      </c>
      <c r="H849" s="270"/>
    </row>
    <row r="850" spans="1:8" x14ac:dyDescent="0.25">
      <c r="A850" s="257">
        <v>852</v>
      </c>
      <c r="B850" s="267">
        <v>849</v>
      </c>
      <c r="C850" s="268" t="s">
        <v>3602</v>
      </c>
      <c r="D850" s="269">
        <v>41815</v>
      </c>
      <c r="E850" s="270" t="s">
        <v>4231</v>
      </c>
      <c r="F850" s="384">
        <v>150000</v>
      </c>
      <c r="G850" s="270">
        <v>100173165</v>
      </c>
      <c r="H850" s="270"/>
    </row>
    <row r="851" spans="1:8" x14ac:dyDescent="0.25">
      <c r="A851" s="257">
        <v>853</v>
      </c>
      <c r="B851" s="267">
        <v>850</v>
      </c>
      <c r="C851" s="268" t="s">
        <v>2751</v>
      </c>
      <c r="D851" s="269">
        <v>41815</v>
      </c>
      <c r="E851" s="270" t="s">
        <v>449</v>
      </c>
      <c r="F851" s="384">
        <v>260000</v>
      </c>
      <c r="G851" s="270">
        <v>100025732</v>
      </c>
      <c r="H851" s="270"/>
    </row>
    <row r="852" spans="1:8" x14ac:dyDescent="0.25">
      <c r="A852" s="257">
        <v>854</v>
      </c>
      <c r="B852" s="267">
        <v>851</v>
      </c>
      <c r="C852" s="268" t="s">
        <v>2835</v>
      </c>
      <c r="D852" s="269">
        <v>41815</v>
      </c>
      <c r="E852" s="270" t="s">
        <v>2890</v>
      </c>
      <c r="F852" s="384">
        <v>34000</v>
      </c>
      <c r="G852" s="270">
        <v>690367172</v>
      </c>
      <c r="H852" s="270"/>
    </row>
    <row r="853" spans="1:8" x14ac:dyDescent="0.25">
      <c r="A853" s="257">
        <v>855</v>
      </c>
      <c r="B853" s="267">
        <v>852</v>
      </c>
      <c r="C853" s="268" t="s">
        <v>386</v>
      </c>
      <c r="D853" s="269">
        <v>41816</v>
      </c>
      <c r="E853" s="270" t="s">
        <v>1951</v>
      </c>
      <c r="F853" s="384">
        <v>186000</v>
      </c>
      <c r="G853" s="270">
        <v>400424686</v>
      </c>
      <c r="H853" s="270"/>
    </row>
    <row r="854" spans="1:8" x14ac:dyDescent="0.25">
      <c r="A854" s="257">
        <v>856</v>
      </c>
      <c r="B854" s="267">
        <v>853</v>
      </c>
      <c r="C854" s="268" t="s">
        <v>4230</v>
      </c>
      <c r="D854" s="269">
        <v>41816</v>
      </c>
      <c r="E854" s="270" t="s">
        <v>2607</v>
      </c>
      <c r="F854" s="384">
        <v>260000</v>
      </c>
      <c r="G854" s="270">
        <v>190530618</v>
      </c>
      <c r="H854" s="270"/>
    </row>
    <row r="855" spans="1:8" x14ac:dyDescent="0.25">
      <c r="A855" s="257">
        <v>857</v>
      </c>
      <c r="B855" s="267">
        <v>854</v>
      </c>
      <c r="C855" s="268" t="s">
        <v>2143</v>
      </c>
      <c r="D855" s="269">
        <v>41816</v>
      </c>
      <c r="E855" s="270" t="s">
        <v>1927</v>
      </c>
      <c r="F855" s="384">
        <v>961000</v>
      </c>
      <c r="G855" s="270">
        <v>190032958</v>
      </c>
      <c r="H855" s="270"/>
    </row>
    <row r="856" spans="1:8" x14ac:dyDescent="0.25">
      <c r="A856" s="257">
        <v>858</v>
      </c>
      <c r="B856" s="267">
        <v>855</v>
      </c>
      <c r="C856" s="268" t="s">
        <v>3513</v>
      </c>
      <c r="D856" s="269">
        <v>41816</v>
      </c>
      <c r="E856" s="270" t="s">
        <v>824</v>
      </c>
      <c r="F856" s="384">
        <v>145000</v>
      </c>
      <c r="G856" s="270">
        <v>100154581</v>
      </c>
      <c r="H856" s="270"/>
    </row>
    <row r="857" spans="1:8" x14ac:dyDescent="0.25">
      <c r="A857" s="257">
        <v>859</v>
      </c>
      <c r="B857" s="267">
        <v>856</v>
      </c>
      <c r="C857" s="268" t="s">
        <v>910</v>
      </c>
      <c r="D857" s="269">
        <v>41816</v>
      </c>
      <c r="E857" s="270" t="s">
        <v>1656</v>
      </c>
      <c r="F857" s="384">
        <v>59000</v>
      </c>
      <c r="G857" s="270">
        <v>101439397</v>
      </c>
      <c r="H857" s="270"/>
    </row>
    <row r="858" spans="1:8" x14ac:dyDescent="0.25">
      <c r="A858" s="257">
        <v>860</v>
      </c>
      <c r="B858" s="267">
        <v>857</v>
      </c>
      <c r="C858" s="268" t="s">
        <v>823</v>
      </c>
      <c r="D858" s="269">
        <v>41816</v>
      </c>
      <c r="E858" s="270" t="s">
        <v>3600</v>
      </c>
      <c r="F858" s="384">
        <v>145000</v>
      </c>
      <c r="G858" s="270">
        <v>690628627</v>
      </c>
      <c r="H858" s="270"/>
    </row>
    <row r="859" spans="1:8" x14ac:dyDescent="0.25">
      <c r="A859" s="257">
        <v>861</v>
      </c>
      <c r="B859" s="267">
        <v>858</v>
      </c>
      <c r="C859" s="268" t="s">
        <v>134</v>
      </c>
      <c r="D859" s="269">
        <v>41816</v>
      </c>
      <c r="E859" s="270" t="s">
        <v>3257</v>
      </c>
      <c r="F859" s="384">
        <v>3095000</v>
      </c>
      <c r="G859" s="270">
        <v>100099118</v>
      </c>
      <c r="H859" s="270"/>
    </row>
    <row r="860" spans="1:8" x14ac:dyDescent="0.25">
      <c r="A860" s="257">
        <v>862</v>
      </c>
      <c r="B860" s="267">
        <v>859</v>
      </c>
      <c r="C860" s="268" t="s">
        <v>879</v>
      </c>
      <c r="D860" s="269">
        <v>41816</v>
      </c>
      <c r="E860" s="270" t="s">
        <v>1906</v>
      </c>
      <c r="F860" s="384">
        <v>260000</v>
      </c>
      <c r="G860" s="270">
        <v>690250660</v>
      </c>
      <c r="H860" s="270"/>
    </row>
    <row r="861" spans="1:8" x14ac:dyDescent="0.25">
      <c r="A861" s="257">
        <v>863</v>
      </c>
      <c r="B861" s="267">
        <v>860</v>
      </c>
      <c r="C861" s="268" t="s">
        <v>324</v>
      </c>
      <c r="D861" s="269">
        <v>41816</v>
      </c>
      <c r="E861" s="270" t="s">
        <v>917</v>
      </c>
      <c r="F861" s="384">
        <v>145000</v>
      </c>
      <c r="G861" s="270">
        <v>191505851</v>
      </c>
      <c r="H861" s="270"/>
    </row>
    <row r="862" spans="1:8" x14ac:dyDescent="0.25">
      <c r="A862" s="257">
        <v>864</v>
      </c>
      <c r="B862" s="267">
        <v>861</v>
      </c>
      <c r="C862" s="268" t="s">
        <v>1057</v>
      </c>
      <c r="D862" s="269">
        <v>41816</v>
      </c>
      <c r="E862" s="270" t="s">
        <v>3092</v>
      </c>
      <c r="F862" s="384">
        <v>155000</v>
      </c>
      <c r="G862" s="270">
        <v>100779791</v>
      </c>
      <c r="H862" s="270"/>
    </row>
    <row r="863" spans="1:8" x14ac:dyDescent="0.25">
      <c r="A863" s="257">
        <v>865</v>
      </c>
      <c r="B863" s="267">
        <v>862</v>
      </c>
      <c r="C863" s="268" t="s">
        <v>2437</v>
      </c>
      <c r="D863" s="269">
        <v>41816</v>
      </c>
      <c r="E863" s="270" t="s">
        <v>3584</v>
      </c>
      <c r="F863" s="384">
        <v>260000</v>
      </c>
      <c r="G863" s="270">
        <v>100297330</v>
      </c>
      <c r="H863" s="270"/>
    </row>
    <row r="864" spans="1:8" x14ac:dyDescent="0.25">
      <c r="A864" s="257">
        <v>866</v>
      </c>
      <c r="B864" s="267">
        <v>863</v>
      </c>
      <c r="C864" s="268" t="s">
        <v>1658</v>
      </c>
      <c r="D864" s="269">
        <v>41816</v>
      </c>
      <c r="E864" s="270" t="s">
        <v>825</v>
      </c>
      <c r="F864" s="384">
        <v>405000</v>
      </c>
      <c r="G864" s="270">
        <v>100951254</v>
      </c>
      <c r="H864" s="270"/>
    </row>
    <row r="865" spans="1:8" x14ac:dyDescent="0.25">
      <c r="A865" s="257">
        <v>867</v>
      </c>
      <c r="B865" s="267">
        <v>864</v>
      </c>
      <c r="C865" s="268" t="s">
        <v>1932</v>
      </c>
      <c r="D865" s="269">
        <v>41816</v>
      </c>
      <c r="E865" s="270" t="s">
        <v>858</v>
      </c>
      <c r="F865" s="384">
        <v>186000</v>
      </c>
      <c r="G865" s="270">
        <v>1000450888</v>
      </c>
      <c r="H865" s="270"/>
    </row>
    <row r="866" spans="1:8" x14ac:dyDescent="0.25">
      <c r="A866" s="257">
        <v>868</v>
      </c>
      <c r="B866" s="267">
        <v>865</v>
      </c>
      <c r="C866" s="268" t="s">
        <v>2645</v>
      </c>
      <c r="D866" s="269">
        <v>41816</v>
      </c>
      <c r="E866" s="270" t="s">
        <v>239</v>
      </c>
      <c r="F866" s="384">
        <v>1215000</v>
      </c>
      <c r="G866" s="270">
        <v>101139097</v>
      </c>
      <c r="H866" s="270"/>
    </row>
    <row r="867" spans="1:8" x14ac:dyDescent="0.25">
      <c r="A867" s="257">
        <v>869</v>
      </c>
      <c r="B867" s="267">
        <v>866</v>
      </c>
      <c r="C867" s="268" t="s">
        <v>496</v>
      </c>
      <c r="D867" s="269">
        <v>41816</v>
      </c>
      <c r="E867" s="270" t="s">
        <v>864</v>
      </c>
      <c r="F867" s="384">
        <v>150000</v>
      </c>
      <c r="G867" s="270">
        <v>191117696</v>
      </c>
      <c r="H867" s="270"/>
    </row>
    <row r="868" spans="1:8" x14ac:dyDescent="0.25">
      <c r="A868" s="257">
        <v>870</v>
      </c>
      <c r="B868" s="267">
        <v>867</v>
      </c>
      <c r="C868" s="268" t="s">
        <v>996</v>
      </c>
      <c r="D868" s="269">
        <v>41817</v>
      </c>
      <c r="E868" s="270" t="s">
        <v>3304</v>
      </c>
      <c r="F868" s="384">
        <v>260000</v>
      </c>
      <c r="G868" s="270">
        <v>100626851</v>
      </c>
      <c r="H868" s="270"/>
    </row>
    <row r="869" spans="1:8" x14ac:dyDescent="0.25">
      <c r="A869" s="257">
        <v>871</v>
      </c>
      <c r="B869" s="267">
        <v>868</v>
      </c>
      <c r="C869" s="268" t="s">
        <v>2829</v>
      </c>
      <c r="D869" s="269">
        <v>41817</v>
      </c>
      <c r="E869" s="270" t="s">
        <v>70</v>
      </c>
      <c r="F869" s="384">
        <v>260000</v>
      </c>
      <c r="G869" s="270">
        <v>600048566</v>
      </c>
      <c r="H869" s="270"/>
    </row>
    <row r="870" spans="1:8" x14ac:dyDescent="0.25">
      <c r="A870" s="257">
        <v>872</v>
      </c>
      <c r="B870" s="267">
        <v>869</v>
      </c>
      <c r="C870" s="268" t="s">
        <v>2162</v>
      </c>
      <c r="D870" s="269">
        <v>41817</v>
      </c>
      <c r="E870" s="270" t="s">
        <v>3244</v>
      </c>
      <c r="F870" s="384">
        <v>59000</v>
      </c>
      <c r="G870" s="270">
        <v>600011780</v>
      </c>
      <c r="H870" s="270"/>
    </row>
    <row r="871" spans="1:8" x14ac:dyDescent="0.25">
      <c r="A871" s="257">
        <v>873</v>
      </c>
      <c r="B871" s="267">
        <v>870</v>
      </c>
      <c r="C871" s="268" t="s">
        <v>2437</v>
      </c>
      <c r="D871" s="269">
        <v>41817</v>
      </c>
      <c r="E871" s="270" t="s">
        <v>3584</v>
      </c>
      <c r="F871" s="384">
        <v>28000</v>
      </c>
      <c r="G871" s="270">
        <v>100297330</v>
      </c>
      <c r="H871" s="270"/>
    </row>
    <row r="872" spans="1:8" x14ac:dyDescent="0.25">
      <c r="A872" s="257">
        <v>874</v>
      </c>
      <c r="B872" s="267">
        <v>871</v>
      </c>
      <c r="C872" s="268" t="s">
        <v>159</v>
      </c>
      <c r="D872" s="269">
        <v>41817</v>
      </c>
      <c r="E872" s="270" t="s">
        <v>1684</v>
      </c>
      <c r="F872" s="384">
        <v>59000</v>
      </c>
      <c r="G872" s="270">
        <v>100819821</v>
      </c>
      <c r="H872" s="270"/>
    </row>
    <row r="873" spans="1:8" x14ac:dyDescent="0.25">
      <c r="A873" s="257">
        <v>875</v>
      </c>
      <c r="B873" s="267">
        <v>872</v>
      </c>
      <c r="C873" s="268" t="s">
        <v>1700</v>
      </c>
      <c r="D873" s="269">
        <v>41818</v>
      </c>
      <c r="E873" s="270" t="s">
        <v>2157</v>
      </c>
      <c r="F873" s="384">
        <v>372000</v>
      </c>
      <c r="G873" s="270">
        <v>690850280</v>
      </c>
      <c r="H873" s="270"/>
    </row>
    <row r="874" spans="1:8" x14ac:dyDescent="0.25">
      <c r="A874" s="257">
        <v>876</v>
      </c>
      <c r="B874" s="267">
        <v>873</v>
      </c>
      <c r="C874" s="268" t="s">
        <v>862</v>
      </c>
      <c r="D874" s="269">
        <v>41820</v>
      </c>
      <c r="E874" s="270" t="s">
        <v>1657</v>
      </c>
      <c r="F874" s="384">
        <v>223000</v>
      </c>
      <c r="G874" s="270">
        <v>190907208</v>
      </c>
      <c r="H874" s="270"/>
    </row>
    <row r="875" spans="1:8" x14ac:dyDescent="0.25">
      <c r="A875" s="257">
        <v>877</v>
      </c>
      <c r="B875" s="267">
        <v>874</v>
      </c>
      <c r="C875" s="268" t="s">
        <v>2751</v>
      </c>
      <c r="D875" s="269">
        <v>41820</v>
      </c>
      <c r="E875" s="270" t="s">
        <v>449</v>
      </c>
      <c r="F875" s="384">
        <v>151000</v>
      </c>
      <c r="G875" s="270">
        <v>100025732</v>
      </c>
      <c r="H875" s="270"/>
    </row>
    <row r="876" spans="1:8" x14ac:dyDescent="0.25">
      <c r="A876" s="257">
        <v>878</v>
      </c>
      <c r="B876" s="267">
        <v>875</v>
      </c>
      <c r="C876" s="268" t="s">
        <v>470</v>
      </c>
      <c r="D876" s="269">
        <v>41820</v>
      </c>
      <c r="E876" s="270" t="s">
        <v>405</v>
      </c>
      <c r="F876" s="384">
        <v>186000</v>
      </c>
      <c r="G876" s="270">
        <v>190778354</v>
      </c>
      <c r="H876" s="270"/>
    </row>
    <row r="877" spans="1:8" x14ac:dyDescent="0.25">
      <c r="A877" s="257">
        <v>879</v>
      </c>
      <c r="B877" s="267">
        <v>876</v>
      </c>
      <c r="C877" s="268" t="s">
        <v>4201</v>
      </c>
      <c r="D877" s="269">
        <v>41820</v>
      </c>
      <c r="E877" s="270" t="s">
        <v>2824</v>
      </c>
      <c r="F877" s="384">
        <v>260000</v>
      </c>
      <c r="G877" s="270">
        <v>190877644</v>
      </c>
      <c r="H877" s="270"/>
    </row>
    <row r="878" spans="1:8" x14ac:dyDescent="0.25">
      <c r="A878" s="257">
        <v>880</v>
      </c>
      <c r="B878" s="267">
        <v>877</v>
      </c>
      <c r="C878" s="268" t="s">
        <v>265</v>
      </c>
      <c r="D878" s="269">
        <v>41820</v>
      </c>
      <c r="E878" s="270" t="s">
        <v>450</v>
      </c>
      <c r="F878" s="384">
        <v>260000</v>
      </c>
      <c r="G878" s="270">
        <v>100468996</v>
      </c>
      <c r="H878" s="270"/>
    </row>
    <row r="879" spans="1:8" x14ac:dyDescent="0.25">
      <c r="A879" s="257">
        <v>881</v>
      </c>
      <c r="B879" s="267">
        <v>878</v>
      </c>
      <c r="C879" s="268" t="s">
        <v>520</v>
      </c>
      <c r="D879" s="269">
        <v>41820</v>
      </c>
      <c r="E879" s="270" t="s">
        <v>3575</v>
      </c>
      <c r="F879" s="384">
        <v>34000</v>
      </c>
      <c r="G879" s="270">
        <v>190345927</v>
      </c>
      <c r="H879" s="270"/>
    </row>
    <row r="880" spans="1:8" x14ac:dyDescent="0.25">
      <c r="A880" s="257">
        <v>882</v>
      </c>
      <c r="B880" s="267">
        <v>879</v>
      </c>
      <c r="C880" s="268" t="s">
        <v>2716</v>
      </c>
      <c r="D880" s="269">
        <v>41820</v>
      </c>
      <c r="E880" s="270" t="s">
        <v>2760</v>
      </c>
      <c r="F880" s="384">
        <v>780000</v>
      </c>
      <c r="G880" s="270">
        <v>100801936</v>
      </c>
      <c r="H880" s="270"/>
    </row>
    <row r="881" spans="1:8" x14ac:dyDescent="0.25">
      <c r="A881" s="257">
        <v>883</v>
      </c>
      <c r="B881" s="267">
        <v>880</v>
      </c>
      <c r="C881" s="268" t="s">
        <v>4201</v>
      </c>
      <c r="D881" s="269">
        <v>41820</v>
      </c>
      <c r="E881" s="270" t="s">
        <v>349</v>
      </c>
      <c r="F881" s="384">
        <v>145000</v>
      </c>
      <c r="G881" s="270">
        <v>690604750</v>
      </c>
      <c r="H881" s="270"/>
    </row>
    <row r="882" spans="1:8" x14ac:dyDescent="0.25">
      <c r="A882" s="257">
        <v>884</v>
      </c>
      <c r="B882" s="267">
        <v>881</v>
      </c>
      <c r="C882" s="268" t="s">
        <v>978</v>
      </c>
      <c r="D882" s="269">
        <v>41820</v>
      </c>
      <c r="E882" s="270" t="s">
        <v>847</v>
      </c>
      <c r="F882" s="384">
        <v>333000</v>
      </c>
      <c r="G882" s="270">
        <v>190853326</v>
      </c>
      <c r="H882" s="270"/>
    </row>
    <row r="883" spans="1:8" x14ac:dyDescent="0.25">
      <c r="A883" s="257">
        <v>885</v>
      </c>
      <c r="B883" s="267">
        <v>882</v>
      </c>
      <c r="C883" s="268" t="s">
        <v>2360</v>
      </c>
      <c r="D883" s="269">
        <v>41820</v>
      </c>
      <c r="E883" s="270" t="s">
        <v>1807</v>
      </c>
      <c r="F883" s="384">
        <v>405000</v>
      </c>
      <c r="G883" s="270">
        <v>101277625</v>
      </c>
      <c r="H883" s="270"/>
    </row>
    <row r="884" spans="1:8" x14ac:dyDescent="0.25">
      <c r="A884" s="257">
        <v>886</v>
      </c>
      <c r="B884" s="267">
        <v>883</v>
      </c>
      <c r="C884" s="268" t="s">
        <v>2036</v>
      </c>
      <c r="D884" s="269">
        <v>41821</v>
      </c>
      <c r="E884" s="270" t="s">
        <v>3594</v>
      </c>
      <c r="F884" s="384">
        <v>405000</v>
      </c>
      <c r="G884" s="270">
        <v>190882802</v>
      </c>
      <c r="H884" s="270"/>
    </row>
    <row r="885" spans="1:8" x14ac:dyDescent="0.25">
      <c r="A885" s="257">
        <v>887</v>
      </c>
      <c r="B885" s="267">
        <v>884</v>
      </c>
      <c r="C885" s="268" t="s">
        <v>3284</v>
      </c>
      <c r="D885" s="269">
        <v>41821</v>
      </c>
      <c r="E885" s="270" t="s">
        <v>1651</v>
      </c>
      <c r="F885" s="384">
        <v>405000</v>
      </c>
      <c r="G885" s="270">
        <v>190884251</v>
      </c>
      <c r="H885" s="270"/>
    </row>
    <row r="886" spans="1:8" x14ac:dyDescent="0.25">
      <c r="A886" s="257">
        <v>888</v>
      </c>
      <c r="B886" s="267">
        <v>885</v>
      </c>
      <c r="C886" s="268" t="s">
        <v>3311</v>
      </c>
      <c r="D886" s="269">
        <v>41821</v>
      </c>
      <c r="E886" s="270" t="s">
        <v>1612</v>
      </c>
      <c r="F886" s="384">
        <v>260000</v>
      </c>
      <c r="G886" s="270">
        <v>100320487</v>
      </c>
      <c r="H886" s="270"/>
    </row>
    <row r="887" spans="1:8" x14ac:dyDescent="0.25">
      <c r="A887" s="257">
        <v>889</v>
      </c>
      <c r="B887" s="267">
        <v>886</v>
      </c>
      <c r="C887" s="268" t="s">
        <v>889</v>
      </c>
      <c r="D887" s="269">
        <v>41821</v>
      </c>
      <c r="E887" s="270" t="s">
        <v>2149</v>
      </c>
      <c r="F887" s="384">
        <v>28000</v>
      </c>
      <c r="G887" s="270">
        <v>100236027</v>
      </c>
      <c r="H887" s="270"/>
    </row>
    <row r="888" spans="1:8" x14ac:dyDescent="0.25">
      <c r="A888" s="257">
        <v>890</v>
      </c>
      <c r="B888" s="267">
        <v>887</v>
      </c>
      <c r="C888" s="268" t="s">
        <v>1658</v>
      </c>
      <c r="D888" s="269">
        <v>41821</v>
      </c>
      <c r="E888" s="270" t="s">
        <v>825</v>
      </c>
      <c r="F888" s="384">
        <v>405000</v>
      </c>
      <c r="G888" s="270">
        <v>100951254</v>
      </c>
      <c r="H888" s="270"/>
    </row>
    <row r="889" spans="1:8" x14ac:dyDescent="0.25">
      <c r="A889" s="257">
        <v>891</v>
      </c>
      <c r="B889" s="267">
        <v>888</v>
      </c>
      <c r="C889" s="268" t="s">
        <v>3533</v>
      </c>
      <c r="D889" s="269">
        <v>41821</v>
      </c>
      <c r="E889" s="270" t="s">
        <v>130</v>
      </c>
      <c r="F889" s="384">
        <v>260000</v>
      </c>
      <c r="G889" s="270">
        <v>191018748</v>
      </c>
      <c r="H889" s="270"/>
    </row>
    <row r="890" spans="1:8" x14ac:dyDescent="0.25">
      <c r="A890" s="257">
        <v>892</v>
      </c>
      <c r="B890" s="267">
        <v>889</v>
      </c>
      <c r="C890" s="268" t="s">
        <v>67</v>
      </c>
      <c r="D890" s="269">
        <v>41821</v>
      </c>
      <c r="E890" s="270" t="s">
        <v>914</v>
      </c>
      <c r="F890" s="384">
        <v>405000</v>
      </c>
      <c r="G890" s="270">
        <v>190114911</v>
      </c>
      <c r="H890" s="270"/>
    </row>
    <row r="891" spans="1:8" x14ac:dyDescent="0.25">
      <c r="A891" s="257">
        <v>893</v>
      </c>
      <c r="B891" s="267">
        <v>890</v>
      </c>
      <c r="C891" s="268" t="s">
        <v>832</v>
      </c>
      <c r="D891" s="269">
        <v>41821</v>
      </c>
      <c r="E891" s="270" t="s">
        <v>245</v>
      </c>
      <c r="F891" s="384">
        <v>186000</v>
      </c>
      <c r="G891" s="270">
        <v>100886879</v>
      </c>
      <c r="H891" s="270"/>
    </row>
    <row r="892" spans="1:8" x14ac:dyDescent="0.25">
      <c r="A892" s="257">
        <v>894</v>
      </c>
      <c r="B892" s="267">
        <v>891</v>
      </c>
      <c r="C892" s="268" t="s">
        <v>223</v>
      </c>
      <c r="D892" s="269">
        <v>41821</v>
      </c>
      <c r="E892" s="270" t="s">
        <v>834</v>
      </c>
      <c r="F892" s="384">
        <v>223000</v>
      </c>
      <c r="G892" s="270">
        <v>190465117</v>
      </c>
      <c r="H892" s="270"/>
    </row>
    <row r="893" spans="1:8" x14ac:dyDescent="0.25">
      <c r="A893" s="257">
        <v>895</v>
      </c>
      <c r="B893" s="267">
        <v>892</v>
      </c>
      <c r="C893" s="268" t="s">
        <v>3776</v>
      </c>
      <c r="D893" s="269">
        <v>41821</v>
      </c>
      <c r="E893" s="270" t="s">
        <v>182</v>
      </c>
      <c r="F893" s="384">
        <v>405000</v>
      </c>
      <c r="G893" s="270">
        <v>190113200</v>
      </c>
      <c r="H893" s="270"/>
    </row>
    <row r="894" spans="1:8" x14ac:dyDescent="0.25">
      <c r="A894" s="257">
        <v>896</v>
      </c>
      <c r="B894" s="267">
        <v>893</v>
      </c>
      <c r="C894" s="268" t="s">
        <v>375</v>
      </c>
      <c r="D894" s="269">
        <v>41821</v>
      </c>
      <c r="E894" s="270" t="s">
        <v>263</v>
      </c>
      <c r="F894" s="384">
        <v>223000</v>
      </c>
      <c r="G894" s="270">
        <v>600182119</v>
      </c>
      <c r="H894" s="270"/>
    </row>
    <row r="895" spans="1:8" x14ac:dyDescent="0.25">
      <c r="A895" s="257">
        <v>897</v>
      </c>
      <c r="B895" s="267">
        <v>894</v>
      </c>
      <c r="C895" s="268" t="s">
        <v>1908</v>
      </c>
      <c r="D895" s="269">
        <v>41821</v>
      </c>
      <c r="E895" s="270" t="s">
        <v>3539</v>
      </c>
      <c r="F895" s="384">
        <v>186000</v>
      </c>
      <c r="G895" s="270">
        <v>191557164</v>
      </c>
      <c r="H895" s="270"/>
    </row>
    <row r="896" spans="1:8" x14ac:dyDescent="0.25">
      <c r="A896" s="257">
        <v>898</v>
      </c>
      <c r="B896" s="267">
        <v>895</v>
      </c>
      <c r="C896" s="268" t="s">
        <v>978</v>
      </c>
      <c r="D896" s="269">
        <v>41822</v>
      </c>
      <c r="E896" s="270" t="s">
        <v>847</v>
      </c>
      <c r="F896" s="384">
        <v>117000</v>
      </c>
      <c r="G896" s="270">
        <v>190853326</v>
      </c>
      <c r="H896" s="270"/>
    </row>
    <row r="897" spans="1:8" x14ac:dyDescent="0.25">
      <c r="A897" s="257">
        <v>899</v>
      </c>
      <c r="B897" s="267">
        <v>896</v>
      </c>
      <c r="C897" s="268" t="s">
        <v>3660</v>
      </c>
      <c r="D897" s="269">
        <v>41822</v>
      </c>
      <c r="E897" s="270" t="s">
        <v>156</v>
      </c>
      <c r="F897" s="384">
        <v>260000</v>
      </c>
      <c r="G897" s="270">
        <v>690559664</v>
      </c>
      <c r="H897" s="270"/>
    </row>
    <row r="898" spans="1:8" x14ac:dyDescent="0.25">
      <c r="A898" s="257">
        <v>900</v>
      </c>
      <c r="B898" s="267">
        <v>897</v>
      </c>
      <c r="C898" s="268" t="s">
        <v>502</v>
      </c>
      <c r="D898" s="269">
        <v>41822</v>
      </c>
      <c r="E898" s="270" t="s">
        <v>2364</v>
      </c>
      <c r="F898" s="384">
        <v>145000</v>
      </c>
      <c r="G898" s="270">
        <v>100779309</v>
      </c>
      <c r="H898" s="270"/>
    </row>
    <row r="899" spans="1:8" x14ac:dyDescent="0.25">
      <c r="A899" s="257">
        <v>901</v>
      </c>
      <c r="B899" s="267">
        <v>898</v>
      </c>
      <c r="C899" s="268" t="s">
        <v>2095</v>
      </c>
      <c r="D899" s="269">
        <v>41822</v>
      </c>
      <c r="E899" s="270" t="s">
        <v>2859</v>
      </c>
      <c r="F899" s="384">
        <v>1074000</v>
      </c>
      <c r="G899" s="270">
        <v>100261801</v>
      </c>
      <c r="H899" s="270"/>
    </row>
    <row r="900" spans="1:8" x14ac:dyDescent="0.25">
      <c r="A900" s="257">
        <v>902</v>
      </c>
      <c r="B900" s="267">
        <v>899</v>
      </c>
      <c r="C900" s="268" t="s">
        <v>3652</v>
      </c>
      <c r="D900" s="269">
        <v>41824</v>
      </c>
      <c r="E900" s="270" t="s">
        <v>379</v>
      </c>
      <c r="F900" s="384">
        <v>93000</v>
      </c>
      <c r="G900" s="270">
        <v>690604204</v>
      </c>
      <c r="H900" s="270"/>
    </row>
    <row r="901" spans="1:8" x14ac:dyDescent="0.25">
      <c r="A901" s="257">
        <v>903</v>
      </c>
      <c r="B901" s="267">
        <v>900</v>
      </c>
      <c r="C901" s="268" t="s">
        <v>1918</v>
      </c>
      <c r="D901" s="269">
        <v>41824</v>
      </c>
      <c r="E901" s="270" t="s">
        <v>1607</v>
      </c>
      <c r="F901" s="384">
        <v>260000</v>
      </c>
      <c r="G901" s="270">
        <v>690643672</v>
      </c>
      <c r="H901" s="270"/>
    </row>
    <row r="902" spans="1:8" x14ac:dyDescent="0.25">
      <c r="A902" s="257">
        <v>904</v>
      </c>
      <c r="B902" s="267">
        <v>901</v>
      </c>
      <c r="C902" s="268" t="s">
        <v>334</v>
      </c>
      <c r="D902" s="269">
        <v>41824</v>
      </c>
      <c r="E902" s="270" t="s">
        <v>1694</v>
      </c>
      <c r="F902" s="384">
        <v>145000</v>
      </c>
      <c r="G902" s="270">
        <v>101392173</v>
      </c>
      <c r="H902" s="270"/>
    </row>
    <row r="903" spans="1:8" x14ac:dyDescent="0.25">
      <c r="A903" s="257">
        <v>905</v>
      </c>
      <c r="B903" s="267">
        <v>902</v>
      </c>
      <c r="C903" s="268" t="s">
        <v>3253</v>
      </c>
      <c r="D903" s="269">
        <v>41824</v>
      </c>
      <c r="E903" s="270" t="s">
        <v>3631</v>
      </c>
      <c r="F903" s="384">
        <v>145000</v>
      </c>
      <c r="G903" s="270">
        <v>691380883</v>
      </c>
      <c r="H903" s="270"/>
    </row>
    <row r="904" spans="1:8" x14ac:dyDescent="0.25">
      <c r="A904" s="257">
        <v>906</v>
      </c>
      <c r="B904" s="267">
        <v>903</v>
      </c>
      <c r="C904" s="268" t="s">
        <v>2645</v>
      </c>
      <c r="D904" s="269">
        <v>41825</v>
      </c>
      <c r="E904" s="270" t="s">
        <v>239</v>
      </c>
      <c r="F904" s="384">
        <v>1620000</v>
      </c>
      <c r="G904" s="270">
        <v>101139097</v>
      </c>
      <c r="H904" s="270"/>
    </row>
    <row r="905" spans="1:8" x14ac:dyDescent="0.25">
      <c r="A905" s="257">
        <v>907</v>
      </c>
      <c r="B905" s="267">
        <v>904</v>
      </c>
      <c r="C905" s="268" t="s">
        <v>3749</v>
      </c>
      <c r="D905" s="269">
        <v>41827</v>
      </c>
      <c r="E905" s="270" t="s">
        <v>2844</v>
      </c>
      <c r="F905" s="384">
        <v>260000</v>
      </c>
      <c r="G905" s="270">
        <v>101099023</v>
      </c>
      <c r="H905" s="270"/>
    </row>
    <row r="906" spans="1:8" x14ac:dyDescent="0.25">
      <c r="A906" s="257">
        <v>908</v>
      </c>
      <c r="B906" s="267">
        <v>905</v>
      </c>
      <c r="C906" s="268" t="s">
        <v>1648</v>
      </c>
      <c r="D906" s="269">
        <v>41827</v>
      </c>
      <c r="E906" s="270" t="s">
        <v>2739</v>
      </c>
      <c r="F906" s="384">
        <v>186000</v>
      </c>
      <c r="G906" s="270">
        <v>690648207</v>
      </c>
      <c r="H906" s="270"/>
    </row>
    <row r="907" spans="1:8" x14ac:dyDescent="0.25">
      <c r="A907" s="257">
        <v>909</v>
      </c>
      <c r="B907" s="267">
        <v>906</v>
      </c>
      <c r="C907" s="268" t="s">
        <v>910</v>
      </c>
      <c r="D907" s="269">
        <v>41827</v>
      </c>
      <c r="E907" s="270" t="s">
        <v>1656</v>
      </c>
      <c r="F907" s="384">
        <v>59000</v>
      </c>
      <c r="G907" s="270">
        <v>101439397</v>
      </c>
      <c r="H907" s="270"/>
    </row>
    <row r="908" spans="1:8" x14ac:dyDescent="0.25">
      <c r="A908" s="257">
        <v>910</v>
      </c>
      <c r="B908" s="267">
        <v>907</v>
      </c>
      <c r="C908" s="268" t="s">
        <v>2735</v>
      </c>
      <c r="D908" s="269">
        <v>41827</v>
      </c>
      <c r="E908" s="270" t="s">
        <v>141</v>
      </c>
      <c r="F908" s="384">
        <v>223000</v>
      </c>
      <c r="G908" s="270">
        <v>600049547</v>
      </c>
      <c r="H908" s="270"/>
    </row>
    <row r="909" spans="1:8" x14ac:dyDescent="0.25">
      <c r="A909" s="257">
        <v>911</v>
      </c>
      <c r="B909" s="267">
        <v>908</v>
      </c>
      <c r="C909" s="268" t="s">
        <v>2457</v>
      </c>
      <c r="D909" s="269">
        <v>41827</v>
      </c>
      <c r="E909" s="270" t="s">
        <v>468</v>
      </c>
      <c r="F909" s="384">
        <v>186000</v>
      </c>
      <c r="G909" s="270">
        <v>190674182</v>
      </c>
      <c r="H909" s="270"/>
    </row>
    <row r="910" spans="1:8" x14ac:dyDescent="0.25">
      <c r="A910" s="257">
        <v>912</v>
      </c>
      <c r="B910" s="267">
        <v>909</v>
      </c>
      <c r="C910" s="268" t="s">
        <v>1547</v>
      </c>
      <c r="D910" s="269">
        <v>41827</v>
      </c>
      <c r="E910" s="270" t="s">
        <v>3242</v>
      </c>
      <c r="F910" s="384">
        <v>405000</v>
      </c>
      <c r="G910" s="270">
        <v>601072652</v>
      </c>
      <c r="H910" s="270"/>
    </row>
    <row r="911" spans="1:8" x14ac:dyDescent="0.25">
      <c r="A911" s="257">
        <v>913</v>
      </c>
      <c r="B911" s="267">
        <v>910</v>
      </c>
      <c r="C911" s="268" t="s">
        <v>411</v>
      </c>
      <c r="D911" s="269">
        <v>41827</v>
      </c>
      <c r="E911" s="270" t="s">
        <v>2681</v>
      </c>
      <c r="F911" s="384">
        <v>150000</v>
      </c>
      <c r="G911" s="270">
        <v>101541630</v>
      </c>
      <c r="H911" s="270"/>
    </row>
    <row r="912" spans="1:8" x14ac:dyDescent="0.25">
      <c r="A912" s="257">
        <v>914</v>
      </c>
      <c r="B912" s="267">
        <v>911</v>
      </c>
      <c r="C912" s="268" t="s">
        <v>2675</v>
      </c>
      <c r="D912" s="269">
        <v>41827</v>
      </c>
      <c r="E912" s="270" t="s">
        <v>837</v>
      </c>
      <c r="F912" s="384">
        <v>860000</v>
      </c>
      <c r="G912" s="270">
        <v>101449345</v>
      </c>
      <c r="H912" s="270"/>
    </row>
    <row r="913" spans="1:8" x14ac:dyDescent="0.25">
      <c r="A913" s="257">
        <v>915</v>
      </c>
      <c r="B913" s="267">
        <v>912</v>
      </c>
      <c r="C913" s="268" t="s">
        <v>2735</v>
      </c>
      <c r="D913" s="269">
        <v>41827</v>
      </c>
      <c r="E913" s="270" t="s">
        <v>141</v>
      </c>
      <c r="F913" s="384">
        <v>200000</v>
      </c>
      <c r="G913" s="270">
        <v>600049547</v>
      </c>
      <c r="H913" s="270"/>
    </row>
    <row r="914" spans="1:8" x14ac:dyDescent="0.25">
      <c r="A914" s="257">
        <v>916</v>
      </c>
      <c r="B914" s="267">
        <v>913</v>
      </c>
      <c r="C914" s="268" t="s">
        <v>942</v>
      </c>
      <c r="D914" s="269">
        <v>41827</v>
      </c>
      <c r="E914" s="270" t="s">
        <v>3571</v>
      </c>
      <c r="F914" s="384">
        <v>405000</v>
      </c>
      <c r="G914" s="270">
        <v>691539683</v>
      </c>
      <c r="H914" s="270"/>
    </row>
    <row r="915" spans="1:8" x14ac:dyDescent="0.25">
      <c r="A915" s="257">
        <v>917</v>
      </c>
      <c r="B915" s="267">
        <v>914</v>
      </c>
      <c r="C915" s="268" t="s">
        <v>3864</v>
      </c>
      <c r="D915" s="269">
        <v>41827</v>
      </c>
      <c r="E915" s="270" t="s">
        <v>906</v>
      </c>
      <c r="F915" s="384">
        <v>155000</v>
      </c>
      <c r="G915" s="270">
        <v>100348119</v>
      </c>
      <c r="H915" s="270"/>
    </row>
    <row r="916" spans="1:8" x14ac:dyDescent="0.25">
      <c r="A916" s="257">
        <v>918</v>
      </c>
      <c r="B916" s="267">
        <v>915</v>
      </c>
      <c r="C916" s="268" t="s">
        <v>3864</v>
      </c>
      <c r="D916" s="269">
        <v>41827</v>
      </c>
      <c r="E916" s="270" t="s">
        <v>906</v>
      </c>
      <c r="F916" s="384">
        <v>155000</v>
      </c>
      <c r="G916" s="270">
        <v>100348119</v>
      </c>
      <c r="H916" s="270"/>
    </row>
    <row r="917" spans="1:8" x14ac:dyDescent="0.25">
      <c r="A917" s="257">
        <v>919</v>
      </c>
      <c r="B917" s="267">
        <v>916</v>
      </c>
      <c r="C917" s="268" t="s">
        <v>2896</v>
      </c>
      <c r="D917" s="269">
        <v>41827</v>
      </c>
      <c r="E917" s="270" t="s">
        <v>2776</v>
      </c>
      <c r="F917" s="384">
        <v>260000</v>
      </c>
      <c r="G917" s="270">
        <v>691538184</v>
      </c>
      <c r="H917" s="270"/>
    </row>
    <row r="918" spans="1:8" x14ac:dyDescent="0.25">
      <c r="A918" s="257">
        <v>920</v>
      </c>
      <c r="B918" s="267">
        <v>917</v>
      </c>
      <c r="C918" s="268" t="s">
        <v>2963</v>
      </c>
      <c r="D918" s="269">
        <v>41828</v>
      </c>
      <c r="E918" s="270" t="s">
        <v>220</v>
      </c>
      <c r="F918" s="384">
        <v>1040000</v>
      </c>
      <c r="G918" s="270">
        <v>100230496</v>
      </c>
      <c r="H918" s="270"/>
    </row>
    <row r="919" spans="1:8" x14ac:dyDescent="0.25">
      <c r="A919" s="257">
        <v>921</v>
      </c>
      <c r="B919" s="267">
        <v>918</v>
      </c>
      <c r="C919" s="268" t="s">
        <v>2645</v>
      </c>
      <c r="D919" s="269">
        <v>41828</v>
      </c>
      <c r="E919" s="270" t="s">
        <v>239</v>
      </c>
      <c r="F919" s="384">
        <v>3095000</v>
      </c>
      <c r="G919" s="270">
        <v>101139097</v>
      </c>
      <c r="H919" s="270"/>
    </row>
    <row r="920" spans="1:8" x14ac:dyDescent="0.25">
      <c r="A920" s="257">
        <v>922</v>
      </c>
      <c r="B920" s="267">
        <v>919</v>
      </c>
      <c r="C920" s="268" t="s">
        <v>4221</v>
      </c>
      <c r="D920" s="269">
        <v>41828</v>
      </c>
      <c r="E920" s="270" t="s">
        <v>3774</v>
      </c>
      <c r="F920" s="384">
        <v>405000</v>
      </c>
      <c r="G920" s="270">
        <v>690019524</v>
      </c>
      <c r="H920" s="270"/>
    </row>
    <row r="921" spans="1:8" x14ac:dyDescent="0.25">
      <c r="A921" s="257">
        <v>923</v>
      </c>
      <c r="B921" s="267">
        <v>920</v>
      </c>
      <c r="C921" s="268" t="s">
        <v>1608</v>
      </c>
      <c r="D921" s="269">
        <v>41828</v>
      </c>
      <c r="E921" s="270" t="s">
        <v>2743</v>
      </c>
      <c r="F921" s="384">
        <v>186000</v>
      </c>
      <c r="G921" s="270">
        <v>600052544</v>
      </c>
      <c r="H921" s="270"/>
    </row>
    <row r="922" spans="1:8" x14ac:dyDescent="0.25">
      <c r="A922" s="257">
        <v>924</v>
      </c>
      <c r="B922" s="267">
        <v>921</v>
      </c>
      <c r="C922" s="268" t="s">
        <v>196</v>
      </c>
      <c r="D922" s="269">
        <v>41828</v>
      </c>
      <c r="E922" s="270" t="s">
        <v>3110</v>
      </c>
      <c r="F922" s="384">
        <v>405000</v>
      </c>
      <c r="G922" s="270">
        <v>101538513</v>
      </c>
      <c r="H922" s="270"/>
    </row>
    <row r="923" spans="1:8" x14ac:dyDescent="0.25">
      <c r="A923" s="257">
        <v>925</v>
      </c>
      <c r="B923" s="267">
        <v>922</v>
      </c>
      <c r="C923" s="268" t="s">
        <v>314</v>
      </c>
      <c r="D923" s="269">
        <v>41828</v>
      </c>
      <c r="E923" s="270" t="s">
        <v>3495</v>
      </c>
      <c r="F923" s="384">
        <v>186000</v>
      </c>
      <c r="G923" s="270">
        <v>808000252</v>
      </c>
      <c r="H923" s="270"/>
    </row>
    <row r="924" spans="1:8" x14ac:dyDescent="0.25">
      <c r="A924" s="257">
        <v>926</v>
      </c>
      <c r="B924" s="267">
        <v>923</v>
      </c>
      <c r="C924" s="268" t="s">
        <v>1128</v>
      </c>
      <c r="D924" s="269">
        <v>41828</v>
      </c>
      <c r="E924" s="270" t="s">
        <v>3142</v>
      </c>
      <c r="F924" s="384">
        <v>59000</v>
      </c>
      <c r="G924" s="270">
        <v>190341035</v>
      </c>
      <c r="H924" s="270"/>
    </row>
    <row r="925" spans="1:8" x14ac:dyDescent="0.25">
      <c r="A925" s="257">
        <v>927</v>
      </c>
      <c r="B925" s="267">
        <v>924</v>
      </c>
      <c r="C925" s="268" t="s">
        <v>1128</v>
      </c>
      <c r="D925" s="269">
        <v>41828</v>
      </c>
      <c r="E925" s="270" t="s">
        <v>3142</v>
      </c>
      <c r="F925" s="384">
        <v>59000</v>
      </c>
      <c r="G925" s="270">
        <v>190341035</v>
      </c>
      <c r="H925" s="270"/>
    </row>
    <row r="926" spans="1:8" x14ac:dyDescent="0.25">
      <c r="A926" s="257">
        <v>928</v>
      </c>
      <c r="B926" s="267">
        <v>925</v>
      </c>
      <c r="C926" s="268" t="s">
        <v>1124</v>
      </c>
      <c r="D926" s="269">
        <v>41828</v>
      </c>
      <c r="E926" s="270" t="s">
        <v>226</v>
      </c>
      <c r="F926" s="384">
        <v>405000</v>
      </c>
      <c r="G926" s="270">
        <v>190654467</v>
      </c>
      <c r="H926" s="270"/>
    </row>
    <row r="927" spans="1:8" x14ac:dyDescent="0.25">
      <c r="A927" s="257">
        <v>929</v>
      </c>
      <c r="B927" s="267">
        <v>926</v>
      </c>
      <c r="C927" s="268" t="s">
        <v>131</v>
      </c>
      <c r="D927" s="269">
        <v>41828</v>
      </c>
      <c r="E927" s="270" t="s">
        <v>1669</v>
      </c>
      <c r="F927" s="384">
        <v>155000</v>
      </c>
      <c r="G927" s="270">
        <v>191488104</v>
      </c>
      <c r="H927" s="270"/>
    </row>
    <row r="928" spans="1:8" x14ac:dyDescent="0.25">
      <c r="A928" s="257">
        <v>930</v>
      </c>
      <c r="B928" s="267">
        <v>927</v>
      </c>
      <c r="C928" s="268" t="s">
        <v>3658</v>
      </c>
      <c r="D928" s="269">
        <v>41828</v>
      </c>
      <c r="E928" s="270" t="s">
        <v>3552</v>
      </c>
      <c r="F928" s="384">
        <v>405000</v>
      </c>
      <c r="G928" s="270">
        <v>191569368</v>
      </c>
      <c r="H928" s="270"/>
    </row>
    <row r="929" spans="1:8" x14ac:dyDescent="0.25">
      <c r="A929" s="257">
        <v>931</v>
      </c>
      <c r="B929" s="267">
        <v>928</v>
      </c>
      <c r="C929" s="268" t="s">
        <v>2363</v>
      </c>
      <c r="D929" s="269">
        <v>41828</v>
      </c>
      <c r="E929" s="270" t="s">
        <v>2633</v>
      </c>
      <c r="F929" s="384">
        <v>1486000</v>
      </c>
      <c r="G929" s="270">
        <v>100320382</v>
      </c>
      <c r="H929" s="270"/>
    </row>
    <row r="930" spans="1:8" x14ac:dyDescent="0.25">
      <c r="A930" s="257">
        <v>932</v>
      </c>
      <c r="B930" s="267">
        <v>929</v>
      </c>
      <c r="C930" s="268" t="s">
        <v>131</v>
      </c>
      <c r="D930" s="269">
        <v>41829</v>
      </c>
      <c r="E930" s="270" t="s">
        <v>691</v>
      </c>
      <c r="F930" s="384">
        <v>186000</v>
      </c>
      <c r="G930" s="270">
        <v>390504572</v>
      </c>
      <c r="H930" s="270"/>
    </row>
    <row r="931" spans="1:8" x14ac:dyDescent="0.25">
      <c r="A931" s="257">
        <v>933</v>
      </c>
      <c r="B931" s="267">
        <v>930</v>
      </c>
      <c r="C931" s="268" t="s">
        <v>3207</v>
      </c>
      <c r="D931" s="269">
        <v>41829</v>
      </c>
      <c r="E931" s="270" t="s">
        <v>2785</v>
      </c>
      <c r="F931" s="384">
        <v>405000</v>
      </c>
      <c r="G931" s="270">
        <v>190902091</v>
      </c>
      <c r="H931" s="270"/>
    </row>
    <row r="932" spans="1:8" x14ac:dyDescent="0.25">
      <c r="A932" s="257">
        <v>934</v>
      </c>
      <c r="B932" s="267">
        <v>931</v>
      </c>
      <c r="C932" s="268" t="s">
        <v>2095</v>
      </c>
      <c r="D932" s="269">
        <v>41829</v>
      </c>
      <c r="E932" s="270" t="s">
        <v>2859</v>
      </c>
      <c r="F932" s="384">
        <v>1479000</v>
      </c>
      <c r="G932" s="270">
        <v>100261801</v>
      </c>
      <c r="H932" s="270"/>
    </row>
    <row r="933" spans="1:8" x14ac:dyDescent="0.25">
      <c r="A933" s="257">
        <v>935</v>
      </c>
      <c r="B933" s="267">
        <v>932</v>
      </c>
      <c r="C933" s="268" t="s">
        <v>131</v>
      </c>
      <c r="D933" s="269">
        <v>41829</v>
      </c>
      <c r="E933" s="270" t="s">
        <v>2802</v>
      </c>
      <c r="F933" s="384">
        <v>405000</v>
      </c>
      <c r="G933" s="270">
        <v>0</v>
      </c>
      <c r="H933" s="270"/>
    </row>
    <row r="934" spans="1:8" x14ac:dyDescent="0.25">
      <c r="A934" s="257">
        <v>936</v>
      </c>
      <c r="B934" s="267">
        <v>933</v>
      </c>
      <c r="C934" s="268" t="s">
        <v>3538</v>
      </c>
      <c r="D934" s="269">
        <v>41829</v>
      </c>
      <c r="E934" s="270" t="s">
        <v>445</v>
      </c>
      <c r="F934" s="384">
        <v>223000</v>
      </c>
      <c r="G934" s="270">
        <v>190696505</v>
      </c>
      <c r="H934" s="270"/>
    </row>
    <row r="935" spans="1:8" x14ac:dyDescent="0.25">
      <c r="A935" s="257">
        <v>937</v>
      </c>
      <c r="B935" s="267">
        <v>934</v>
      </c>
      <c r="C935" s="268" t="s">
        <v>190</v>
      </c>
      <c r="D935" s="269">
        <v>41829</v>
      </c>
      <c r="E935" s="270" t="s">
        <v>188</v>
      </c>
      <c r="F935" s="384">
        <v>483000</v>
      </c>
      <c r="G935" s="270">
        <v>190270596</v>
      </c>
      <c r="H935" s="270"/>
    </row>
    <row r="936" spans="1:8" x14ac:dyDescent="0.25">
      <c r="A936" s="257">
        <v>938</v>
      </c>
      <c r="B936" s="267">
        <v>935</v>
      </c>
      <c r="C936" s="268" t="s">
        <v>3658</v>
      </c>
      <c r="D936" s="269">
        <v>41829</v>
      </c>
      <c r="E936" s="270" t="s">
        <v>3552</v>
      </c>
      <c r="F936" s="384">
        <v>405000</v>
      </c>
      <c r="G936" s="270">
        <v>191569368</v>
      </c>
      <c r="H936" s="270"/>
    </row>
    <row r="937" spans="1:8" x14ac:dyDescent="0.25">
      <c r="A937" s="257">
        <v>939</v>
      </c>
      <c r="B937" s="267">
        <v>936</v>
      </c>
      <c r="C937" s="268" t="s">
        <v>3513</v>
      </c>
      <c r="D937" s="269">
        <v>41829</v>
      </c>
      <c r="E937" s="270" t="s">
        <v>824</v>
      </c>
      <c r="F937" s="384">
        <v>405000</v>
      </c>
      <c r="G937" s="270">
        <v>100154581</v>
      </c>
      <c r="H937" s="270"/>
    </row>
    <row r="938" spans="1:8" x14ac:dyDescent="0.25">
      <c r="A938" s="257">
        <v>940</v>
      </c>
      <c r="B938" s="267">
        <v>937</v>
      </c>
      <c r="C938" s="268" t="s">
        <v>1650</v>
      </c>
      <c r="D938" s="269">
        <v>41830</v>
      </c>
      <c r="E938" s="270" t="s">
        <v>863</v>
      </c>
      <c r="F938" s="384">
        <v>810000</v>
      </c>
      <c r="G938" s="270">
        <v>690849523</v>
      </c>
      <c r="H938" s="270"/>
    </row>
    <row r="939" spans="1:8" x14ac:dyDescent="0.25">
      <c r="A939" s="257">
        <v>941</v>
      </c>
      <c r="B939" s="267">
        <v>938</v>
      </c>
      <c r="C939" s="268" t="s">
        <v>137</v>
      </c>
      <c r="D939" s="269">
        <v>41830</v>
      </c>
      <c r="E939" s="270" t="s">
        <v>405</v>
      </c>
      <c r="F939" s="384">
        <v>150000</v>
      </c>
      <c r="G939" s="270">
        <v>190778354</v>
      </c>
      <c r="H939" s="270"/>
    </row>
    <row r="940" spans="1:8" x14ac:dyDescent="0.25">
      <c r="A940" s="257">
        <v>942</v>
      </c>
      <c r="B940" s="267">
        <v>939</v>
      </c>
      <c r="C940" s="268" t="s">
        <v>266</v>
      </c>
      <c r="D940" s="269">
        <v>41830</v>
      </c>
      <c r="E940" s="270" t="s">
        <v>3120</v>
      </c>
      <c r="F940" s="384">
        <v>186000</v>
      </c>
      <c r="G940" s="270">
        <v>101280900</v>
      </c>
      <c r="H940" s="270"/>
    </row>
    <row r="941" spans="1:8" x14ac:dyDescent="0.25">
      <c r="A941" s="257">
        <v>943</v>
      </c>
      <c r="B941" s="267">
        <v>940</v>
      </c>
      <c r="C941" s="268" t="s">
        <v>137</v>
      </c>
      <c r="D941" s="269">
        <v>41830</v>
      </c>
      <c r="E941" s="270" t="s">
        <v>405</v>
      </c>
      <c r="F941" s="384">
        <v>150000</v>
      </c>
      <c r="G941" s="270">
        <v>190778354</v>
      </c>
      <c r="H941" s="270"/>
    </row>
    <row r="942" spans="1:8" x14ac:dyDescent="0.25">
      <c r="A942" s="257">
        <v>944</v>
      </c>
      <c r="B942" s="267">
        <v>941</v>
      </c>
      <c r="C942" s="268" t="s">
        <v>3621</v>
      </c>
      <c r="D942" s="269">
        <v>41830</v>
      </c>
      <c r="E942" s="270" t="s">
        <v>3121</v>
      </c>
      <c r="F942" s="384">
        <v>405000</v>
      </c>
      <c r="G942" s="270">
        <v>190892779</v>
      </c>
      <c r="H942" s="270"/>
    </row>
    <row r="943" spans="1:8" x14ac:dyDescent="0.25">
      <c r="A943" s="257">
        <v>945</v>
      </c>
      <c r="B943" s="267">
        <v>942</v>
      </c>
      <c r="C943" s="268" t="s">
        <v>846</v>
      </c>
      <c r="D943" s="269">
        <v>41831</v>
      </c>
      <c r="E943" s="270" t="s">
        <v>500</v>
      </c>
      <c r="F943" s="384">
        <v>145000</v>
      </c>
      <c r="G943" s="270">
        <v>690631984</v>
      </c>
      <c r="H943" s="270"/>
    </row>
    <row r="944" spans="1:8" x14ac:dyDescent="0.25">
      <c r="A944" s="257">
        <v>946</v>
      </c>
      <c r="B944" s="267">
        <v>943</v>
      </c>
      <c r="C944" s="268" t="s">
        <v>3245</v>
      </c>
      <c r="D944" s="269">
        <v>41831</v>
      </c>
      <c r="E944" s="270" t="s">
        <v>1702</v>
      </c>
      <c r="F944" s="384">
        <v>223000</v>
      </c>
      <c r="G944" s="270">
        <v>100315395</v>
      </c>
      <c r="H944" s="270"/>
    </row>
    <row r="945" spans="1:8" x14ac:dyDescent="0.25">
      <c r="A945" s="257">
        <v>947</v>
      </c>
      <c r="B945" s="267">
        <v>944</v>
      </c>
      <c r="C945" s="268" t="s">
        <v>960</v>
      </c>
      <c r="D945" s="269">
        <v>41831</v>
      </c>
      <c r="E945" s="270" t="s">
        <v>959</v>
      </c>
      <c r="F945" s="384">
        <v>405000</v>
      </c>
      <c r="G945" s="270">
        <v>100977215</v>
      </c>
      <c r="H945" s="270"/>
    </row>
    <row r="946" spans="1:8" x14ac:dyDescent="0.25">
      <c r="A946" s="257">
        <v>948</v>
      </c>
      <c r="B946" s="267">
        <v>945</v>
      </c>
      <c r="C946" s="268" t="s">
        <v>321</v>
      </c>
      <c r="D946" s="269">
        <v>41831</v>
      </c>
      <c r="E946" s="270" t="s">
        <v>742</v>
      </c>
      <c r="F946" s="384">
        <v>405000</v>
      </c>
      <c r="G946" s="270">
        <v>690657483</v>
      </c>
      <c r="H946" s="270"/>
    </row>
    <row r="947" spans="1:8" x14ac:dyDescent="0.25">
      <c r="A947" s="257">
        <v>949</v>
      </c>
      <c r="B947" s="267">
        <v>946</v>
      </c>
      <c r="C947" s="268" t="s">
        <v>2434</v>
      </c>
      <c r="D947" s="269">
        <v>41831</v>
      </c>
      <c r="E947" s="270" t="s">
        <v>820</v>
      </c>
      <c r="F947" s="384">
        <v>145000</v>
      </c>
      <c r="G947" s="270">
        <v>191301074</v>
      </c>
      <c r="H947" s="270"/>
    </row>
    <row r="948" spans="1:8" x14ac:dyDescent="0.25">
      <c r="A948" s="257">
        <v>950</v>
      </c>
      <c r="B948" s="267">
        <v>947</v>
      </c>
      <c r="C948" s="268" t="s">
        <v>3141</v>
      </c>
      <c r="D948" s="269">
        <v>41832</v>
      </c>
      <c r="E948" s="270" t="s">
        <v>809</v>
      </c>
      <c r="F948" s="384">
        <v>223000</v>
      </c>
      <c r="G948" s="270">
        <v>0</v>
      </c>
      <c r="H948" s="270"/>
    </row>
    <row r="949" spans="1:8" x14ac:dyDescent="0.25">
      <c r="A949" s="257">
        <v>951</v>
      </c>
      <c r="B949" s="267">
        <v>948</v>
      </c>
      <c r="C949" s="268" t="s">
        <v>947</v>
      </c>
      <c r="D949" s="269">
        <v>41832</v>
      </c>
      <c r="E949" s="270" t="s">
        <v>3747</v>
      </c>
      <c r="F949" s="384">
        <v>260000</v>
      </c>
      <c r="G949" s="270">
        <v>100071593</v>
      </c>
      <c r="H949" s="270"/>
    </row>
    <row r="950" spans="1:8" x14ac:dyDescent="0.25">
      <c r="A950" s="257">
        <v>952</v>
      </c>
      <c r="B950" s="267">
        <v>949</v>
      </c>
      <c r="C950" s="268" t="s">
        <v>131</v>
      </c>
      <c r="D950" s="269">
        <v>41832</v>
      </c>
      <c r="E950" s="270" t="s">
        <v>2802</v>
      </c>
      <c r="F950" s="384">
        <v>88000</v>
      </c>
      <c r="G950" s="270">
        <v>0</v>
      </c>
      <c r="H950" s="270"/>
    </row>
    <row r="951" spans="1:8" x14ac:dyDescent="0.25">
      <c r="A951" s="257">
        <v>953</v>
      </c>
      <c r="B951" s="267">
        <v>950</v>
      </c>
      <c r="C951" s="268" t="s">
        <v>1021</v>
      </c>
      <c r="D951" s="269">
        <v>41835</v>
      </c>
      <c r="E951" s="270" t="s">
        <v>320</v>
      </c>
      <c r="F951" s="384">
        <v>405000</v>
      </c>
      <c r="G951" s="270">
        <v>690831296</v>
      </c>
      <c r="H951" s="270"/>
    </row>
    <row r="952" spans="1:8" x14ac:dyDescent="0.25">
      <c r="A952" s="257">
        <v>954</v>
      </c>
      <c r="B952" s="267">
        <v>951</v>
      </c>
      <c r="C952" s="268" t="s">
        <v>1021</v>
      </c>
      <c r="D952" s="269">
        <v>41835</v>
      </c>
      <c r="E952" s="270" t="s">
        <v>320</v>
      </c>
      <c r="F952" s="384">
        <v>223000</v>
      </c>
      <c r="G952" s="270">
        <v>690831296</v>
      </c>
      <c r="H952" s="270"/>
    </row>
    <row r="953" spans="1:8" x14ac:dyDescent="0.25">
      <c r="A953" s="257">
        <v>955</v>
      </c>
      <c r="B953" s="267">
        <v>952</v>
      </c>
      <c r="C953" s="268" t="s">
        <v>3618</v>
      </c>
      <c r="D953" s="269">
        <v>41835</v>
      </c>
      <c r="E953" s="270" t="s">
        <v>163</v>
      </c>
      <c r="F953" s="384">
        <v>145000</v>
      </c>
      <c r="G953" s="270">
        <v>100843354</v>
      </c>
      <c r="H953" s="270"/>
    </row>
    <row r="954" spans="1:8" x14ac:dyDescent="0.25">
      <c r="A954" s="257">
        <v>956</v>
      </c>
      <c r="B954" s="267">
        <v>953</v>
      </c>
      <c r="C954" s="268" t="s">
        <v>3618</v>
      </c>
      <c r="D954" s="269">
        <v>41835</v>
      </c>
      <c r="E954" s="270" t="s">
        <v>163</v>
      </c>
      <c r="F954" s="384">
        <v>260000</v>
      </c>
      <c r="G954" s="270">
        <v>100843354</v>
      </c>
      <c r="H954" s="270"/>
    </row>
    <row r="955" spans="1:8" x14ac:dyDescent="0.25">
      <c r="A955" s="257">
        <v>957</v>
      </c>
      <c r="B955" s="267">
        <v>954</v>
      </c>
      <c r="C955" s="268" t="s">
        <v>2377</v>
      </c>
      <c r="D955" s="269">
        <v>41835</v>
      </c>
      <c r="E955" s="270" t="s">
        <v>226</v>
      </c>
      <c r="F955" s="384">
        <v>34000</v>
      </c>
      <c r="G955" s="270">
        <v>190654467</v>
      </c>
      <c r="H955" s="270"/>
    </row>
    <row r="956" spans="1:8" x14ac:dyDescent="0.25">
      <c r="A956" s="257">
        <v>958</v>
      </c>
      <c r="B956" s="267">
        <v>955</v>
      </c>
      <c r="C956" s="268" t="s">
        <v>2649</v>
      </c>
      <c r="D956" s="269">
        <v>41835</v>
      </c>
      <c r="E956" s="270" t="s">
        <v>3299</v>
      </c>
      <c r="F956" s="384">
        <v>260000</v>
      </c>
      <c r="G956" s="270">
        <v>101176493</v>
      </c>
      <c r="H956" s="270"/>
    </row>
    <row r="957" spans="1:8" x14ac:dyDescent="0.25">
      <c r="A957" s="257">
        <v>959</v>
      </c>
      <c r="B957" s="267">
        <v>956</v>
      </c>
      <c r="C957" s="268" t="s">
        <v>3501</v>
      </c>
      <c r="D957" s="269">
        <v>41835</v>
      </c>
      <c r="E957" s="270" t="s">
        <v>2411</v>
      </c>
      <c r="F957" s="384">
        <v>145000</v>
      </c>
      <c r="G957" s="270">
        <v>100349860</v>
      </c>
      <c r="H957" s="270"/>
    </row>
    <row r="958" spans="1:8" x14ac:dyDescent="0.25">
      <c r="A958" s="257">
        <v>960</v>
      </c>
      <c r="B958" s="267">
        <v>957</v>
      </c>
      <c r="C958" s="268" t="s">
        <v>2377</v>
      </c>
      <c r="D958" s="269">
        <v>41835</v>
      </c>
      <c r="E958" s="270" t="s">
        <v>226</v>
      </c>
      <c r="F958" s="384">
        <v>34000</v>
      </c>
      <c r="G958" s="270">
        <v>190654467</v>
      </c>
      <c r="H958" s="270"/>
    </row>
    <row r="959" spans="1:8" x14ac:dyDescent="0.25">
      <c r="A959" s="257">
        <v>961</v>
      </c>
      <c r="B959" s="267">
        <v>958</v>
      </c>
      <c r="C959" s="268" t="s">
        <v>3658</v>
      </c>
      <c r="D959" s="269">
        <v>41835</v>
      </c>
      <c r="E959" s="270" t="s">
        <v>3552</v>
      </c>
      <c r="F959" s="384">
        <v>405000</v>
      </c>
      <c r="G959" s="270">
        <v>191569368</v>
      </c>
      <c r="H959" s="270"/>
    </row>
    <row r="960" spans="1:8" x14ac:dyDescent="0.25">
      <c r="A960" s="257">
        <v>962</v>
      </c>
      <c r="B960" s="267">
        <v>959</v>
      </c>
      <c r="C960" s="268" t="s">
        <v>1949</v>
      </c>
      <c r="D960" s="269">
        <v>41835</v>
      </c>
      <c r="E960" s="270" t="s">
        <v>1702</v>
      </c>
      <c r="F960" s="384">
        <v>63000</v>
      </c>
      <c r="G960" s="270">
        <v>100315395</v>
      </c>
      <c r="H960" s="270"/>
    </row>
    <row r="961" spans="1:8" x14ac:dyDescent="0.25">
      <c r="A961" s="257">
        <v>963</v>
      </c>
      <c r="B961" s="267">
        <v>960</v>
      </c>
      <c r="C961" s="268" t="s">
        <v>3210</v>
      </c>
      <c r="D961" s="269">
        <v>41835</v>
      </c>
      <c r="E961" s="270" t="s">
        <v>2712</v>
      </c>
      <c r="F961" s="384">
        <v>150000</v>
      </c>
      <c r="G961" s="270">
        <v>100044806</v>
      </c>
      <c r="H961" s="270"/>
    </row>
    <row r="962" spans="1:8" x14ac:dyDescent="0.25">
      <c r="A962" s="257">
        <v>964</v>
      </c>
      <c r="B962" s="267">
        <v>961</v>
      </c>
      <c r="C962" s="268" t="s">
        <v>3734</v>
      </c>
      <c r="D962" s="269">
        <v>41835</v>
      </c>
      <c r="E962" s="270" t="s">
        <v>2358</v>
      </c>
      <c r="F962" s="384">
        <v>405000</v>
      </c>
      <c r="G962" s="270">
        <v>800008903</v>
      </c>
      <c r="H962" s="270"/>
    </row>
    <row r="963" spans="1:8" x14ac:dyDescent="0.25">
      <c r="A963" s="257">
        <v>965</v>
      </c>
      <c r="B963" s="267">
        <v>962</v>
      </c>
      <c r="C963" s="268" t="s">
        <v>2893</v>
      </c>
      <c r="D963" s="269">
        <v>41835</v>
      </c>
      <c r="E963" s="270" t="s">
        <v>3220</v>
      </c>
      <c r="F963" s="384">
        <v>186000</v>
      </c>
      <c r="G963" s="270">
        <v>101371967</v>
      </c>
      <c r="H963" s="270"/>
    </row>
    <row r="964" spans="1:8" x14ac:dyDescent="0.25">
      <c r="A964" s="257">
        <v>966</v>
      </c>
      <c r="B964" s="267">
        <v>963</v>
      </c>
      <c r="C964" s="268" t="s">
        <v>1021</v>
      </c>
      <c r="D964" s="269">
        <v>41835</v>
      </c>
      <c r="E964" s="270" t="s">
        <v>320</v>
      </c>
      <c r="F964" s="384">
        <v>405000</v>
      </c>
      <c r="G964" s="270">
        <v>690831296</v>
      </c>
      <c r="H964" s="270"/>
    </row>
    <row r="965" spans="1:8" x14ac:dyDescent="0.25">
      <c r="A965" s="257">
        <v>967</v>
      </c>
      <c r="B965" s="267">
        <v>964</v>
      </c>
      <c r="C965" s="268" t="s">
        <v>1686</v>
      </c>
      <c r="D965" s="269">
        <v>41836</v>
      </c>
      <c r="E965" s="270" t="s">
        <v>1670</v>
      </c>
      <c r="F965" s="384">
        <v>260000</v>
      </c>
      <c r="G965" s="270">
        <v>691600724</v>
      </c>
      <c r="H965" s="270"/>
    </row>
    <row r="966" spans="1:8" x14ac:dyDescent="0.25">
      <c r="A966" s="257">
        <v>968</v>
      </c>
      <c r="B966" s="267">
        <v>965</v>
      </c>
      <c r="C966" s="268" t="s">
        <v>3837</v>
      </c>
      <c r="D966" s="269">
        <v>41836</v>
      </c>
      <c r="E966" s="270" t="s">
        <v>2748</v>
      </c>
      <c r="F966" s="384">
        <v>160000</v>
      </c>
      <c r="G966" s="270">
        <v>191683833</v>
      </c>
      <c r="H966" s="270"/>
    </row>
    <row r="967" spans="1:8" x14ac:dyDescent="0.25">
      <c r="A967" s="257">
        <v>969</v>
      </c>
      <c r="B967" s="267">
        <v>966</v>
      </c>
      <c r="C967" s="268" t="s">
        <v>452</v>
      </c>
      <c r="D967" s="269">
        <v>41836</v>
      </c>
      <c r="E967" s="270" t="s">
        <v>146</v>
      </c>
      <c r="F967" s="384">
        <v>186000</v>
      </c>
      <c r="G967" s="270">
        <v>100839215</v>
      </c>
      <c r="H967" s="270"/>
    </row>
    <row r="968" spans="1:8" x14ac:dyDescent="0.25">
      <c r="A968" s="257">
        <v>970</v>
      </c>
      <c r="B968" s="267">
        <v>967</v>
      </c>
      <c r="C968" s="268" t="s">
        <v>2636</v>
      </c>
      <c r="D968" s="269">
        <v>41836</v>
      </c>
      <c r="E968" s="270" t="s">
        <v>2441</v>
      </c>
      <c r="F968" s="384">
        <v>155000</v>
      </c>
      <c r="G968" s="270">
        <v>190829939</v>
      </c>
      <c r="H968" s="270"/>
    </row>
    <row r="969" spans="1:8" x14ac:dyDescent="0.25">
      <c r="A969" s="257">
        <v>971</v>
      </c>
      <c r="B969" s="267">
        <v>968</v>
      </c>
      <c r="C969" s="268" t="s">
        <v>1808</v>
      </c>
      <c r="D969" s="269">
        <v>41836</v>
      </c>
      <c r="E969" s="270" t="s">
        <v>924</v>
      </c>
      <c r="F969" s="384">
        <v>405000</v>
      </c>
      <c r="G969" s="270">
        <v>290608776</v>
      </c>
      <c r="H969" s="270"/>
    </row>
    <row r="970" spans="1:8" x14ac:dyDescent="0.25">
      <c r="A970" s="257">
        <v>972</v>
      </c>
      <c r="B970" s="267">
        <v>969</v>
      </c>
      <c r="C970" s="268" t="s">
        <v>452</v>
      </c>
      <c r="D970" s="269">
        <v>41836</v>
      </c>
      <c r="E970" s="270" t="s">
        <v>1833</v>
      </c>
      <c r="F970" s="384">
        <v>223000</v>
      </c>
      <c r="G970" s="270">
        <v>190936396</v>
      </c>
      <c r="H970" s="270"/>
    </row>
    <row r="971" spans="1:8" x14ac:dyDescent="0.25">
      <c r="A971" s="257">
        <v>973</v>
      </c>
      <c r="B971" s="267">
        <v>970</v>
      </c>
      <c r="C971" s="268" t="s">
        <v>3126</v>
      </c>
      <c r="D971" s="269">
        <v>41837</v>
      </c>
      <c r="E971" s="270" t="s">
        <v>2409</v>
      </c>
      <c r="F971" s="384">
        <v>405000</v>
      </c>
      <c r="G971" s="270">
        <v>691464441</v>
      </c>
      <c r="H971" s="270"/>
    </row>
    <row r="972" spans="1:8" x14ac:dyDescent="0.25">
      <c r="A972" s="257">
        <v>974</v>
      </c>
      <c r="B972" s="267">
        <v>971</v>
      </c>
      <c r="C972" s="268" t="s">
        <v>2437</v>
      </c>
      <c r="D972" s="269">
        <v>41837</v>
      </c>
      <c r="E972" s="270" t="s">
        <v>3584</v>
      </c>
      <c r="F972" s="384">
        <v>405000</v>
      </c>
      <c r="G972" s="270">
        <v>100297330</v>
      </c>
      <c r="H972" s="270"/>
    </row>
    <row r="973" spans="1:8" x14ac:dyDescent="0.25">
      <c r="A973" s="257">
        <v>975</v>
      </c>
      <c r="B973" s="267">
        <v>972</v>
      </c>
      <c r="C973" s="268" t="s">
        <v>2645</v>
      </c>
      <c r="D973" s="269">
        <v>41837</v>
      </c>
      <c r="E973" s="270" t="s">
        <v>239</v>
      </c>
      <c r="F973" s="384">
        <v>145000</v>
      </c>
      <c r="G973" s="270">
        <v>101139097</v>
      </c>
      <c r="H973" s="270"/>
    </row>
    <row r="974" spans="1:8" x14ac:dyDescent="0.25">
      <c r="A974" s="257">
        <v>976</v>
      </c>
      <c r="B974" s="267">
        <v>973</v>
      </c>
      <c r="C974" s="268" t="s">
        <v>269</v>
      </c>
      <c r="D974" s="269">
        <v>41837</v>
      </c>
      <c r="E974" s="270" t="s">
        <v>3611</v>
      </c>
      <c r="F974" s="384">
        <v>223000</v>
      </c>
      <c r="G974" s="270">
        <v>190098681</v>
      </c>
      <c r="H974" s="270"/>
    </row>
    <row r="975" spans="1:8" x14ac:dyDescent="0.25">
      <c r="A975" s="257">
        <v>977</v>
      </c>
      <c r="B975" s="267">
        <v>974</v>
      </c>
      <c r="C975" s="268" t="s">
        <v>1813</v>
      </c>
      <c r="D975" s="269">
        <v>41837</v>
      </c>
      <c r="E975" s="270" t="s">
        <v>2407</v>
      </c>
      <c r="F975" s="384">
        <v>405000</v>
      </c>
      <c r="G975" s="270">
        <v>101544137</v>
      </c>
      <c r="H975" s="270"/>
    </row>
    <row r="976" spans="1:8" x14ac:dyDescent="0.25">
      <c r="A976" s="257">
        <v>978</v>
      </c>
      <c r="B976" s="267">
        <v>975</v>
      </c>
      <c r="C976" s="268" t="s">
        <v>1813</v>
      </c>
      <c r="D976" s="269">
        <v>41837</v>
      </c>
      <c r="E976" s="270" t="s">
        <v>2407</v>
      </c>
      <c r="F976" s="384">
        <v>405000</v>
      </c>
      <c r="G976" s="270">
        <v>101544137</v>
      </c>
      <c r="H976" s="270"/>
    </row>
    <row r="977" spans="1:8" x14ac:dyDescent="0.25">
      <c r="A977" s="257">
        <v>979</v>
      </c>
      <c r="B977" s="267">
        <v>976</v>
      </c>
      <c r="C977" s="268" t="s">
        <v>3308</v>
      </c>
      <c r="D977" s="269">
        <v>41837</v>
      </c>
      <c r="E977" s="270" t="s">
        <v>2851</v>
      </c>
      <c r="F977" s="384">
        <v>405000</v>
      </c>
      <c r="G977" s="270">
        <v>691463537</v>
      </c>
      <c r="H977" s="270"/>
    </row>
    <row r="978" spans="1:8" x14ac:dyDescent="0.25">
      <c r="A978" s="257">
        <v>980</v>
      </c>
      <c r="B978" s="267">
        <v>977</v>
      </c>
      <c r="C978" s="268" t="s">
        <v>2433</v>
      </c>
      <c r="D978" s="269">
        <v>41837</v>
      </c>
      <c r="E978" s="270" t="s">
        <v>174</v>
      </c>
      <c r="F978" s="384">
        <v>260000</v>
      </c>
      <c r="G978" s="270">
        <v>190634264</v>
      </c>
      <c r="H978" s="270"/>
    </row>
    <row r="979" spans="1:8" x14ac:dyDescent="0.25">
      <c r="A979" s="257">
        <v>981</v>
      </c>
      <c r="B979" s="267">
        <v>978</v>
      </c>
      <c r="C979" s="268" t="s">
        <v>832</v>
      </c>
      <c r="D979" s="269">
        <v>41837</v>
      </c>
      <c r="E979" s="270" t="s">
        <v>245</v>
      </c>
      <c r="F979" s="384">
        <v>34000</v>
      </c>
      <c r="G979" s="270">
        <v>100886879</v>
      </c>
      <c r="H979" s="270"/>
    </row>
    <row r="980" spans="1:8" x14ac:dyDescent="0.25">
      <c r="A980" s="257">
        <v>982</v>
      </c>
      <c r="B980" s="267">
        <v>979</v>
      </c>
      <c r="C980" s="268" t="s">
        <v>3749</v>
      </c>
      <c r="D980" s="269">
        <v>41837</v>
      </c>
      <c r="E980" s="270" t="s">
        <v>2844</v>
      </c>
      <c r="F980" s="384">
        <v>223000</v>
      </c>
      <c r="G980" s="270">
        <v>101099023</v>
      </c>
      <c r="H980" s="270"/>
    </row>
    <row r="981" spans="1:8" x14ac:dyDescent="0.25">
      <c r="A981" s="257">
        <v>983</v>
      </c>
      <c r="B981" s="267">
        <v>980</v>
      </c>
      <c r="C981" s="268" t="s">
        <v>216</v>
      </c>
      <c r="D981" s="269">
        <v>41837</v>
      </c>
      <c r="E981" s="270" t="s">
        <v>2651</v>
      </c>
      <c r="F981" s="384">
        <v>150000</v>
      </c>
      <c r="G981" s="270">
        <v>191498014</v>
      </c>
      <c r="H981" s="270"/>
    </row>
    <row r="982" spans="1:8" x14ac:dyDescent="0.25">
      <c r="A982" s="257">
        <v>984</v>
      </c>
      <c r="B982" s="267">
        <v>981</v>
      </c>
      <c r="C982" s="268" t="s">
        <v>1023</v>
      </c>
      <c r="D982" s="269">
        <v>41838</v>
      </c>
      <c r="E982" s="270" t="s">
        <v>391</v>
      </c>
      <c r="F982" s="384">
        <v>372000</v>
      </c>
      <c r="G982" s="270">
        <v>190640592</v>
      </c>
      <c r="H982" s="270"/>
    </row>
    <row r="983" spans="1:8" x14ac:dyDescent="0.25">
      <c r="A983" s="257">
        <v>985</v>
      </c>
      <c r="B983" s="267">
        <v>982</v>
      </c>
      <c r="C983" s="268" t="s">
        <v>494</v>
      </c>
      <c r="D983" s="269">
        <v>41838</v>
      </c>
      <c r="E983" s="270" t="s">
        <v>339</v>
      </c>
      <c r="F983" s="384">
        <v>145000</v>
      </c>
      <c r="G983" s="270">
        <v>690629013</v>
      </c>
      <c r="H983" s="270"/>
    </row>
    <row r="984" spans="1:8" x14ac:dyDescent="0.25">
      <c r="A984" s="257">
        <v>986</v>
      </c>
      <c r="B984" s="267">
        <v>983</v>
      </c>
      <c r="C984" s="268" t="s">
        <v>3141</v>
      </c>
      <c r="D984" s="269">
        <v>41838</v>
      </c>
      <c r="E984" s="270" t="s">
        <v>809</v>
      </c>
      <c r="F984" s="384">
        <v>59000</v>
      </c>
      <c r="G984" s="270">
        <v>0</v>
      </c>
      <c r="H984" s="270"/>
    </row>
    <row r="985" spans="1:8" x14ac:dyDescent="0.25">
      <c r="A985" s="257">
        <v>987</v>
      </c>
      <c r="B985" s="267">
        <v>984</v>
      </c>
      <c r="C985" s="268" t="s">
        <v>2733</v>
      </c>
      <c r="D985" s="269">
        <v>41838</v>
      </c>
      <c r="E985" s="270" t="s">
        <v>3613</v>
      </c>
      <c r="F985" s="384">
        <v>310000</v>
      </c>
      <c r="G985" s="270">
        <v>800014037</v>
      </c>
      <c r="H985" s="270"/>
    </row>
    <row r="986" spans="1:8" x14ac:dyDescent="0.25">
      <c r="A986" s="257">
        <v>988</v>
      </c>
      <c r="B986" s="267">
        <v>985</v>
      </c>
      <c r="C986" s="268" t="s">
        <v>3512</v>
      </c>
      <c r="D986" s="269">
        <v>41838</v>
      </c>
      <c r="E986" s="270" t="s">
        <v>227</v>
      </c>
      <c r="F986" s="384">
        <v>405000</v>
      </c>
      <c r="G986" s="270">
        <v>691422296</v>
      </c>
      <c r="H986" s="270"/>
    </row>
    <row r="987" spans="1:8" x14ac:dyDescent="0.25">
      <c r="A987" s="257">
        <v>989</v>
      </c>
      <c r="B987" s="267">
        <v>986</v>
      </c>
      <c r="C987" s="268" t="s">
        <v>2893</v>
      </c>
      <c r="D987" s="269">
        <v>41838</v>
      </c>
      <c r="E987" s="270" t="s">
        <v>3220</v>
      </c>
      <c r="F987" s="384">
        <v>93000</v>
      </c>
      <c r="G987" s="270">
        <v>101371967</v>
      </c>
      <c r="H987" s="270"/>
    </row>
    <row r="988" spans="1:8" x14ac:dyDescent="0.25">
      <c r="A988" s="257">
        <v>990</v>
      </c>
      <c r="B988" s="267">
        <v>987</v>
      </c>
      <c r="C988" s="268" t="s">
        <v>3103</v>
      </c>
      <c r="D988" s="269">
        <v>41839</v>
      </c>
      <c r="E988" s="270" t="s">
        <v>2400</v>
      </c>
      <c r="F988" s="384">
        <v>155000</v>
      </c>
      <c r="G988" s="270">
        <v>190593421</v>
      </c>
      <c r="H988" s="270"/>
    </row>
    <row r="989" spans="1:8" x14ac:dyDescent="0.25">
      <c r="A989" s="257">
        <v>991</v>
      </c>
      <c r="B989" s="267">
        <v>988</v>
      </c>
      <c r="C989" s="268" t="s">
        <v>494</v>
      </c>
      <c r="D989" s="269">
        <v>41839</v>
      </c>
      <c r="E989" s="270" t="s">
        <v>339</v>
      </c>
      <c r="F989" s="384">
        <v>34000</v>
      </c>
      <c r="G989" s="270">
        <v>690629013</v>
      </c>
      <c r="H989" s="270"/>
    </row>
    <row r="990" spans="1:8" x14ac:dyDescent="0.25">
      <c r="A990" s="257">
        <v>992</v>
      </c>
      <c r="B990" s="267">
        <v>989</v>
      </c>
      <c r="C990" s="268" t="s">
        <v>1658</v>
      </c>
      <c r="D990" s="269">
        <v>41841</v>
      </c>
      <c r="E990" s="270" t="s">
        <v>825</v>
      </c>
      <c r="F990" s="384">
        <v>260000</v>
      </c>
      <c r="G990" s="270">
        <v>100951254</v>
      </c>
      <c r="H990" s="270"/>
    </row>
    <row r="991" spans="1:8" x14ac:dyDescent="0.25">
      <c r="A991" s="257">
        <v>993</v>
      </c>
      <c r="B991" s="267">
        <v>990</v>
      </c>
      <c r="C991" s="268" t="s">
        <v>2434</v>
      </c>
      <c r="D991" s="269">
        <v>41841</v>
      </c>
      <c r="E991" s="270" t="s">
        <v>820</v>
      </c>
      <c r="F991" s="384">
        <v>145000</v>
      </c>
      <c r="G991" s="270">
        <v>191301074</v>
      </c>
      <c r="H991" s="270"/>
    </row>
    <row r="992" spans="1:8" x14ac:dyDescent="0.25">
      <c r="A992" s="257">
        <v>994</v>
      </c>
      <c r="B992" s="267">
        <v>991</v>
      </c>
      <c r="C992" s="268" t="s">
        <v>317</v>
      </c>
      <c r="D992" s="269">
        <v>41841</v>
      </c>
      <c r="E992" s="270" t="s">
        <v>261</v>
      </c>
      <c r="F992" s="384">
        <v>780000</v>
      </c>
      <c r="G992" s="270">
        <v>191091166</v>
      </c>
      <c r="H992" s="270"/>
    </row>
    <row r="993" spans="1:8" x14ac:dyDescent="0.25">
      <c r="A993" s="257">
        <v>995</v>
      </c>
      <c r="B993" s="267">
        <v>992</v>
      </c>
      <c r="C993" s="268" t="s">
        <v>3279</v>
      </c>
      <c r="D993" s="269">
        <v>41841</v>
      </c>
      <c r="E993" s="270" t="s">
        <v>3585</v>
      </c>
      <c r="F993" s="384">
        <v>186000</v>
      </c>
      <c r="G993" s="270">
        <v>191283872</v>
      </c>
      <c r="H993" s="270"/>
    </row>
    <row r="994" spans="1:8" x14ac:dyDescent="0.25">
      <c r="A994" s="257">
        <v>996</v>
      </c>
      <c r="B994" s="267">
        <v>993</v>
      </c>
      <c r="C994" s="268" t="s">
        <v>520</v>
      </c>
      <c r="D994" s="269">
        <v>41841</v>
      </c>
      <c r="E994" s="270" t="s">
        <v>3575</v>
      </c>
      <c r="F994" s="384">
        <v>223000</v>
      </c>
      <c r="G994" s="270">
        <v>190345927</v>
      </c>
      <c r="H994" s="270"/>
    </row>
    <row r="995" spans="1:8" x14ac:dyDescent="0.25">
      <c r="A995" s="257">
        <v>997</v>
      </c>
      <c r="B995" s="267">
        <v>994</v>
      </c>
      <c r="C995" s="268" t="s">
        <v>395</v>
      </c>
      <c r="D995" s="269">
        <v>41841</v>
      </c>
      <c r="E995" s="270" t="s">
        <v>310</v>
      </c>
      <c r="F995" s="384">
        <v>186000</v>
      </c>
      <c r="G995" s="270">
        <v>101116094</v>
      </c>
      <c r="H995" s="270"/>
    </row>
    <row r="996" spans="1:8" x14ac:dyDescent="0.25">
      <c r="A996" s="257">
        <v>998</v>
      </c>
      <c r="B996" s="267">
        <v>995</v>
      </c>
      <c r="C996" s="268" t="s">
        <v>2835</v>
      </c>
      <c r="D996" s="269">
        <v>41841</v>
      </c>
      <c r="E996" s="270" t="s">
        <v>2890</v>
      </c>
      <c r="F996" s="384">
        <v>280000</v>
      </c>
      <c r="G996" s="270">
        <v>690367172</v>
      </c>
      <c r="H996" s="270"/>
    </row>
    <row r="997" spans="1:8" x14ac:dyDescent="0.25">
      <c r="A997" s="257">
        <v>999</v>
      </c>
      <c r="B997" s="267">
        <v>996</v>
      </c>
      <c r="C997" s="268" t="s">
        <v>740</v>
      </c>
      <c r="D997" s="269">
        <v>41841</v>
      </c>
      <c r="E997" s="270" t="s">
        <v>933</v>
      </c>
      <c r="F997" s="384">
        <v>1560000</v>
      </c>
      <c r="G997" s="270">
        <v>100072334</v>
      </c>
      <c r="H997" s="270"/>
    </row>
    <row r="998" spans="1:8" x14ac:dyDescent="0.25">
      <c r="A998" s="257">
        <v>1000</v>
      </c>
      <c r="B998" s="267">
        <v>997</v>
      </c>
      <c r="C998" s="268" t="s">
        <v>811</v>
      </c>
      <c r="D998" s="269">
        <v>41842</v>
      </c>
      <c r="E998" s="270" t="s">
        <v>727</v>
      </c>
      <c r="F998" s="384">
        <v>150000</v>
      </c>
      <c r="G998" s="270">
        <v>191803551</v>
      </c>
      <c r="H998" s="270"/>
    </row>
    <row r="999" spans="1:8" x14ac:dyDescent="0.25">
      <c r="A999" s="257">
        <v>1001</v>
      </c>
      <c r="B999" s="267">
        <v>998</v>
      </c>
      <c r="C999" s="268" t="s">
        <v>2733</v>
      </c>
      <c r="D999" s="269">
        <v>41842</v>
      </c>
      <c r="E999" s="270" t="s">
        <v>3491</v>
      </c>
      <c r="F999" s="384">
        <v>186000</v>
      </c>
      <c r="G999" s="270">
        <v>800014037</v>
      </c>
      <c r="H999" s="270"/>
    </row>
    <row r="1000" spans="1:8" x14ac:dyDescent="0.25">
      <c r="A1000" s="257">
        <v>1002</v>
      </c>
      <c r="B1000" s="267">
        <v>999</v>
      </c>
      <c r="C1000" s="268" t="s">
        <v>1850</v>
      </c>
      <c r="D1000" s="269">
        <v>41842</v>
      </c>
      <c r="E1000" s="270" t="s">
        <v>3578</v>
      </c>
      <c r="F1000" s="384">
        <v>405000</v>
      </c>
      <c r="G1000" s="270">
        <v>190919164</v>
      </c>
      <c r="H1000" s="270"/>
    </row>
    <row r="1001" spans="1:8" x14ac:dyDescent="0.25">
      <c r="A1001" s="257">
        <v>1003</v>
      </c>
      <c r="B1001" s="267">
        <v>1000</v>
      </c>
      <c r="C1001" s="268" t="s">
        <v>67</v>
      </c>
      <c r="D1001" s="269">
        <v>41842</v>
      </c>
      <c r="E1001" s="270" t="s">
        <v>914</v>
      </c>
      <c r="F1001" s="384">
        <v>405000</v>
      </c>
      <c r="G1001" s="270">
        <v>190114911</v>
      </c>
      <c r="H1001" s="270"/>
    </row>
    <row r="1002" spans="1:8" x14ac:dyDescent="0.25">
      <c r="A1002" s="257">
        <v>1004</v>
      </c>
      <c r="B1002" s="267">
        <v>1001</v>
      </c>
      <c r="C1002" s="268" t="s">
        <v>3239</v>
      </c>
      <c r="D1002" s="269">
        <v>41842</v>
      </c>
      <c r="E1002" s="270" t="s">
        <v>176</v>
      </c>
      <c r="F1002" s="384">
        <v>160000</v>
      </c>
      <c r="G1002" s="270">
        <v>100008993</v>
      </c>
      <c r="H1002" s="270"/>
    </row>
    <row r="1003" spans="1:8" x14ac:dyDescent="0.25">
      <c r="A1003" s="257">
        <v>1005</v>
      </c>
      <c r="B1003" s="267">
        <v>1002</v>
      </c>
      <c r="C1003" s="268" t="s">
        <v>3574</v>
      </c>
      <c r="D1003" s="269">
        <v>41842</v>
      </c>
      <c r="E1003" s="270" t="s">
        <v>2764</v>
      </c>
      <c r="F1003" s="384">
        <v>223000</v>
      </c>
      <c r="G1003" s="270">
        <v>808001220</v>
      </c>
      <c r="H1003" s="270"/>
    </row>
    <row r="1004" spans="1:8" x14ac:dyDescent="0.25">
      <c r="A1004" s="257">
        <v>1006</v>
      </c>
      <c r="B1004" s="267">
        <v>1003</v>
      </c>
      <c r="C1004" s="268" t="s">
        <v>2794</v>
      </c>
      <c r="D1004" s="269">
        <v>41842</v>
      </c>
      <c r="E1004" s="270" t="s">
        <v>3131</v>
      </c>
      <c r="F1004" s="384">
        <v>260000</v>
      </c>
      <c r="G1004" s="270">
        <v>100062465</v>
      </c>
      <c r="H1004" s="270"/>
    </row>
    <row r="1005" spans="1:8" x14ac:dyDescent="0.25">
      <c r="A1005" s="257">
        <v>1007</v>
      </c>
      <c r="B1005" s="267">
        <v>1004</v>
      </c>
      <c r="C1005" s="268" t="s">
        <v>3574</v>
      </c>
      <c r="D1005" s="269">
        <v>41842</v>
      </c>
      <c r="E1005" s="270" t="s">
        <v>2817</v>
      </c>
      <c r="F1005" s="384">
        <v>223000</v>
      </c>
      <c r="G1005" s="270">
        <v>808001220</v>
      </c>
      <c r="H1005" s="270"/>
    </row>
    <row r="1006" spans="1:8" x14ac:dyDescent="0.25">
      <c r="A1006" s="257">
        <v>1008</v>
      </c>
      <c r="B1006" s="267">
        <v>1005</v>
      </c>
      <c r="C1006" s="268" t="s">
        <v>2721</v>
      </c>
      <c r="D1006" s="269">
        <v>41842</v>
      </c>
      <c r="E1006" s="270" t="s">
        <v>1935</v>
      </c>
      <c r="F1006" s="384">
        <v>186000</v>
      </c>
      <c r="G1006" s="270">
        <v>191429855</v>
      </c>
      <c r="H1006" s="270"/>
    </row>
    <row r="1007" spans="1:8" x14ac:dyDescent="0.25">
      <c r="A1007" s="257">
        <v>1009</v>
      </c>
      <c r="B1007" s="267">
        <v>1006</v>
      </c>
      <c r="C1007" s="268" t="s">
        <v>190</v>
      </c>
      <c r="D1007" s="269">
        <v>41842</v>
      </c>
      <c r="E1007" s="270" t="s">
        <v>188</v>
      </c>
      <c r="F1007" s="384">
        <v>223000</v>
      </c>
      <c r="G1007" s="270">
        <v>190270596</v>
      </c>
      <c r="H1007" s="270"/>
    </row>
    <row r="1008" spans="1:8" x14ac:dyDescent="0.25">
      <c r="A1008" s="257">
        <v>1010</v>
      </c>
      <c r="B1008" s="267">
        <v>1007</v>
      </c>
      <c r="C1008" s="268" t="s">
        <v>3776</v>
      </c>
      <c r="D1008" s="269">
        <v>41843</v>
      </c>
      <c r="E1008" s="270" t="s">
        <v>182</v>
      </c>
      <c r="F1008" s="384">
        <v>405000</v>
      </c>
      <c r="G1008" s="270">
        <v>190113200</v>
      </c>
      <c r="H1008" s="270"/>
    </row>
    <row r="1009" spans="1:8" x14ac:dyDescent="0.25">
      <c r="A1009" s="257">
        <v>1011</v>
      </c>
      <c r="B1009" s="267">
        <v>1008</v>
      </c>
      <c r="C1009" s="268" t="s">
        <v>137</v>
      </c>
      <c r="D1009" s="269">
        <v>41843</v>
      </c>
      <c r="E1009" s="270" t="s">
        <v>405</v>
      </c>
      <c r="F1009" s="384">
        <v>186000</v>
      </c>
      <c r="G1009" s="270">
        <v>190778354</v>
      </c>
      <c r="H1009" s="270"/>
    </row>
    <row r="1010" spans="1:8" x14ac:dyDescent="0.25">
      <c r="A1010" s="257">
        <v>1012</v>
      </c>
      <c r="B1010" s="267">
        <v>1009</v>
      </c>
      <c r="C1010" s="268" t="s">
        <v>181</v>
      </c>
      <c r="D1010" s="269">
        <v>41843</v>
      </c>
      <c r="E1010" s="270" t="s">
        <v>3107</v>
      </c>
      <c r="F1010" s="384">
        <v>869000</v>
      </c>
      <c r="G1010" s="270">
        <v>100320487</v>
      </c>
      <c r="H1010" s="270"/>
    </row>
    <row r="1011" spans="1:8" x14ac:dyDescent="0.25">
      <c r="A1011" s="257">
        <v>1013</v>
      </c>
      <c r="B1011" s="267">
        <v>1010</v>
      </c>
      <c r="C1011" s="268" t="s">
        <v>3739</v>
      </c>
      <c r="D1011" s="269">
        <v>41843</v>
      </c>
      <c r="E1011" s="270" t="s">
        <v>3502</v>
      </c>
      <c r="F1011" s="384">
        <v>223000</v>
      </c>
      <c r="G1011" s="270">
        <v>101581495</v>
      </c>
      <c r="H1011" s="270"/>
    </row>
    <row r="1012" spans="1:8" x14ac:dyDescent="0.25">
      <c r="A1012" s="257">
        <v>1014</v>
      </c>
      <c r="B1012" s="267">
        <v>1011</v>
      </c>
      <c r="C1012" s="268" t="s">
        <v>1819</v>
      </c>
      <c r="D1012" s="269">
        <v>41843</v>
      </c>
      <c r="E1012" s="270" t="s">
        <v>2155</v>
      </c>
      <c r="F1012" s="384">
        <v>260000</v>
      </c>
      <c r="G1012" s="270">
        <v>790610130</v>
      </c>
      <c r="H1012" s="270"/>
    </row>
    <row r="1013" spans="1:8" x14ac:dyDescent="0.25">
      <c r="A1013" s="257">
        <v>1015</v>
      </c>
      <c r="B1013" s="267">
        <v>1012</v>
      </c>
      <c r="C1013" s="268" t="s">
        <v>3858</v>
      </c>
      <c r="D1013" s="269">
        <v>41843</v>
      </c>
      <c r="E1013" s="270" t="s">
        <v>1632</v>
      </c>
      <c r="F1013" s="384">
        <v>260000</v>
      </c>
      <c r="G1013" s="270">
        <v>691531391</v>
      </c>
      <c r="H1013" s="270"/>
    </row>
    <row r="1014" spans="1:8" x14ac:dyDescent="0.25">
      <c r="A1014" s="257">
        <v>1016</v>
      </c>
      <c r="B1014" s="267">
        <v>1013</v>
      </c>
      <c r="C1014" s="268" t="s">
        <v>2721</v>
      </c>
      <c r="D1014" s="269">
        <v>41844</v>
      </c>
      <c r="E1014" s="270" t="s">
        <v>718</v>
      </c>
      <c r="F1014" s="384">
        <v>160000</v>
      </c>
      <c r="G1014" s="270">
        <v>190795055</v>
      </c>
      <c r="H1014" s="270"/>
    </row>
    <row r="1015" spans="1:8" x14ac:dyDescent="0.25">
      <c r="A1015" s="257">
        <v>1017</v>
      </c>
      <c r="B1015" s="267">
        <v>1014</v>
      </c>
      <c r="C1015" s="268" t="s">
        <v>2627</v>
      </c>
      <c r="D1015" s="269">
        <v>41844</v>
      </c>
      <c r="E1015" s="270" t="s">
        <v>2626</v>
      </c>
      <c r="F1015" s="384">
        <v>223000</v>
      </c>
      <c r="G1015" s="270">
        <v>191425607</v>
      </c>
      <c r="H1015" s="270"/>
    </row>
    <row r="1016" spans="1:8" x14ac:dyDescent="0.25">
      <c r="A1016" s="257">
        <v>1018</v>
      </c>
      <c r="B1016" s="267">
        <v>1015</v>
      </c>
      <c r="C1016" s="268" t="s">
        <v>1120</v>
      </c>
      <c r="D1016" s="269">
        <v>41844</v>
      </c>
      <c r="E1016" s="270" t="s">
        <v>493</v>
      </c>
      <c r="F1016" s="384">
        <v>145000</v>
      </c>
      <c r="G1016" s="270">
        <v>191727606</v>
      </c>
      <c r="H1016" s="270"/>
    </row>
    <row r="1017" spans="1:8" x14ac:dyDescent="0.25">
      <c r="A1017" s="257">
        <v>1019</v>
      </c>
      <c r="B1017" s="267">
        <v>1016</v>
      </c>
      <c r="C1017" s="268" t="s">
        <v>1120</v>
      </c>
      <c r="D1017" s="269">
        <v>41844</v>
      </c>
      <c r="E1017" s="270" t="s">
        <v>493</v>
      </c>
      <c r="F1017" s="384">
        <v>1070000</v>
      </c>
      <c r="G1017" s="270">
        <v>191727606</v>
      </c>
      <c r="H1017" s="270"/>
    </row>
    <row r="1018" spans="1:8" x14ac:dyDescent="0.25">
      <c r="A1018" s="257">
        <v>1020</v>
      </c>
      <c r="B1018" s="267">
        <v>1017</v>
      </c>
      <c r="C1018" s="268" t="s">
        <v>3841</v>
      </c>
      <c r="D1018" s="269">
        <v>41844</v>
      </c>
      <c r="E1018" s="270" t="s">
        <v>201</v>
      </c>
      <c r="F1018" s="384">
        <v>405000</v>
      </c>
      <c r="G1018" s="270">
        <v>690810107</v>
      </c>
      <c r="H1018" s="270"/>
    </row>
    <row r="1019" spans="1:8" x14ac:dyDescent="0.25">
      <c r="A1019" s="257">
        <v>1021</v>
      </c>
      <c r="B1019" s="267">
        <v>1018</v>
      </c>
      <c r="C1019" s="268" t="s">
        <v>2889</v>
      </c>
      <c r="D1019" s="269">
        <v>41844</v>
      </c>
      <c r="E1019" s="270" t="s">
        <v>523</v>
      </c>
      <c r="F1019" s="384">
        <v>405000</v>
      </c>
      <c r="G1019" s="270">
        <v>691539111</v>
      </c>
      <c r="H1019" s="270"/>
    </row>
    <row r="1020" spans="1:8" x14ac:dyDescent="0.25">
      <c r="A1020" s="257">
        <v>1022</v>
      </c>
      <c r="B1020" s="267">
        <v>1019</v>
      </c>
      <c r="C1020" s="268" t="s">
        <v>1535</v>
      </c>
      <c r="D1020" s="269">
        <v>41844</v>
      </c>
      <c r="E1020" s="270" t="s">
        <v>3553</v>
      </c>
      <c r="F1020" s="384">
        <v>34000</v>
      </c>
      <c r="G1020" s="270">
        <v>191429855</v>
      </c>
      <c r="H1020" s="270"/>
    </row>
    <row r="1021" spans="1:8" x14ac:dyDescent="0.25">
      <c r="A1021" s="257">
        <v>1023</v>
      </c>
      <c r="B1021" s="267">
        <v>1020</v>
      </c>
      <c r="C1021" s="268" t="s">
        <v>3319</v>
      </c>
      <c r="D1021" s="269">
        <v>41844</v>
      </c>
      <c r="E1021" s="270" t="s">
        <v>4189</v>
      </c>
      <c r="F1021" s="384">
        <v>150000</v>
      </c>
      <c r="G1021" s="270">
        <v>100186444</v>
      </c>
      <c r="H1021" s="270"/>
    </row>
    <row r="1022" spans="1:8" x14ac:dyDescent="0.25">
      <c r="A1022" s="257">
        <v>1024</v>
      </c>
      <c r="B1022" s="267">
        <v>1021</v>
      </c>
      <c r="C1022" s="268" t="s">
        <v>3656</v>
      </c>
      <c r="D1022" s="269">
        <v>41844</v>
      </c>
      <c r="E1022" s="270" t="s">
        <v>2158</v>
      </c>
      <c r="F1022" s="384">
        <v>186000</v>
      </c>
      <c r="G1022" s="270">
        <v>100264535</v>
      </c>
      <c r="H1022" s="270"/>
    </row>
    <row r="1023" spans="1:8" x14ac:dyDescent="0.25">
      <c r="A1023" s="257">
        <v>1025</v>
      </c>
      <c r="B1023" s="267">
        <v>1022</v>
      </c>
      <c r="C1023" s="268" t="s">
        <v>2645</v>
      </c>
      <c r="D1023" s="269">
        <v>41845</v>
      </c>
      <c r="E1023" s="270" t="s">
        <v>239</v>
      </c>
      <c r="F1023" s="384">
        <v>405000</v>
      </c>
      <c r="G1023" s="270">
        <v>101139097</v>
      </c>
      <c r="H1023" s="270"/>
    </row>
    <row r="1024" spans="1:8" x14ac:dyDescent="0.25">
      <c r="A1024" s="257">
        <v>1026</v>
      </c>
      <c r="B1024" s="267">
        <v>1023</v>
      </c>
      <c r="C1024" s="268" t="s">
        <v>2416</v>
      </c>
      <c r="D1024" s="269">
        <v>41845</v>
      </c>
      <c r="E1024" s="270" t="s">
        <v>521</v>
      </c>
      <c r="F1024" s="384">
        <v>280000</v>
      </c>
      <c r="G1024" s="270">
        <v>800012777</v>
      </c>
      <c r="H1024" s="270"/>
    </row>
    <row r="1025" spans="1:8" x14ac:dyDescent="0.25">
      <c r="A1025" s="257">
        <v>1027</v>
      </c>
      <c r="B1025" s="267">
        <v>1024</v>
      </c>
      <c r="C1025" s="268" t="s">
        <v>2627</v>
      </c>
      <c r="D1025" s="269">
        <v>41845</v>
      </c>
      <c r="E1025" s="270" t="s">
        <v>2626</v>
      </c>
      <c r="F1025" s="384">
        <v>58000</v>
      </c>
      <c r="G1025" s="270">
        <v>191425607</v>
      </c>
      <c r="H1025" s="270"/>
    </row>
    <row r="1026" spans="1:8" x14ac:dyDescent="0.25">
      <c r="A1026" s="257">
        <v>1028</v>
      </c>
      <c r="B1026" s="267">
        <v>1025</v>
      </c>
      <c r="C1026" s="268" t="s">
        <v>317</v>
      </c>
      <c r="D1026" s="269">
        <v>41845</v>
      </c>
      <c r="E1026" s="270" t="s">
        <v>3212</v>
      </c>
      <c r="F1026" s="384">
        <v>260000</v>
      </c>
      <c r="G1026" s="270">
        <v>100103134</v>
      </c>
      <c r="H1026" s="270"/>
    </row>
    <row r="1027" spans="1:8" x14ac:dyDescent="0.25">
      <c r="A1027" s="257">
        <v>1029</v>
      </c>
      <c r="B1027" s="267">
        <v>1026</v>
      </c>
      <c r="C1027" s="268" t="s">
        <v>3103</v>
      </c>
      <c r="D1027" s="269">
        <v>41845</v>
      </c>
      <c r="E1027" s="270" t="s">
        <v>267</v>
      </c>
      <c r="F1027" s="384">
        <v>223000</v>
      </c>
      <c r="G1027" s="270">
        <v>190934046</v>
      </c>
      <c r="H1027" s="270"/>
    </row>
    <row r="1028" spans="1:8" x14ac:dyDescent="0.25">
      <c r="A1028" s="257">
        <v>1030</v>
      </c>
      <c r="B1028" s="267">
        <v>1027</v>
      </c>
      <c r="C1028" s="268" t="s">
        <v>3319</v>
      </c>
      <c r="D1028" s="269">
        <v>41845</v>
      </c>
      <c r="E1028" s="270" t="s">
        <v>4189</v>
      </c>
      <c r="F1028" s="384">
        <v>93000</v>
      </c>
      <c r="G1028" s="270">
        <v>100186444</v>
      </c>
      <c r="H1028" s="270"/>
    </row>
    <row r="1029" spans="1:8" x14ac:dyDescent="0.25">
      <c r="A1029" s="257">
        <v>1031</v>
      </c>
      <c r="B1029" s="267">
        <v>1028</v>
      </c>
      <c r="C1029" s="268" t="s">
        <v>265</v>
      </c>
      <c r="D1029" s="269">
        <v>41845</v>
      </c>
      <c r="E1029" s="270" t="s">
        <v>450</v>
      </c>
      <c r="F1029" s="384">
        <v>405000</v>
      </c>
      <c r="G1029" s="270">
        <v>100468996</v>
      </c>
      <c r="H1029" s="270"/>
    </row>
    <row r="1030" spans="1:8" x14ac:dyDescent="0.25">
      <c r="A1030" s="257">
        <v>1032</v>
      </c>
      <c r="B1030" s="267">
        <v>1029</v>
      </c>
      <c r="C1030" s="268" t="s">
        <v>3574</v>
      </c>
      <c r="D1030" s="269">
        <v>41845</v>
      </c>
      <c r="E1030" s="270" t="s">
        <v>2817</v>
      </c>
      <c r="F1030" s="384">
        <v>47000</v>
      </c>
      <c r="G1030" s="270">
        <v>808001220</v>
      </c>
      <c r="H1030" s="270"/>
    </row>
    <row r="1031" spans="1:8" x14ac:dyDescent="0.25">
      <c r="A1031" s="257">
        <v>1033</v>
      </c>
      <c r="B1031" s="267">
        <v>1030</v>
      </c>
      <c r="C1031" s="268" t="s">
        <v>1547</v>
      </c>
      <c r="D1031" s="269">
        <v>41845</v>
      </c>
      <c r="E1031" s="270" t="s">
        <v>3242</v>
      </c>
      <c r="F1031" s="384">
        <v>591000</v>
      </c>
      <c r="G1031" s="270">
        <v>601072652</v>
      </c>
      <c r="H1031" s="270"/>
    </row>
    <row r="1032" spans="1:8" x14ac:dyDescent="0.25">
      <c r="A1032" s="257">
        <v>1034</v>
      </c>
      <c r="B1032" s="267">
        <v>1031</v>
      </c>
      <c r="C1032" s="268" t="s">
        <v>196</v>
      </c>
      <c r="D1032" s="269">
        <v>41845</v>
      </c>
      <c r="E1032" s="270" t="s">
        <v>3110</v>
      </c>
      <c r="F1032" s="384">
        <v>223000</v>
      </c>
      <c r="G1032" s="270">
        <v>101538513</v>
      </c>
      <c r="H1032" s="270"/>
    </row>
    <row r="1033" spans="1:8" x14ac:dyDescent="0.25">
      <c r="A1033" s="257">
        <v>1035</v>
      </c>
      <c r="B1033" s="267">
        <v>1032</v>
      </c>
      <c r="C1033" s="268" t="s">
        <v>3637</v>
      </c>
      <c r="D1033" s="269">
        <v>41845</v>
      </c>
      <c r="E1033" s="270" t="s">
        <v>3266</v>
      </c>
      <c r="F1033" s="384">
        <v>405000</v>
      </c>
      <c r="G1033" s="270">
        <v>190894133</v>
      </c>
      <c r="H1033" s="270"/>
    </row>
    <row r="1034" spans="1:8" x14ac:dyDescent="0.25">
      <c r="A1034" s="257">
        <v>1036</v>
      </c>
      <c r="B1034" s="267">
        <v>1033</v>
      </c>
      <c r="C1034" s="268" t="s">
        <v>2877</v>
      </c>
      <c r="D1034" s="269">
        <v>41845</v>
      </c>
      <c r="E1034" s="270" t="s">
        <v>2697</v>
      </c>
      <c r="F1034" s="384">
        <v>810000</v>
      </c>
      <c r="G1034" s="270">
        <v>691529413</v>
      </c>
      <c r="H1034" s="270"/>
    </row>
    <row r="1035" spans="1:8" x14ac:dyDescent="0.25">
      <c r="A1035" s="257">
        <v>1037</v>
      </c>
      <c r="B1035" s="267">
        <v>1034</v>
      </c>
      <c r="C1035" s="268" t="s">
        <v>2645</v>
      </c>
      <c r="D1035" s="269">
        <v>41846</v>
      </c>
      <c r="E1035" s="270" t="s">
        <v>239</v>
      </c>
      <c r="F1035" s="384">
        <v>181000</v>
      </c>
      <c r="G1035" s="270">
        <v>101139097</v>
      </c>
      <c r="H1035" s="270"/>
    </row>
    <row r="1036" spans="1:8" x14ac:dyDescent="0.25">
      <c r="A1036" s="257">
        <v>1038</v>
      </c>
      <c r="B1036" s="267">
        <v>1035</v>
      </c>
      <c r="C1036" s="268" t="s">
        <v>2627</v>
      </c>
      <c r="D1036" s="269">
        <v>41848</v>
      </c>
      <c r="E1036" s="270" t="s">
        <v>2626</v>
      </c>
      <c r="F1036" s="384">
        <v>58000</v>
      </c>
      <c r="G1036" s="270">
        <v>191425607</v>
      </c>
      <c r="H1036" s="270"/>
    </row>
    <row r="1037" spans="1:8" x14ac:dyDescent="0.25">
      <c r="A1037" s="257">
        <v>1039</v>
      </c>
      <c r="B1037" s="267">
        <v>1036</v>
      </c>
      <c r="C1037" s="268" t="s">
        <v>3098</v>
      </c>
      <c r="D1037" s="269">
        <v>41848</v>
      </c>
      <c r="E1037" s="270" t="s">
        <v>3770</v>
      </c>
      <c r="F1037" s="384">
        <v>405000</v>
      </c>
      <c r="G1037" s="270">
        <v>191500265</v>
      </c>
      <c r="H1037" s="270"/>
    </row>
    <row r="1038" spans="1:8" x14ac:dyDescent="0.25">
      <c r="A1038" s="257">
        <v>1040</v>
      </c>
      <c r="B1038" s="267">
        <v>1037</v>
      </c>
      <c r="C1038" s="268" t="s">
        <v>1928</v>
      </c>
      <c r="D1038" s="269">
        <v>41848</v>
      </c>
      <c r="E1038" s="270" t="s">
        <v>2801</v>
      </c>
      <c r="F1038" s="384">
        <v>260000</v>
      </c>
      <c r="G1038" s="270">
        <v>190334745</v>
      </c>
      <c r="H1038" s="270"/>
    </row>
    <row r="1039" spans="1:8" x14ac:dyDescent="0.25">
      <c r="A1039" s="257">
        <v>1041</v>
      </c>
      <c r="B1039" s="267">
        <v>1038</v>
      </c>
      <c r="C1039" s="268" t="s">
        <v>2081</v>
      </c>
      <c r="D1039" s="269">
        <v>41848</v>
      </c>
      <c r="E1039" s="270" t="s">
        <v>383</v>
      </c>
      <c r="F1039" s="384">
        <v>170000</v>
      </c>
      <c r="G1039" s="270">
        <v>1906319113</v>
      </c>
      <c r="H1039" s="270"/>
    </row>
    <row r="1040" spans="1:8" x14ac:dyDescent="0.25">
      <c r="A1040" s="257">
        <v>1042</v>
      </c>
      <c r="B1040" s="267">
        <v>1039</v>
      </c>
      <c r="C1040" s="268" t="s">
        <v>3241</v>
      </c>
      <c r="D1040" s="269">
        <v>41848</v>
      </c>
      <c r="E1040" s="270" t="s">
        <v>3842</v>
      </c>
      <c r="F1040" s="384">
        <v>2400000</v>
      </c>
      <c r="G1040" s="270">
        <v>600124705</v>
      </c>
      <c r="H1040" s="270"/>
    </row>
    <row r="1041" spans="1:8" x14ac:dyDescent="0.25">
      <c r="A1041" s="257">
        <v>1043</v>
      </c>
      <c r="B1041" s="267">
        <v>1040</v>
      </c>
      <c r="C1041" s="268" t="s">
        <v>2434</v>
      </c>
      <c r="D1041" s="269">
        <v>41848</v>
      </c>
      <c r="E1041" s="270" t="s">
        <v>820</v>
      </c>
      <c r="F1041" s="384">
        <v>260000</v>
      </c>
      <c r="G1041" s="270">
        <v>191301074</v>
      </c>
      <c r="H1041" s="270"/>
    </row>
    <row r="1042" spans="1:8" x14ac:dyDescent="0.25">
      <c r="A1042" s="257">
        <v>1044</v>
      </c>
      <c r="B1042" s="267">
        <v>1041</v>
      </c>
      <c r="C1042" s="268" t="s">
        <v>3837</v>
      </c>
      <c r="D1042" s="269">
        <v>41849</v>
      </c>
      <c r="E1042" s="270" t="s">
        <v>2748</v>
      </c>
      <c r="F1042" s="384">
        <v>155000</v>
      </c>
      <c r="G1042" s="270">
        <v>191683833</v>
      </c>
      <c r="H1042" s="270"/>
    </row>
    <row r="1043" spans="1:8" x14ac:dyDescent="0.25">
      <c r="A1043" s="257">
        <v>1045</v>
      </c>
      <c r="B1043" s="267">
        <v>1042</v>
      </c>
      <c r="C1043" s="268" t="s">
        <v>1798</v>
      </c>
      <c r="D1043" s="269">
        <v>41849</v>
      </c>
      <c r="E1043" s="270" t="s">
        <v>3847</v>
      </c>
      <c r="F1043" s="384">
        <v>810000</v>
      </c>
      <c r="G1043" s="270">
        <v>191747030</v>
      </c>
      <c r="H1043" s="270"/>
    </row>
    <row r="1044" spans="1:8" x14ac:dyDescent="0.25">
      <c r="A1044" s="257">
        <v>1046</v>
      </c>
      <c r="B1044" s="267">
        <v>1043</v>
      </c>
      <c r="C1044" s="268" t="s">
        <v>2166</v>
      </c>
      <c r="D1044" s="269">
        <v>41849</v>
      </c>
      <c r="E1044" s="270" t="s">
        <v>1685</v>
      </c>
      <c r="F1044" s="384">
        <v>150000</v>
      </c>
      <c r="G1044" s="270">
        <v>100315326</v>
      </c>
      <c r="H1044" s="270"/>
    </row>
    <row r="1045" spans="1:8" x14ac:dyDescent="0.25">
      <c r="A1045" s="257">
        <v>1047</v>
      </c>
      <c r="B1045" s="267">
        <v>1044</v>
      </c>
      <c r="C1045" s="268" t="s">
        <v>3098</v>
      </c>
      <c r="D1045" s="269">
        <v>41849</v>
      </c>
      <c r="E1045" s="270" t="s">
        <v>3770</v>
      </c>
      <c r="F1045" s="384">
        <v>126000</v>
      </c>
      <c r="G1045" s="270">
        <v>191500265</v>
      </c>
      <c r="H1045" s="270"/>
    </row>
    <row r="1046" spans="1:8" x14ac:dyDescent="0.25">
      <c r="A1046" s="257">
        <v>1048</v>
      </c>
      <c r="B1046" s="267">
        <v>1045</v>
      </c>
      <c r="C1046" s="268" t="s">
        <v>395</v>
      </c>
      <c r="D1046" s="269">
        <v>41849</v>
      </c>
      <c r="E1046" s="270" t="s">
        <v>310</v>
      </c>
      <c r="F1046" s="384">
        <v>260000</v>
      </c>
      <c r="G1046" s="270">
        <v>101116094</v>
      </c>
      <c r="H1046" s="270"/>
    </row>
    <row r="1047" spans="1:8" x14ac:dyDescent="0.25">
      <c r="A1047" s="257">
        <v>1049</v>
      </c>
      <c r="B1047" s="267">
        <v>1046</v>
      </c>
      <c r="C1047" s="268" t="s">
        <v>2434</v>
      </c>
      <c r="D1047" s="269">
        <v>41849</v>
      </c>
      <c r="E1047" s="270" t="s">
        <v>820</v>
      </c>
      <c r="F1047" s="384">
        <v>145000</v>
      </c>
      <c r="G1047" s="270">
        <v>191301074</v>
      </c>
      <c r="H1047" s="270"/>
    </row>
    <row r="1048" spans="1:8" x14ac:dyDescent="0.25">
      <c r="A1048" s="257">
        <v>1050</v>
      </c>
      <c r="B1048" s="267">
        <v>1047</v>
      </c>
      <c r="C1048" s="268" t="s">
        <v>1049</v>
      </c>
      <c r="D1048" s="269">
        <v>41849</v>
      </c>
      <c r="E1048" s="270" t="s">
        <v>3581</v>
      </c>
      <c r="F1048" s="384">
        <v>455000</v>
      </c>
      <c r="G1048" s="270">
        <v>190571479</v>
      </c>
      <c r="H1048" s="270"/>
    </row>
    <row r="1049" spans="1:8" x14ac:dyDescent="0.25">
      <c r="A1049" s="257">
        <v>1051</v>
      </c>
      <c r="B1049" s="267">
        <v>1048</v>
      </c>
      <c r="C1049" s="268" t="s">
        <v>1049</v>
      </c>
      <c r="D1049" s="269">
        <v>41849</v>
      </c>
      <c r="E1049" s="270" t="s">
        <v>3581</v>
      </c>
      <c r="F1049" s="384">
        <v>223000</v>
      </c>
      <c r="G1049" s="270">
        <v>190571479</v>
      </c>
      <c r="H1049" s="270"/>
    </row>
    <row r="1050" spans="1:8" x14ac:dyDescent="0.25">
      <c r="A1050" s="257">
        <v>1052</v>
      </c>
      <c r="B1050" s="267">
        <v>1049</v>
      </c>
      <c r="C1050" s="268" t="s">
        <v>3096</v>
      </c>
      <c r="D1050" s="269">
        <v>41849</v>
      </c>
      <c r="E1050" s="270" t="s">
        <v>1006</v>
      </c>
      <c r="F1050" s="384">
        <v>223000</v>
      </c>
      <c r="G1050" s="270">
        <v>800013574</v>
      </c>
      <c r="H1050" s="270"/>
    </row>
    <row r="1051" spans="1:8" x14ac:dyDescent="0.25">
      <c r="A1051" s="257">
        <v>1053</v>
      </c>
      <c r="B1051" s="267">
        <v>1050</v>
      </c>
      <c r="C1051" s="268" t="s">
        <v>910</v>
      </c>
      <c r="D1051" s="269">
        <v>41850</v>
      </c>
      <c r="E1051" s="270" t="s">
        <v>1656</v>
      </c>
      <c r="F1051" s="384">
        <v>150000</v>
      </c>
      <c r="G1051" s="270">
        <v>101439397</v>
      </c>
      <c r="H1051" s="270"/>
    </row>
    <row r="1052" spans="1:8" x14ac:dyDescent="0.25">
      <c r="A1052" s="257">
        <v>1055</v>
      </c>
      <c r="B1052" s="267">
        <v>1052</v>
      </c>
      <c r="C1052" s="268" t="s">
        <v>1057</v>
      </c>
      <c r="D1052" s="269">
        <v>41850</v>
      </c>
      <c r="E1052" s="270" t="s">
        <v>3092</v>
      </c>
      <c r="F1052" s="384">
        <v>186000</v>
      </c>
      <c r="G1052" s="270">
        <v>100779791</v>
      </c>
      <c r="H1052" s="270"/>
    </row>
    <row r="1053" spans="1:8" x14ac:dyDescent="0.25">
      <c r="A1053" s="257">
        <v>1056</v>
      </c>
      <c r="B1053" s="267">
        <v>1052</v>
      </c>
      <c r="C1053" s="268" t="s">
        <v>2807</v>
      </c>
      <c r="D1053" s="269">
        <v>41850</v>
      </c>
      <c r="E1053" s="270" t="s">
        <v>2763</v>
      </c>
      <c r="F1053" s="384">
        <v>186000</v>
      </c>
      <c r="G1053" s="270">
        <v>190536246</v>
      </c>
      <c r="H1053" s="270"/>
    </row>
    <row r="1054" spans="1:8" x14ac:dyDescent="0.25">
      <c r="A1054" s="257">
        <v>1057</v>
      </c>
      <c r="B1054" s="267">
        <v>1053</v>
      </c>
      <c r="C1054" s="268" t="s">
        <v>2444</v>
      </c>
      <c r="D1054" s="269">
        <v>41851</v>
      </c>
      <c r="E1054" s="270" t="s">
        <v>2631</v>
      </c>
      <c r="F1054" s="384">
        <v>186000</v>
      </c>
      <c r="G1054" s="270">
        <v>100008077</v>
      </c>
      <c r="H1054" s="270"/>
    </row>
    <row r="1055" spans="1:8" x14ac:dyDescent="0.25">
      <c r="A1055" s="257">
        <v>1058</v>
      </c>
      <c r="B1055" s="267">
        <v>1054</v>
      </c>
      <c r="C1055" s="268" t="s">
        <v>1128</v>
      </c>
      <c r="D1055" s="269">
        <v>41851</v>
      </c>
      <c r="E1055" s="270" t="s">
        <v>3142</v>
      </c>
      <c r="F1055" s="384">
        <v>186000</v>
      </c>
      <c r="G1055" s="270">
        <v>190341035</v>
      </c>
      <c r="H1055" s="270"/>
    </row>
    <row r="1056" spans="1:8" x14ac:dyDescent="0.25">
      <c r="A1056" s="257">
        <v>1059</v>
      </c>
      <c r="B1056" s="267">
        <v>1055</v>
      </c>
      <c r="C1056" s="268" t="s">
        <v>1366</v>
      </c>
      <c r="D1056" s="269">
        <v>41851</v>
      </c>
      <c r="E1056" s="270" t="s">
        <v>1118</v>
      </c>
      <c r="F1056" s="384">
        <v>372000</v>
      </c>
      <c r="G1056" s="270">
        <v>691601521</v>
      </c>
      <c r="H1056" s="270"/>
    </row>
    <row r="1057" spans="1:8" x14ac:dyDescent="0.25">
      <c r="A1057" s="257">
        <v>1060</v>
      </c>
      <c r="B1057" s="267">
        <v>1056</v>
      </c>
      <c r="C1057" s="268" t="s">
        <v>2762</v>
      </c>
      <c r="D1057" s="269">
        <v>41851</v>
      </c>
      <c r="E1057" s="270" t="s">
        <v>238</v>
      </c>
      <c r="F1057" s="384">
        <v>405000</v>
      </c>
      <c r="G1057" s="270">
        <v>190800302</v>
      </c>
      <c r="H1057" s="270"/>
    </row>
    <row r="1058" spans="1:8" x14ac:dyDescent="0.25">
      <c r="A1058" s="257">
        <v>1061</v>
      </c>
      <c r="B1058" s="267">
        <v>1057</v>
      </c>
      <c r="C1058" s="268" t="s">
        <v>910</v>
      </c>
      <c r="D1058" s="269">
        <v>41851</v>
      </c>
      <c r="E1058" s="270" t="s">
        <v>1656</v>
      </c>
      <c r="F1058" s="384">
        <v>59000</v>
      </c>
      <c r="G1058" s="270">
        <v>101439397</v>
      </c>
      <c r="H1058" s="270"/>
    </row>
    <row r="1059" spans="1:8" x14ac:dyDescent="0.25">
      <c r="A1059" s="257">
        <v>1062</v>
      </c>
      <c r="B1059" s="267">
        <v>1058</v>
      </c>
      <c r="C1059" s="268" t="s">
        <v>131</v>
      </c>
      <c r="D1059" s="269">
        <v>41851</v>
      </c>
      <c r="E1059" s="270" t="s">
        <v>2802</v>
      </c>
      <c r="F1059" s="384">
        <v>145000</v>
      </c>
      <c r="G1059" s="270">
        <v>0</v>
      </c>
      <c r="H1059" s="270"/>
    </row>
    <row r="1060" spans="1:8" x14ac:dyDescent="0.25">
      <c r="A1060" s="257">
        <v>1063</v>
      </c>
      <c r="B1060" s="267">
        <v>1059</v>
      </c>
      <c r="C1060" s="268" t="s">
        <v>2695</v>
      </c>
      <c r="D1060" s="269">
        <v>41851</v>
      </c>
      <c r="E1060" s="270" t="s">
        <v>253</v>
      </c>
      <c r="F1060" s="384">
        <v>260000</v>
      </c>
      <c r="G1060" s="270">
        <v>192279677</v>
      </c>
      <c r="H1060" s="270"/>
    </row>
    <row r="1061" spans="1:8" x14ac:dyDescent="0.25">
      <c r="A1061" s="257">
        <v>1064</v>
      </c>
      <c r="B1061" s="267">
        <v>1060</v>
      </c>
      <c r="C1061" s="268" t="s">
        <v>2143</v>
      </c>
      <c r="D1061" s="269">
        <v>41851</v>
      </c>
      <c r="E1061" s="270" t="s">
        <v>1927</v>
      </c>
      <c r="F1061" s="384">
        <v>280000</v>
      </c>
      <c r="G1061" s="270">
        <v>190032958</v>
      </c>
      <c r="H1061" s="270"/>
    </row>
    <row r="1062" spans="1:8" x14ac:dyDescent="0.25">
      <c r="A1062" s="257">
        <v>1065</v>
      </c>
      <c r="B1062" s="267">
        <v>1061</v>
      </c>
      <c r="C1062" s="268" t="s">
        <v>2835</v>
      </c>
      <c r="D1062" s="269">
        <v>41851</v>
      </c>
      <c r="E1062" s="270" t="s">
        <v>2890</v>
      </c>
      <c r="F1062" s="384">
        <v>260000</v>
      </c>
      <c r="G1062" s="270">
        <v>690367172</v>
      </c>
      <c r="H1062" s="270"/>
    </row>
    <row r="1063" spans="1:8" x14ac:dyDescent="0.25">
      <c r="A1063" s="257">
        <v>1066</v>
      </c>
      <c r="B1063" s="267">
        <v>1062</v>
      </c>
      <c r="C1063" s="268" t="s">
        <v>2835</v>
      </c>
      <c r="D1063" s="269">
        <v>41851</v>
      </c>
      <c r="E1063" s="270" t="s">
        <v>2890</v>
      </c>
      <c r="F1063" s="384">
        <v>223000</v>
      </c>
      <c r="G1063" s="270">
        <v>690367172</v>
      </c>
      <c r="H1063" s="270"/>
    </row>
    <row r="1064" spans="1:8" x14ac:dyDescent="0.25">
      <c r="A1064" s="257">
        <v>1067</v>
      </c>
      <c r="B1064" s="267">
        <v>1063</v>
      </c>
      <c r="C1064" s="268" t="s">
        <v>72</v>
      </c>
      <c r="D1064" s="269">
        <v>41851</v>
      </c>
      <c r="E1064" s="270" t="s">
        <v>1699</v>
      </c>
      <c r="F1064" s="384">
        <v>156000</v>
      </c>
      <c r="G1064" s="270">
        <v>190438575</v>
      </c>
      <c r="H1064" s="270"/>
    </row>
    <row r="1065" spans="1:8" x14ac:dyDescent="0.25">
      <c r="A1065" s="257">
        <v>1068</v>
      </c>
      <c r="B1065" s="267">
        <v>1064</v>
      </c>
      <c r="C1065" s="268" t="s">
        <v>190</v>
      </c>
      <c r="D1065" s="269">
        <v>41851</v>
      </c>
      <c r="E1065" s="270" t="s">
        <v>188</v>
      </c>
      <c r="F1065" s="384">
        <v>260000</v>
      </c>
      <c r="G1065" s="270">
        <v>190270596</v>
      </c>
      <c r="H1065" s="270"/>
    </row>
    <row r="1066" spans="1:8" x14ac:dyDescent="0.25">
      <c r="A1066" s="257">
        <v>1069</v>
      </c>
      <c r="B1066" s="267">
        <v>1065</v>
      </c>
      <c r="C1066" s="268" t="s">
        <v>2695</v>
      </c>
      <c r="D1066" s="269">
        <v>41851</v>
      </c>
      <c r="E1066" s="270" t="s">
        <v>253</v>
      </c>
      <c r="F1066" s="384">
        <v>117000</v>
      </c>
      <c r="G1066" s="270">
        <v>192279677</v>
      </c>
      <c r="H1066" s="270"/>
    </row>
    <row r="1067" spans="1:8" x14ac:dyDescent="0.25">
      <c r="A1067" s="257">
        <v>1070</v>
      </c>
      <c r="B1067" s="267">
        <v>1066</v>
      </c>
      <c r="C1067" s="268" t="s">
        <v>2832</v>
      </c>
      <c r="D1067" s="269">
        <v>41852</v>
      </c>
      <c r="E1067" s="270" t="s">
        <v>1854</v>
      </c>
      <c r="F1067" s="384">
        <v>186000</v>
      </c>
      <c r="G1067" s="270">
        <v>190841681</v>
      </c>
      <c r="H1067" s="270"/>
    </row>
    <row r="1068" spans="1:8" x14ac:dyDescent="0.25">
      <c r="A1068" s="257">
        <v>1071</v>
      </c>
      <c r="B1068" s="267">
        <v>1067</v>
      </c>
      <c r="C1068" s="268" t="s">
        <v>1686</v>
      </c>
      <c r="D1068" s="269">
        <v>41852</v>
      </c>
      <c r="E1068" s="270" t="s">
        <v>1670</v>
      </c>
      <c r="F1068" s="384">
        <v>145000</v>
      </c>
      <c r="G1068" s="270">
        <v>691600724</v>
      </c>
      <c r="H1068" s="270"/>
    </row>
    <row r="1069" spans="1:8" x14ac:dyDescent="0.25">
      <c r="A1069" s="257">
        <v>1072</v>
      </c>
      <c r="B1069" s="267">
        <v>1068</v>
      </c>
      <c r="C1069" s="268" t="s">
        <v>1658</v>
      </c>
      <c r="D1069" s="269">
        <v>41852</v>
      </c>
      <c r="E1069" s="270" t="s">
        <v>825</v>
      </c>
      <c r="F1069" s="384">
        <v>405000</v>
      </c>
      <c r="G1069" s="270">
        <v>100951254</v>
      </c>
      <c r="H1069" s="270"/>
    </row>
    <row r="1070" spans="1:8" x14ac:dyDescent="0.25">
      <c r="A1070" s="257">
        <v>1073</v>
      </c>
      <c r="B1070" s="267">
        <v>1069</v>
      </c>
      <c r="C1070" s="268" t="s">
        <v>870</v>
      </c>
      <c r="D1070" s="269">
        <v>41852</v>
      </c>
      <c r="E1070" s="270" t="s">
        <v>428</v>
      </c>
      <c r="F1070" s="384">
        <v>150000</v>
      </c>
      <c r="G1070" s="270">
        <v>100783448</v>
      </c>
      <c r="H1070" s="270"/>
    </row>
    <row r="1071" spans="1:8" x14ac:dyDescent="0.25">
      <c r="A1071" s="257">
        <v>1074</v>
      </c>
      <c r="B1071" s="267">
        <v>1070</v>
      </c>
      <c r="C1071" s="268" t="s">
        <v>832</v>
      </c>
      <c r="D1071" s="269">
        <v>41852</v>
      </c>
      <c r="E1071" s="270" t="s">
        <v>245</v>
      </c>
      <c r="F1071" s="384">
        <v>186000</v>
      </c>
      <c r="G1071" s="270">
        <v>100886879</v>
      </c>
      <c r="H1071" s="270"/>
    </row>
    <row r="1072" spans="1:8" x14ac:dyDescent="0.25">
      <c r="A1072" s="257">
        <v>1075</v>
      </c>
      <c r="B1072" s="267">
        <v>1071</v>
      </c>
      <c r="C1072" s="268" t="s">
        <v>2832</v>
      </c>
      <c r="D1072" s="269">
        <v>41852</v>
      </c>
      <c r="E1072" s="270" t="s">
        <v>1854</v>
      </c>
      <c r="F1072" s="384">
        <v>59000</v>
      </c>
      <c r="G1072" s="270">
        <v>190841681</v>
      </c>
      <c r="H1072" s="270"/>
    </row>
    <row r="1073" spans="1:8" x14ac:dyDescent="0.25">
      <c r="A1073" s="257">
        <v>1076</v>
      </c>
      <c r="B1073" s="267">
        <v>1072</v>
      </c>
      <c r="C1073" s="268" t="s">
        <v>131</v>
      </c>
      <c r="D1073" s="269">
        <v>41852</v>
      </c>
      <c r="E1073" s="270" t="s">
        <v>2802</v>
      </c>
      <c r="F1073" s="384">
        <v>145000</v>
      </c>
      <c r="G1073" s="270">
        <v>0</v>
      </c>
      <c r="H1073" s="270"/>
    </row>
    <row r="1074" spans="1:8" x14ac:dyDescent="0.25">
      <c r="A1074" s="257">
        <v>1077</v>
      </c>
      <c r="B1074" s="267">
        <v>1073</v>
      </c>
      <c r="C1074" s="268" t="s">
        <v>1826</v>
      </c>
      <c r="D1074" s="269">
        <v>41853</v>
      </c>
      <c r="E1074" s="270" t="s">
        <v>2424</v>
      </c>
      <c r="F1074" s="384">
        <v>2460000</v>
      </c>
      <c r="G1074" s="270">
        <v>101326441</v>
      </c>
      <c r="H1074" s="270"/>
    </row>
    <row r="1075" spans="1:8" x14ac:dyDescent="0.25">
      <c r="A1075" s="257">
        <v>1078</v>
      </c>
      <c r="B1075" s="267">
        <v>1074</v>
      </c>
      <c r="C1075" s="268" t="s">
        <v>722</v>
      </c>
      <c r="D1075" s="269">
        <v>41853</v>
      </c>
      <c r="E1075" s="270" t="s">
        <v>692</v>
      </c>
      <c r="F1075" s="384">
        <v>405000</v>
      </c>
      <c r="G1075" s="270">
        <v>391157231</v>
      </c>
      <c r="H1075" s="270"/>
    </row>
    <row r="1076" spans="1:8" x14ac:dyDescent="0.25">
      <c r="A1076" s="257">
        <v>1079</v>
      </c>
      <c r="B1076" s="267">
        <v>1075</v>
      </c>
      <c r="C1076" s="268" t="s">
        <v>1917</v>
      </c>
      <c r="D1076" s="269">
        <v>41855</v>
      </c>
      <c r="E1076" s="270" t="s">
        <v>874</v>
      </c>
      <c r="F1076" s="384">
        <v>405000</v>
      </c>
      <c r="G1076" s="270">
        <v>191360926</v>
      </c>
      <c r="H1076" s="270"/>
    </row>
    <row r="1077" spans="1:8" x14ac:dyDescent="0.25">
      <c r="A1077" s="257">
        <v>1080</v>
      </c>
      <c r="B1077" s="267">
        <v>1076</v>
      </c>
      <c r="C1077" s="268" t="s">
        <v>2835</v>
      </c>
      <c r="D1077" s="269">
        <v>41855</v>
      </c>
      <c r="E1077" s="270" t="s">
        <v>2890</v>
      </c>
      <c r="F1077" s="384">
        <v>122000</v>
      </c>
      <c r="G1077" s="270">
        <v>690367172</v>
      </c>
      <c r="H1077" s="270"/>
    </row>
    <row r="1078" spans="1:8" x14ac:dyDescent="0.25">
      <c r="A1078" s="257">
        <v>1081</v>
      </c>
      <c r="B1078" s="267">
        <v>1077</v>
      </c>
      <c r="C1078" s="268" t="s">
        <v>910</v>
      </c>
      <c r="D1078" s="269">
        <v>41855</v>
      </c>
      <c r="E1078" s="270" t="s">
        <v>1656</v>
      </c>
      <c r="F1078" s="384">
        <v>150000</v>
      </c>
      <c r="G1078" s="270">
        <v>101439397</v>
      </c>
      <c r="H1078" s="270"/>
    </row>
    <row r="1079" spans="1:8" x14ac:dyDescent="0.25">
      <c r="A1079" s="257">
        <v>1082</v>
      </c>
      <c r="B1079" s="267">
        <v>1078</v>
      </c>
      <c r="C1079" s="268" t="s">
        <v>395</v>
      </c>
      <c r="D1079" s="269">
        <v>41855</v>
      </c>
      <c r="E1079" s="270" t="s">
        <v>310</v>
      </c>
      <c r="F1079" s="384">
        <v>93000</v>
      </c>
      <c r="G1079" s="270">
        <v>101116094</v>
      </c>
      <c r="H1079" s="270"/>
    </row>
    <row r="1080" spans="1:8" x14ac:dyDescent="0.25">
      <c r="A1080" s="257">
        <v>1083</v>
      </c>
      <c r="B1080" s="267">
        <v>1079</v>
      </c>
      <c r="C1080" s="268" t="s">
        <v>3308</v>
      </c>
      <c r="D1080" s="269">
        <v>41855</v>
      </c>
      <c r="E1080" s="270" t="s">
        <v>2851</v>
      </c>
      <c r="F1080" s="384">
        <v>29000</v>
      </c>
      <c r="G1080" s="270">
        <v>691463537</v>
      </c>
      <c r="H1080" s="270"/>
    </row>
    <row r="1081" spans="1:8" x14ac:dyDescent="0.25">
      <c r="A1081" s="257">
        <v>1084</v>
      </c>
      <c r="B1081" s="267">
        <v>1080</v>
      </c>
      <c r="C1081" s="268" t="s">
        <v>375</v>
      </c>
      <c r="D1081" s="269">
        <v>41855</v>
      </c>
      <c r="E1081" s="270" t="s">
        <v>263</v>
      </c>
      <c r="F1081" s="384">
        <v>405000</v>
      </c>
      <c r="G1081" s="270">
        <v>600182119</v>
      </c>
      <c r="H1081" s="270"/>
    </row>
    <row r="1082" spans="1:8" x14ac:dyDescent="0.25">
      <c r="A1082" s="257">
        <v>1085</v>
      </c>
      <c r="B1082" s="267">
        <v>1081</v>
      </c>
      <c r="C1082" s="268" t="s">
        <v>1834</v>
      </c>
      <c r="D1082" s="269">
        <v>41855</v>
      </c>
      <c r="E1082" s="270" t="s">
        <v>453</v>
      </c>
      <c r="F1082" s="384">
        <v>260000</v>
      </c>
      <c r="G1082" s="270">
        <v>6915330341</v>
      </c>
      <c r="H1082" s="270"/>
    </row>
    <row r="1083" spans="1:8" x14ac:dyDescent="0.25">
      <c r="A1083" s="257">
        <v>1086</v>
      </c>
      <c r="B1083" s="267">
        <v>1082</v>
      </c>
      <c r="C1083" s="268" t="s">
        <v>1836</v>
      </c>
      <c r="D1083" s="269">
        <v>41855</v>
      </c>
      <c r="E1083" s="270" t="s">
        <v>2624</v>
      </c>
      <c r="F1083" s="384">
        <v>186000</v>
      </c>
      <c r="G1083" s="270">
        <v>600004086</v>
      </c>
      <c r="H1083" s="270"/>
    </row>
    <row r="1084" spans="1:8" x14ac:dyDescent="0.25">
      <c r="A1084" s="257">
        <v>1087</v>
      </c>
      <c r="B1084" s="267">
        <v>1083</v>
      </c>
      <c r="C1084" s="268" t="s">
        <v>1836</v>
      </c>
      <c r="D1084" s="269">
        <v>41855</v>
      </c>
      <c r="E1084" s="270" t="s">
        <v>2624</v>
      </c>
      <c r="F1084" s="384">
        <v>405000</v>
      </c>
      <c r="G1084" s="270">
        <v>600004086</v>
      </c>
      <c r="H1084" s="270"/>
    </row>
    <row r="1085" spans="1:8" x14ac:dyDescent="0.25">
      <c r="A1085" s="257">
        <v>1088</v>
      </c>
      <c r="B1085" s="267">
        <v>1084</v>
      </c>
      <c r="C1085" s="268" t="s">
        <v>1836</v>
      </c>
      <c r="D1085" s="269">
        <v>41855</v>
      </c>
      <c r="E1085" s="270" t="s">
        <v>2624</v>
      </c>
      <c r="F1085" s="384">
        <v>200000</v>
      </c>
      <c r="G1085" s="270">
        <v>600004086</v>
      </c>
      <c r="H1085" s="270"/>
    </row>
    <row r="1086" spans="1:8" x14ac:dyDescent="0.25">
      <c r="A1086" s="257">
        <v>1089</v>
      </c>
      <c r="B1086" s="267">
        <v>1085</v>
      </c>
      <c r="C1086" s="268" t="s">
        <v>68</v>
      </c>
      <c r="D1086" s="269">
        <v>41855</v>
      </c>
      <c r="E1086" s="270" t="s">
        <v>3843</v>
      </c>
      <c r="F1086" s="384">
        <v>200000</v>
      </c>
      <c r="G1086" s="270">
        <v>190771653</v>
      </c>
      <c r="H1086" s="270"/>
    </row>
    <row r="1087" spans="1:8" x14ac:dyDescent="0.25">
      <c r="A1087" s="257">
        <v>1090</v>
      </c>
      <c r="B1087" s="267">
        <v>1086</v>
      </c>
      <c r="C1087" s="268" t="s">
        <v>722</v>
      </c>
      <c r="D1087" s="269">
        <v>41855</v>
      </c>
      <c r="E1087" s="270" t="s">
        <v>692</v>
      </c>
      <c r="F1087" s="384">
        <v>405000</v>
      </c>
      <c r="G1087" s="270">
        <v>391157231</v>
      </c>
      <c r="H1087" s="270"/>
    </row>
    <row r="1088" spans="1:8" x14ac:dyDescent="0.25">
      <c r="A1088" s="257">
        <v>1091</v>
      </c>
      <c r="B1088" s="267">
        <v>1087</v>
      </c>
      <c r="C1088" s="268" t="s">
        <v>1917</v>
      </c>
      <c r="D1088" s="269">
        <v>41855</v>
      </c>
      <c r="E1088" s="270" t="s">
        <v>874</v>
      </c>
      <c r="F1088" s="384">
        <v>405000</v>
      </c>
      <c r="G1088" s="270">
        <v>191360926</v>
      </c>
      <c r="H1088" s="270"/>
    </row>
    <row r="1089" spans="1:8" x14ac:dyDescent="0.25">
      <c r="A1089" s="257">
        <v>1092</v>
      </c>
      <c r="B1089" s="267">
        <v>1088</v>
      </c>
      <c r="C1089" s="268" t="s">
        <v>131</v>
      </c>
      <c r="D1089" s="269">
        <v>41855</v>
      </c>
      <c r="E1089" s="270" t="s">
        <v>2802</v>
      </c>
      <c r="F1089" s="384">
        <v>59000</v>
      </c>
      <c r="G1089" s="270">
        <v>0</v>
      </c>
      <c r="H1089" s="270"/>
    </row>
    <row r="1090" spans="1:8" x14ac:dyDescent="0.25">
      <c r="A1090" s="257">
        <v>1093</v>
      </c>
      <c r="B1090" s="267">
        <v>1089</v>
      </c>
      <c r="C1090" s="268" t="s">
        <v>2768</v>
      </c>
      <c r="D1090" s="269">
        <v>41856</v>
      </c>
      <c r="E1090" s="270" t="s">
        <v>705</v>
      </c>
      <c r="F1090" s="384">
        <v>405000</v>
      </c>
      <c r="G1090" s="270">
        <v>600052728</v>
      </c>
      <c r="H1090" s="270"/>
    </row>
    <row r="1091" spans="1:8" x14ac:dyDescent="0.25">
      <c r="A1091" s="257">
        <v>1094</v>
      </c>
      <c r="B1091" s="267">
        <v>1090</v>
      </c>
      <c r="C1091" s="268" t="s">
        <v>3618</v>
      </c>
      <c r="D1091" s="269">
        <v>41856</v>
      </c>
      <c r="E1091" s="270" t="s">
        <v>163</v>
      </c>
      <c r="F1091" s="384">
        <v>223000</v>
      </c>
      <c r="G1091" s="270">
        <v>100843354</v>
      </c>
      <c r="H1091" s="270"/>
    </row>
    <row r="1092" spans="1:8" x14ac:dyDescent="0.25">
      <c r="A1092" s="257">
        <v>1095</v>
      </c>
      <c r="B1092" s="267">
        <v>1091</v>
      </c>
      <c r="C1092" s="268" t="s">
        <v>3618</v>
      </c>
      <c r="D1092" s="269">
        <v>41856</v>
      </c>
      <c r="E1092" s="270" t="s">
        <v>163</v>
      </c>
      <c r="F1092" s="384">
        <v>223000</v>
      </c>
      <c r="G1092" s="270">
        <v>100843354</v>
      </c>
      <c r="H1092" s="270"/>
    </row>
    <row r="1093" spans="1:8" x14ac:dyDescent="0.25">
      <c r="A1093" s="257">
        <v>1096</v>
      </c>
      <c r="B1093" s="267">
        <v>1092</v>
      </c>
      <c r="C1093" s="268" t="s">
        <v>978</v>
      </c>
      <c r="D1093" s="269">
        <v>41856</v>
      </c>
      <c r="E1093" s="270" t="s">
        <v>847</v>
      </c>
      <c r="F1093" s="384">
        <v>405000</v>
      </c>
      <c r="G1093" s="270">
        <v>190853326</v>
      </c>
      <c r="H1093" s="270"/>
    </row>
    <row r="1094" spans="1:8" x14ac:dyDescent="0.25">
      <c r="A1094" s="257">
        <v>1097</v>
      </c>
      <c r="B1094" s="267">
        <v>1093</v>
      </c>
      <c r="C1094" s="268" t="s">
        <v>1049</v>
      </c>
      <c r="D1094" s="269">
        <v>41856</v>
      </c>
      <c r="E1094" s="270" t="s">
        <v>3581</v>
      </c>
      <c r="F1094" s="384">
        <v>59000</v>
      </c>
      <c r="G1094" s="270">
        <v>190571479</v>
      </c>
      <c r="H1094" s="270"/>
    </row>
    <row r="1095" spans="1:8" x14ac:dyDescent="0.25">
      <c r="A1095" s="257">
        <v>1098</v>
      </c>
      <c r="B1095" s="267">
        <v>1094</v>
      </c>
      <c r="C1095" s="268" t="s">
        <v>2377</v>
      </c>
      <c r="D1095" s="269">
        <v>41856</v>
      </c>
      <c r="E1095" s="270" t="s">
        <v>226</v>
      </c>
      <c r="F1095" s="384">
        <v>405000</v>
      </c>
      <c r="G1095" s="270">
        <v>190654467</v>
      </c>
      <c r="H1095" s="270"/>
    </row>
    <row r="1096" spans="1:8" x14ac:dyDescent="0.25">
      <c r="A1096" s="257">
        <v>1099</v>
      </c>
      <c r="B1096" s="267">
        <v>1095</v>
      </c>
      <c r="C1096" s="268" t="s">
        <v>3864</v>
      </c>
      <c r="D1096" s="269">
        <v>41856</v>
      </c>
      <c r="E1096" s="270" t="s">
        <v>906</v>
      </c>
      <c r="F1096" s="384">
        <v>280000</v>
      </c>
      <c r="G1096" s="270">
        <v>100348119</v>
      </c>
      <c r="H1096" s="270"/>
    </row>
    <row r="1097" spans="1:8" x14ac:dyDescent="0.25">
      <c r="A1097" s="257">
        <v>1100</v>
      </c>
      <c r="B1097" s="267">
        <v>1096</v>
      </c>
      <c r="C1097" s="268" t="s">
        <v>2373</v>
      </c>
      <c r="D1097" s="269">
        <v>41856</v>
      </c>
      <c r="E1097" s="270" t="s">
        <v>894</v>
      </c>
      <c r="F1097" s="384">
        <v>150000</v>
      </c>
      <c r="G1097" s="270">
        <v>191077280</v>
      </c>
      <c r="H1097" s="270"/>
    </row>
    <row r="1098" spans="1:8" x14ac:dyDescent="0.25">
      <c r="A1098" s="257">
        <v>1101</v>
      </c>
      <c r="B1098" s="267">
        <v>1097</v>
      </c>
      <c r="C1098" s="268" t="s">
        <v>2955</v>
      </c>
      <c r="D1098" s="269">
        <v>41856</v>
      </c>
      <c r="E1098" s="270" t="s">
        <v>1929</v>
      </c>
      <c r="F1098" s="384">
        <v>223000</v>
      </c>
      <c r="G1098" s="270">
        <v>200551259</v>
      </c>
      <c r="H1098" s="270"/>
    </row>
    <row r="1099" spans="1:8" x14ac:dyDescent="0.25">
      <c r="A1099" s="257">
        <v>1102</v>
      </c>
      <c r="B1099" s="267">
        <v>1098</v>
      </c>
      <c r="C1099" s="268" t="s">
        <v>3734</v>
      </c>
      <c r="D1099" s="269">
        <v>41857</v>
      </c>
      <c r="E1099" s="270" t="s">
        <v>2358</v>
      </c>
      <c r="F1099" s="384">
        <v>405000</v>
      </c>
      <c r="G1099" s="270">
        <v>800008903</v>
      </c>
      <c r="H1099" s="270"/>
    </row>
    <row r="1100" spans="1:8" x14ac:dyDescent="0.25">
      <c r="A1100" s="257">
        <v>1103</v>
      </c>
      <c r="B1100" s="267">
        <v>1099</v>
      </c>
      <c r="C1100" s="268" t="s">
        <v>2373</v>
      </c>
      <c r="D1100" s="269">
        <v>41857</v>
      </c>
      <c r="E1100" s="270" t="s">
        <v>894</v>
      </c>
      <c r="F1100" s="384">
        <v>150000</v>
      </c>
      <c r="G1100" s="270">
        <v>191077280</v>
      </c>
      <c r="H1100" s="270"/>
    </row>
    <row r="1101" spans="1:8" x14ac:dyDescent="0.25">
      <c r="A1101" s="257">
        <v>1104</v>
      </c>
      <c r="B1101" s="267">
        <v>1100</v>
      </c>
      <c r="C1101" s="268" t="s">
        <v>2768</v>
      </c>
      <c r="D1101" s="269">
        <v>41857</v>
      </c>
      <c r="E1101" s="270" t="s">
        <v>705</v>
      </c>
      <c r="F1101" s="384">
        <v>88000</v>
      </c>
      <c r="G1101" s="270">
        <v>600052728</v>
      </c>
      <c r="H1101" s="270"/>
    </row>
    <row r="1102" spans="1:8" x14ac:dyDescent="0.25">
      <c r="A1102" s="257">
        <v>1105</v>
      </c>
      <c r="B1102" s="267">
        <v>1101</v>
      </c>
      <c r="C1102" s="268" t="s">
        <v>2779</v>
      </c>
      <c r="D1102" s="269">
        <v>41858</v>
      </c>
      <c r="E1102" s="270" t="s">
        <v>2159</v>
      </c>
      <c r="F1102" s="384">
        <v>1300000</v>
      </c>
      <c r="G1102" s="270">
        <v>100345786</v>
      </c>
      <c r="H1102" s="270"/>
    </row>
    <row r="1103" spans="1:8" x14ac:dyDescent="0.25">
      <c r="A1103" s="257">
        <v>1106</v>
      </c>
      <c r="B1103" s="267">
        <v>1102</v>
      </c>
      <c r="C1103" s="268" t="s">
        <v>1917</v>
      </c>
      <c r="D1103" s="269">
        <v>41858</v>
      </c>
      <c r="E1103" s="270" t="s">
        <v>874</v>
      </c>
      <c r="F1103" s="384">
        <v>29000</v>
      </c>
      <c r="G1103" s="270">
        <v>191360926</v>
      </c>
      <c r="H1103" s="270"/>
    </row>
    <row r="1104" spans="1:8" x14ac:dyDescent="0.25">
      <c r="A1104" s="257">
        <v>1107</v>
      </c>
      <c r="B1104" s="267">
        <v>1103</v>
      </c>
      <c r="C1104" s="268" t="s">
        <v>1941</v>
      </c>
      <c r="D1104" s="269">
        <v>41858</v>
      </c>
      <c r="E1104" s="270" t="s">
        <v>2871</v>
      </c>
      <c r="F1104" s="384">
        <v>1040000</v>
      </c>
      <c r="G1104" s="270">
        <v>101015738</v>
      </c>
      <c r="H1104" s="270"/>
    </row>
    <row r="1105" spans="1:8" x14ac:dyDescent="0.25">
      <c r="A1105" s="257">
        <v>1108</v>
      </c>
      <c r="B1105" s="267">
        <v>1104</v>
      </c>
      <c r="C1105" s="268" t="s">
        <v>2811</v>
      </c>
      <c r="D1105" s="269">
        <v>41858</v>
      </c>
      <c r="E1105" s="270" t="s">
        <v>416</v>
      </c>
      <c r="F1105" s="384">
        <v>260000</v>
      </c>
      <c r="G1105" s="270">
        <v>100191722</v>
      </c>
      <c r="H1105" s="270"/>
    </row>
    <row r="1106" spans="1:8" x14ac:dyDescent="0.25">
      <c r="A1106" s="257">
        <v>1109</v>
      </c>
      <c r="B1106" s="267">
        <v>1105</v>
      </c>
      <c r="C1106" s="268" t="s">
        <v>3836</v>
      </c>
      <c r="D1106" s="269">
        <v>41858</v>
      </c>
      <c r="E1106" s="270" t="s">
        <v>3136</v>
      </c>
      <c r="F1106" s="384">
        <v>200000</v>
      </c>
      <c r="G1106" s="270">
        <v>690612576</v>
      </c>
      <c r="H1106" s="270"/>
    </row>
    <row r="1107" spans="1:8" x14ac:dyDescent="0.25">
      <c r="A1107" s="257">
        <v>1110</v>
      </c>
      <c r="B1107" s="267">
        <v>1106</v>
      </c>
      <c r="C1107" s="268" t="s">
        <v>67</v>
      </c>
      <c r="D1107" s="269">
        <v>41858</v>
      </c>
      <c r="E1107" s="270" t="s">
        <v>914</v>
      </c>
      <c r="F1107" s="384">
        <v>63000</v>
      </c>
      <c r="G1107" s="270">
        <v>190114911</v>
      </c>
      <c r="H1107" s="270"/>
    </row>
    <row r="1108" spans="1:8" x14ac:dyDescent="0.25">
      <c r="A1108" s="257">
        <v>1111</v>
      </c>
      <c r="B1108" s="267">
        <v>1107</v>
      </c>
      <c r="C1108" s="268" t="s">
        <v>3133</v>
      </c>
      <c r="D1108" s="269">
        <v>41858</v>
      </c>
      <c r="E1108" s="270" t="s">
        <v>3587</v>
      </c>
      <c r="F1108" s="384">
        <v>150000</v>
      </c>
      <c r="G1108" s="270">
        <v>101254783</v>
      </c>
      <c r="H1108" s="270"/>
    </row>
    <row r="1109" spans="1:8" x14ac:dyDescent="0.25">
      <c r="A1109" s="257">
        <v>1112</v>
      </c>
      <c r="B1109" s="267">
        <v>1108</v>
      </c>
      <c r="C1109" s="268" t="s">
        <v>735</v>
      </c>
      <c r="D1109" s="269">
        <v>41858</v>
      </c>
      <c r="E1109" s="270" t="s">
        <v>2715</v>
      </c>
      <c r="F1109" s="384">
        <v>405000</v>
      </c>
      <c r="G1109" s="270">
        <v>191564259</v>
      </c>
      <c r="H1109" s="270"/>
    </row>
    <row r="1110" spans="1:8" x14ac:dyDescent="0.25">
      <c r="A1110" s="257">
        <v>1113</v>
      </c>
      <c r="B1110" s="267">
        <v>1109</v>
      </c>
      <c r="C1110" s="268" t="s">
        <v>2166</v>
      </c>
      <c r="D1110" s="269">
        <v>41859</v>
      </c>
      <c r="E1110" s="270" t="s">
        <v>1685</v>
      </c>
      <c r="F1110" s="384">
        <v>150000</v>
      </c>
      <c r="G1110" s="270">
        <v>100315326</v>
      </c>
      <c r="H1110" s="270"/>
    </row>
    <row r="1111" spans="1:8" x14ac:dyDescent="0.25">
      <c r="A1111" s="257">
        <v>1114</v>
      </c>
      <c r="B1111" s="267">
        <v>1110</v>
      </c>
      <c r="C1111" s="268" t="s">
        <v>494</v>
      </c>
      <c r="D1111" s="269">
        <v>41859</v>
      </c>
      <c r="E1111" s="270" t="s">
        <v>339</v>
      </c>
      <c r="F1111" s="384">
        <v>145000</v>
      </c>
      <c r="G1111" s="270">
        <v>690629013</v>
      </c>
      <c r="H1111" s="270"/>
    </row>
    <row r="1112" spans="1:8" x14ac:dyDescent="0.25">
      <c r="A1112" s="257">
        <v>1115</v>
      </c>
      <c r="B1112" s="267">
        <v>1111</v>
      </c>
      <c r="C1112" s="268" t="s">
        <v>1525</v>
      </c>
      <c r="D1112" s="269">
        <v>41859</v>
      </c>
      <c r="E1112" s="270" t="s">
        <v>1005</v>
      </c>
      <c r="F1112" s="384">
        <v>223000</v>
      </c>
      <c r="G1112" s="270">
        <v>101116081</v>
      </c>
      <c r="H1112" s="270"/>
    </row>
    <row r="1113" spans="1:8" x14ac:dyDescent="0.25">
      <c r="A1113" s="257">
        <v>1116</v>
      </c>
      <c r="B1113" s="267">
        <v>1112</v>
      </c>
      <c r="C1113" s="268" t="s">
        <v>802</v>
      </c>
      <c r="D1113" s="269">
        <v>41859</v>
      </c>
      <c r="E1113" s="270" t="s">
        <v>1641</v>
      </c>
      <c r="F1113" s="384">
        <v>4050000</v>
      </c>
      <c r="G1113" s="270">
        <v>100135464</v>
      </c>
      <c r="H1113" s="270"/>
    </row>
    <row r="1114" spans="1:8" x14ac:dyDescent="0.25">
      <c r="A1114" s="257">
        <v>1117</v>
      </c>
      <c r="B1114" s="267">
        <v>1113</v>
      </c>
      <c r="C1114" s="268" t="s">
        <v>3216</v>
      </c>
      <c r="D1114" s="269">
        <v>41859</v>
      </c>
      <c r="E1114" s="270" t="s">
        <v>1644</v>
      </c>
      <c r="F1114" s="384">
        <v>1300000</v>
      </c>
      <c r="G1114" s="270">
        <v>100315288</v>
      </c>
      <c r="H1114" s="270"/>
    </row>
    <row r="1115" spans="1:8" x14ac:dyDescent="0.25">
      <c r="A1115" s="257">
        <v>1118</v>
      </c>
      <c r="B1115" s="267">
        <v>1114</v>
      </c>
      <c r="C1115" s="268" t="s">
        <v>2811</v>
      </c>
      <c r="D1115" s="269">
        <v>41859</v>
      </c>
      <c r="E1115" s="270" t="s">
        <v>416</v>
      </c>
      <c r="F1115" s="384">
        <v>63000</v>
      </c>
      <c r="G1115" s="270">
        <v>100191722</v>
      </c>
      <c r="H1115" s="270"/>
    </row>
    <row r="1116" spans="1:8" x14ac:dyDescent="0.25">
      <c r="A1116" s="257">
        <v>1119</v>
      </c>
      <c r="B1116" s="267">
        <v>1115</v>
      </c>
      <c r="C1116" s="268" t="s">
        <v>2779</v>
      </c>
      <c r="D1116" s="269">
        <v>41859</v>
      </c>
      <c r="E1116" s="270" t="s">
        <v>2159</v>
      </c>
      <c r="F1116" s="384">
        <v>122000</v>
      </c>
      <c r="G1116" s="270">
        <v>100345786</v>
      </c>
      <c r="H1116" s="270"/>
    </row>
    <row r="1117" spans="1:8" x14ac:dyDescent="0.25">
      <c r="A1117" s="257">
        <v>1120</v>
      </c>
      <c r="B1117" s="267">
        <v>1116</v>
      </c>
      <c r="C1117" s="268" t="s">
        <v>3776</v>
      </c>
      <c r="D1117" s="269">
        <v>41860</v>
      </c>
      <c r="E1117" s="270" t="s">
        <v>182</v>
      </c>
      <c r="F1117" s="384">
        <v>405000</v>
      </c>
      <c r="G1117" s="270">
        <v>190113200</v>
      </c>
      <c r="H1117" s="270"/>
    </row>
    <row r="1118" spans="1:8" x14ac:dyDescent="0.25">
      <c r="A1118" s="257">
        <v>1121</v>
      </c>
      <c r="B1118" s="267">
        <v>1117</v>
      </c>
      <c r="C1118" s="268" t="s">
        <v>444</v>
      </c>
      <c r="D1118" s="269">
        <v>41862</v>
      </c>
      <c r="E1118" s="270" t="s">
        <v>2144</v>
      </c>
      <c r="F1118" s="384">
        <v>223000</v>
      </c>
      <c r="G1118" s="270">
        <v>808000145</v>
      </c>
      <c r="H1118" s="270"/>
    </row>
    <row r="1119" spans="1:8" x14ac:dyDescent="0.25">
      <c r="A1119" s="257">
        <v>1122</v>
      </c>
      <c r="B1119" s="267">
        <v>1118</v>
      </c>
      <c r="C1119" s="268" t="s">
        <v>2790</v>
      </c>
      <c r="D1119" s="269">
        <v>41862</v>
      </c>
      <c r="E1119" s="270" t="s">
        <v>713</v>
      </c>
      <c r="F1119" s="384">
        <v>145000</v>
      </c>
      <c r="G1119" s="270">
        <v>191167894</v>
      </c>
      <c r="H1119" s="270"/>
    </row>
    <row r="1120" spans="1:8" x14ac:dyDescent="0.25">
      <c r="A1120" s="257">
        <v>1123</v>
      </c>
      <c r="B1120" s="267">
        <v>1119</v>
      </c>
      <c r="C1120" s="268" t="s">
        <v>2829</v>
      </c>
      <c r="D1120" s="269">
        <v>41862</v>
      </c>
      <c r="E1120" s="270" t="s">
        <v>70</v>
      </c>
      <c r="F1120" s="384">
        <v>223000</v>
      </c>
      <c r="G1120" s="270">
        <v>600048566</v>
      </c>
      <c r="H1120" s="270"/>
    </row>
    <row r="1121" spans="1:8" x14ac:dyDescent="0.25">
      <c r="A1121" s="257">
        <v>1124</v>
      </c>
      <c r="B1121" s="267">
        <v>1120</v>
      </c>
      <c r="C1121" s="268" t="s">
        <v>2645</v>
      </c>
      <c r="D1121" s="269">
        <v>41862</v>
      </c>
      <c r="E1121" s="270" t="s">
        <v>239</v>
      </c>
      <c r="F1121" s="384">
        <v>59000</v>
      </c>
      <c r="G1121" s="270">
        <v>101139097</v>
      </c>
      <c r="H1121" s="270"/>
    </row>
    <row r="1122" spans="1:8" x14ac:dyDescent="0.25">
      <c r="A1122" s="257">
        <v>1125</v>
      </c>
      <c r="B1122" s="267">
        <v>1121</v>
      </c>
      <c r="C1122" s="268" t="s">
        <v>67</v>
      </c>
      <c r="D1122" s="269">
        <v>41862</v>
      </c>
      <c r="E1122" s="270" t="s">
        <v>914</v>
      </c>
      <c r="F1122" s="384">
        <v>63000</v>
      </c>
      <c r="G1122" s="270">
        <v>190114911</v>
      </c>
      <c r="H1122" s="270"/>
    </row>
    <row r="1123" spans="1:8" x14ac:dyDescent="0.25">
      <c r="A1123" s="257">
        <v>1126</v>
      </c>
      <c r="B1123" s="267">
        <v>1122</v>
      </c>
      <c r="C1123" s="268" t="s">
        <v>1659</v>
      </c>
      <c r="D1123" s="269">
        <v>41863</v>
      </c>
      <c r="E1123" s="270" t="s">
        <v>344</v>
      </c>
      <c r="F1123" s="384">
        <v>186000</v>
      </c>
      <c r="G1123" s="270">
        <v>601062727</v>
      </c>
      <c r="H1123" s="270"/>
    </row>
    <row r="1124" spans="1:8" x14ac:dyDescent="0.25">
      <c r="A1124" s="257">
        <v>1127</v>
      </c>
      <c r="B1124" s="267">
        <v>1123</v>
      </c>
      <c r="C1124" s="268" t="s">
        <v>984</v>
      </c>
      <c r="D1124" s="269">
        <v>41863</v>
      </c>
      <c r="E1124" s="270" t="s">
        <v>2443</v>
      </c>
      <c r="F1124" s="384">
        <v>88000</v>
      </c>
      <c r="G1124" s="270">
        <v>100067931</v>
      </c>
      <c r="H1124" s="270"/>
    </row>
    <row r="1125" spans="1:8" x14ac:dyDescent="0.25">
      <c r="A1125" s="257">
        <v>1128</v>
      </c>
      <c r="B1125" s="267">
        <v>1124</v>
      </c>
      <c r="C1125" s="268" t="s">
        <v>3245</v>
      </c>
      <c r="D1125" s="269">
        <v>41863</v>
      </c>
      <c r="E1125" s="270" t="s">
        <v>1702</v>
      </c>
      <c r="F1125" s="384">
        <v>223000</v>
      </c>
      <c r="G1125" s="270">
        <v>100315395</v>
      </c>
      <c r="H1125" s="270"/>
    </row>
    <row r="1126" spans="1:8" x14ac:dyDescent="0.25">
      <c r="A1126" s="257">
        <v>1129</v>
      </c>
      <c r="B1126" s="267">
        <v>1125</v>
      </c>
      <c r="C1126" s="268" t="s">
        <v>265</v>
      </c>
      <c r="D1126" s="269">
        <v>41863</v>
      </c>
      <c r="E1126" s="270" t="s">
        <v>450</v>
      </c>
      <c r="F1126" s="384">
        <v>260000</v>
      </c>
      <c r="G1126" s="270">
        <v>100468996</v>
      </c>
      <c r="H1126" s="270"/>
    </row>
    <row r="1127" spans="1:8" x14ac:dyDescent="0.25">
      <c r="A1127" s="257">
        <v>1130</v>
      </c>
      <c r="B1127" s="267">
        <v>1126</v>
      </c>
      <c r="C1127" s="268" t="s">
        <v>265</v>
      </c>
      <c r="D1127" s="269">
        <v>41863</v>
      </c>
      <c r="E1127" s="270" t="s">
        <v>450</v>
      </c>
      <c r="F1127" s="384">
        <v>405000</v>
      </c>
      <c r="G1127" s="270">
        <v>100468996</v>
      </c>
      <c r="H1127" s="270"/>
    </row>
    <row r="1128" spans="1:8" x14ac:dyDescent="0.25">
      <c r="A1128" s="257">
        <v>1131</v>
      </c>
      <c r="B1128" s="267">
        <v>1127</v>
      </c>
      <c r="C1128" s="268" t="s">
        <v>337</v>
      </c>
      <c r="D1128" s="269">
        <v>41863</v>
      </c>
      <c r="E1128" s="270" t="s">
        <v>3580</v>
      </c>
      <c r="F1128" s="384">
        <v>170000</v>
      </c>
      <c r="G1128" s="270">
        <v>100863054</v>
      </c>
      <c r="H1128" s="270"/>
    </row>
    <row r="1129" spans="1:8" x14ac:dyDescent="0.25">
      <c r="A1129" s="257">
        <v>1132</v>
      </c>
      <c r="B1129" s="267">
        <v>1128</v>
      </c>
      <c r="C1129" s="268" t="s">
        <v>2660</v>
      </c>
      <c r="D1129" s="269">
        <v>41863</v>
      </c>
      <c r="E1129" s="270" t="s">
        <v>2954</v>
      </c>
      <c r="F1129" s="384">
        <v>260000</v>
      </c>
      <c r="G1129" s="270">
        <v>101180535</v>
      </c>
      <c r="H1129" s="270"/>
    </row>
    <row r="1130" spans="1:8" x14ac:dyDescent="0.25">
      <c r="A1130" s="257">
        <v>1133</v>
      </c>
      <c r="B1130" s="267">
        <v>1129</v>
      </c>
      <c r="C1130" s="268" t="s">
        <v>1659</v>
      </c>
      <c r="D1130" s="269">
        <v>41863</v>
      </c>
      <c r="E1130" s="270" t="s">
        <v>344</v>
      </c>
      <c r="F1130" s="384">
        <v>260000</v>
      </c>
      <c r="G1130" s="270">
        <v>601062727</v>
      </c>
      <c r="H1130" s="270"/>
    </row>
    <row r="1131" spans="1:8" x14ac:dyDescent="0.25">
      <c r="A1131" s="257">
        <v>1134</v>
      </c>
      <c r="B1131" s="267">
        <v>1130</v>
      </c>
      <c r="C1131" s="268" t="s">
        <v>3864</v>
      </c>
      <c r="D1131" s="269">
        <v>41864</v>
      </c>
      <c r="E1131" s="270" t="s">
        <v>906</v>
      </c>
      <c r="F1131" s="384">
        <v>186000</v>
      </c>
      <c r="G1131" s="270">
        <v>100348119</v>
      </c>
      <c r="H1131" s="270"/>
    </row>
    <row r="1132" spans="1:8" x14ac:dyDescent="0.25">
      <c r="A1132" s="257">
        <v>1135</v>
      </c>
      <c r="B1132" s="267">
        <v>1131</v>
      </c>
      <c r="C1132" s="268" t="s">
        <v>3864</v>
      </c>
      <c r="D1132" s="269">
        <v>41864</v>
      </c>
      <c r="E1132" s="270" t="s">
        <v>906</v>
      </c>
      <c r="F1132" s="384">
        <v>223000</v>
      </c>
      <c r="G1132" s="270">
        <v>100348119</v>
      </c>
      <c r="H1132" s="270"/>
    </row>
    <row r="1133" spans="1:8" x14ac:dyDescent="0.25">
      <c r="A1133" s="257">
        <v>1136</v>
      </c>
      <c r="B1133" s="267">
        <v>1132</v>
      </c>
      <c r="C1133" s="268" t="s">
        <v>314</v>
      </c>
      <c r="D1133" s="269">
        <v>41864</v>
      </c>
      <c r="E1133" s="270" t="s">
        <v>3495</v>
      </c>
      <c r="F1133" s="384">
        <v>155000</v>
      </c>
      <c r="G1133" s="270">
        <v>808000252</v>
      </c>
      <c r="H1133" s="270"/>
    </row>
    <row r="1134" spans="1:8" x14ac:dyDescent="0.25">
      <c r="A1134" s="257">
        <v>1137</v>
      </c>
      <c r="B1134" s="267">
        <v>1133</v>
      </c>
      <c r="C1134" s="268" t="s">
        <v>2819</v>
      </c>
      <c r="D1134" s="269">
        <v>41864</v>
      </c>
      <c r="E1134" s="270" t="s">
        <v>1907</v>
      </c>
      <c r="F1134" s="384">
        <v>186000</v>
      </c>
      <c r="G1134" s="270">
        <v>192284702</v>
      </c>
      <c r="H1134" s="270"/>
    </row>
    <row r="1135" spans="1:8" x14ac:dyDescent="0.25">
      <c r="A1135" s="257">
        <v>1138</v>
      </c>
      <c r="B1135" s="267">
        <v>1134</v>
      </c>
      <c r="C1135" s="268" t="s">
        <v>2819</v>
      </c>
      <c r="D1135" s="269">
        <v>41864</v>
      </c>
      <c r="E1135" s="270" t="s">
        <v>1907</v>
      </c>
      <c r="F1135" s="384">
        <v>223000</v>
      </c>
      <c r="G1135" s="270">
        <v>192284702</v>
      </c>
      <c r="H1135" s="270"/>
    </row>
    <row r="1136" spans="1:8" x14ac:dyDescent="0.25">
      <c r="A1136" s="257">
        <v>1139</v>
      </c>
      <c r="B1136" s="267">
        <v>1135</v>
      </c>
      <c r="C1136" s="268" t="s">
        <v>2360</v>
      </c>
      <c r="D1136" s="269">
        <v>41864</v>
      </c>
      <c r="E1136" s="270" t="s">
        <v>1807</v>
      </c>
      <c r="F1136" s="384">
        <v>223000</v>
      </c>
      <c r="G1136" s="270">
        <v>101277625</v>
      </c>
      <c r="H1136" s="270"/>
    </row>
    <row r="1137" spans="1:8" x14ac:dyDescent="0.25">
      <c r="A1137" s="257">
        <v>1140</v>
      </c>
      <c r="B1137" s="267">
        <v>1136</v>
      </c>
      <c r="C1137" s="268" t="s">
        <v>2597</v>
      </c>
      <c r="D1137" s="269">
        <v>41864</v>
      </c>
      <c r="E1137" s="270" t="s">
        <v>1640</v>
      </c>
      <c r="F1137" s="384">
        <v>260000</v>
      </c>
      <c r="G1137" s="270">
        <v>100262573</v>
      </c>
      <c r="H1137" s="270"/>
    </row>
    <row r="1138" spans="1:8" x14ac:dyDescent="0.25">
      <c r="A1138" s="257">
        <v>1141</v>
      </c>
      <c r="B1138" s="267">
        <v>1137</v>
      </c>
      <c r="C1138" s="268" t="s">
        <v>343</v>
      </c>
      <c r="D1138" s="269">
        <v>41864</v>
      </c>
      <c r="E1138" s="270" t="s">
        <v>2642</v>
      </c>
      <c r="F1138" s="384">
        <v>260000</v>
      </c>
      <c r="G1138" s="270">
        <v>390498949</v>
      </c>
      <c r="H1138" s="270"/>
    </row>
    <row r="1139" spans="1:8" x14ac:dyDescent="0.25">
      <c r="A1139" s="257">
        <v>1142</v>
      </c>
      <c r="B1139" s="267">
        <v>1138</v>
      </c>
      <c r="C1139" s="268" t="s">
        <v>3621</v>
      </c>
      <c r="D1139" s="269">
        <v>41865</v>
      </c>
      <c r="E1139" s="270" t="s">
        <v>3121</v>
      </c>
      <c r="F1139" s="384">
        <v>405000</v>
      </c>
      <c r="G1139" s="270">
        <v>190892779</v>
      </c>
      <c r="H1139" s="270"/>
    </row>
    <row r="1140" spans="1:8" x14ac:dyDescent="0.25">
      <c r="A1140" s="257">
        <v>1143</v>
      </c>
      <c r="B1140" s="267">
        <v>1139</v>
      </c>
      <c r="C1140" s="268" t="s">
        <v>3621</v>
      </c>
      <c r="D1140" s="269">
        <v>41865</v>
      </c>
      <c r="E1140" s="270" t="s">
        <v>3121</v>
      </c>
      <c r="F1140" s="384">
        <v>405000</v>
      </c>
      <c r="G1140" s="270">
        <v>190892779</v>
      </c>
      <c r="H1140" s="270"/>
    </row>
    <row r="1141" spans="1:8" x14ac:dyDescent="0.25">
      <c r="A1141" s="257">
        <v>1144</v>
      </c>
      <c r="B1141" s="267">
        <v>1140</v>
      </c>
      <c r="C1141" s="268" t="s">
        <v>2963</v>
      </c>
      <c r="D1141" s="269">
        <v>41865</v>
      </c>
      <c r="E1141" s="270" t="s">
        <v>220</v>
      </c>
      <c r="F1141" s="384">
        <v>855000</v>
      </c>
      <c r="G1141" s="270">
        <v>100230496</v>
      </c>
      <c r="H1141" s="270"/>
    </row>
    <row r="1142" spans="1:8" x14ac:dyDescent="0.25">
      <c r="A1142" s="257">
        <v>1145</v>
      </c>
      <c r="B1142" s="267">
        <v>1141</v>
      </c>
      <c r="C1142" s="268" t="s">
        <v>492</v>
      </c>
      <c r="D1142" s="269">
        <v>41865</v>
      </c>
      <c r="E1142" s="270" t="s">
        <v>1859</v>
      </c>
      <c r="F1142" s="384">
        <v>520000</v>
      </c>
      <c r="G1142" s="270">
        <v>101434885</v>
      </c>
      <c r="H1142" s="270"/>
    </row>
    <row r="1143" spans="1:8" x14ac:dyDescent="0.25">
      <c r="A1143" s="257">
        <v>1146</v>
      </c>
      <c r="B1143" s="267">
        <v>1142</v>
      </c>
      <c r="C1143" s="268" t="s">
        <v>3858</v>
      </c>
      <c r="D1143" s="269">
        <v>41865</v>
      </c>
      <c r="E1143" s="270" t="s">
        <v>1632</v>
      </c>
      <c r="F1143" s="384">
        <v>405000</v>
      </c>
      <c r="G1143" s="270">
        <v>691531391</v>
      </c>
      <c r="H1143" s="270"/>
    </row>
    <row r="1144" spans="1:8" x14ac:dyDescent="0.25">
      <c r="A1144" s="257">
        <v>1147</v>
      </c>
      <c r="B1144" s="267">
        <v>1143</v>
      </c>
      <c r="C1144" s="268" t="s">
        <v>2074</v>
      </c>
      <c r="D1144" s="269">
        <v>41865</v>
      </c>
      <c r="E1144" s="270" t="s">
        <v>848</v>
      </c>
      <c r="F1144" s="384">
        <v>186000</v>
      </c>
      <c r="G1144" s="270">
        <v>190199285</v>
      </c>
      <c r="H1144" s="270"/>
    </row>
    <row r="1145" spans="1:8" x14ac:dyDescent="0.25">
      <c r="A1145" s="257">
        <v>1148</v>
      </c>
      <c r="B1145" s="267">
        <v>1144</v>
      </c>
      <c r="C1145" s="268" t="s">
        <v>430</v>
      </c>
      <c r="D1145" s="269">
        <v>41866</v>
      </c>
      <c r="E1145" s="270" t="s">
        <v>2803</v>
      </c>
      <c r="F1145" s="384">
        <v>405000</v>
      </c>
      <c r="G1145" s="270">
        <v>192166507</v>
      </c>
      <c r="H1145" s="270"/>
    </row>
    <row r="1146" spans="1:8" x14ac:dyDescent="0.25">
      <c r="A1146" s="257">
        <v>1149</v>
      </c>
      <c r="B1146" s="267">
        <v>1145</v>
      </c>
      <c r="C1146" s="268" t="s">
        <v>1658</v>
      </c>
      <c r="D1146" s="269">
        <v>41866</v>
      </c>
      <c r="E1146" s="270" t="s">
        <v>825</v>
      </c>
      <c r="F1146" s="384">
        <v>260000</v>
      </c>
      <c r="G1146" s="270">
        <v>100951254</v>
      </c>
      <c r="H1146" s="270"/>
    </row>
    <row r="1147" spans="1:8" x14ac:dyDescent="0.25">
      <c r="A1147" s="257">
        <v>1150</v>
      </c>
      <c r="B1147" s="267">
        <v>1146</v>
      </c>
      <c r="C1147" s="268" t="s">
        <v>165</v>
      </c>
      <c r="D1147" s="269">
        <v>41866</v>
      </c>
      <c r="E1147" s="270" t="s">
        <v>2854</v>
      </c>
      <c r="F1147" s="384">
        <v>260000</v>
      </c>
      <c r="G1147" s="270">
        <v>691579190</v>
      </c>
      <c r="H1147" s="270"/>
    </row>
    <row r="1148" spans="1:8" x14ac:dyDescent="0.25">
      <c r="A1148" s="257">
        <v>1151</v>
      </c>
      <c r="B1148" s="267">
        <v>1147</v>
      </c>
      <c r="C1148" s="268" t="s">
        <v>719</v>
      </c>
      <c r="D1148" s="269">
        <v>41866</v>
      </c>
      <c r="E1148" s="270" t="s">
        <v>3519</v>
      </c>
      <c r="F1148" s="384">
        <v>223000</v>
      </c>
      <c r="G1148" s="270">
        <v>691571636</v>
      </c>
      <c r="H1148" s="270"/>
    </row>
    <row r="1149" spans="1:8" x14ac:dyDescent="0.25">
      <c r="A1149" s="257">
        <v>1152</v>
      </c>
      <c r="B1149" s="267">
        <v>1148</v>
      </c>
      <c r="C1149" s="268" t="s">
        <v>2650</v>
      </c>
      <c r="D1149" s="269">
        <v>41866</v>
      </c>
      <c r="E1149" s="270" t="s">
        <v>2372</v>
      </c>
      <c r="F1149" s="384">
        <v>186000</v>
      </c>
      <c r="G1149" s="270">
        <v>191110967</v>
      </c>
      <c r="H1149" s="270"/>
    </row>
    <row r="1150" spans="1:8" x14ac:dyDescent="0.25">
      <c r="A1150" s="257">
        <v>1153</v>
      </c>
      <c r="B1150" s="267">
        <v>1149</v>
      </c>
      <c r="C1150" s="268" t="s">
        <v>3312</v>
      </c>
      <c r="D1150" s="269">
        <v>41869</v>
      </c>
      <c r="E1150" s="270" t="s">
        <v>3504</v>
      </c>
      <c r="F1150" s="384">
        <v>260000</v>
      </c>
      <c r="G1150" s="270">
        <v>191750982</v>
      </c>
      <c r="H1150" s="270"/>
    </row>
    <row r="1151" spans="1:8" x14ac:dyDescent="0.25">
      <c r="A1151" s="257">
        <v>1154</v>
      </c>
      <c r="B1151" s="267">
        <v>1150</v>
      </c>
      <c r="C1151" s="268" t="s">
        <v>1658</v>
      </c>
      <c r="D1151" s="269">
        <v>41869</v>
      </c>
      <c r="E1151" s="270" t="s">
        <v>825</v>
      </c>
      <c r="F1151" s="384">
        <v>145000</v>
      </c>
      <c r="G1151" s="270">
        <v>100951254</v>
      </c>
      <c r="H1151" s="270"/>
    </row>
    <row r="1152" spans="1:8" x14ac:dyDescent="0.25">
      <c r="A1152" s="257">
        <v>1155</v>
      </c>
      <c r="B1152" s="267">
        <v>1151</v>
      </c>
      <c r="C1152" s="268" t="s">
        <v>1949</v>
      </c>
      <c r="D1152" s="269">
        <v>41869</v>
      </c>
      <c r="E1152" s="270" t="s">
        <v>1702</v>
      </c>
      <c r="F1152" s="384">
        <v>134000</v>
      </c>
      <c r="G1152" s="270">
        <v>100315395</v>
      </c>
      <c r="H1152" s="270"/>
    </row>
    <row r="1153" spans="1:8" x14ac:dyDescent="0.25">
      <c r="A1153" s="257">
        <v>1156</v>
      </c>
      <c r="B1153" s="267">
        <v>1152</v>
      </c>
      <c r="C1153" s="268" t="s">
        <v>3262</v>
      </c>
      <c r="D1153" s="269">
        <v>41869</v>
      </c>
      <c r="E1153" s="270" t="s">
        <v>147</v>
      </c>
      <c r="F1153" s="384">
        <v>223000</v>
      </c>
      <c r="G1153" s="270">
        <v>100041360</v>
      </c>
      <c r="H1153" s="270"/>
    </row>
    <row r="1154" spans="1:8" x14ac:dyDescent="0.25">
      <c r="A1154" s="257">
        <v>1157</v>
      </c>
      <c r="B1154" s="267">
        <v>1153</v>
      </c>
      <c r="C1154" s="268" t="s">
        <v>732</v>
      </c>
      <c r="D1154" s="269">
        <v>41869</v>
      </c>
      <c r="E1154" s="270" t="s">
        <v>3238</v>
      </c>
      <c r="F1154" s="384">
        <v>260000</v>
      </c>
      <c r="G1154" s="270">
        <v>191870208</v>
      </c>
      <c r="H1154" s="270"/>
    </row>
    <row r="1155" spans="1:8" x14ac:dyDescent="0.25">
      <c r="A1155" s="257">
        <v>1158</v>
      </c>
      <c r="B1155" s="267">
        <v>1154</v>
      </c>
      <c r="C1155" s="268" t="s">
        <v>3577</v>
      </c>
      <c r="D1155" s="269">
        <v>41869</v>
      </c>
      <c r="E1155" s="270" t="s">
        <v>3576</v>
      </c>
      <c r="F1155" s="384">
        <v>223000</v>
      </c>
      <c r="G1155" s="270">
        <v>100862974</v>
      </c>
      <c r="H1155" s="270"/>
    </row>
    <row r="1156" spans="1:8" x14ac:dyDescent="0.25">
      <c r="A1156" s="257">
        <v>1159</v>
      </c>
      <c r="B1156" s="267">
        <v>1155</v>
      </c>
      <c r="C1156" s="268" t="s">
        <v>165</v>
      </c>
      <c r="D1156" s="269">
        <v>41869</v>
      </c>
      <c r="E1156" s="270" t="s">
        <v>2854</v>
      </c>
      <c r="F1156" s="384">
        <v>121000</v>
      </c>
      <c r="G1156" s="270">
        <v>691579190</v>
      </c>
      <c r="H1156" s="270"/>
    </row>
    <row r="1157" spans="1:8" x14ac:dyDescent="0.25">
      <c r="A1157" s="257">
        <v>1160</v>
      </c>
      <c r="B1157" s="267">
        <v>1156</v>
      </c>
      <c r="C1157" s="268" t="s">
        <v>867</v>
      </c>
      <c r="D1157" s="269">
        <v>41869</v>
      </c>
      <c r="E1157" s="270" t="s">
        <v>1849</v>
      </c>
      <c r="F1157" s="384">
        <v>186000</v>
      </c>
      <c r="G1157" s="270">
        <v>690253246</v>
      </c>
      <c r="H1157" s="270"/>
    </row>
    <row r="1158" spans="1:8" x14ac:dyDescent="0.25">
      <c r="A1158" s="257">
        <v>1161</v>
      </c>
      <c r="B1158" s="267">
        <v>1157</v>
      </c>
      <c r="C1158" s="268" t="s">
        <v>3725</v>
      </c>
      <c r="D1158" s="269">
        <v>41869</v>
      </c>
      <c r="E1158" s="270" t="s">
        <v>2612</v>
      </c>
      <c r="F1158" s="384">
        <v>405000</v>
      </c>
      <c r="G1158" s="270">
        <v>100899415</v>
      </c>
      <c r="H1158" s="270"/>
    </row>
    <row r="1159" spans="1:8" x14ac:dyDescent="0.25">
      <c r="A1159" s="257">
        <v>1162</v>
      </c>
      <c r="B1159" s="267">
        <v>1158</v>
      </c>
      <c r="C1159" s="268" t="s">
        <v>1938</v>
      </c>
      <c r="D1159" s="269">
        <v>41869</v>
      </c>
      <c r="E1159" s="270" t="s">
        <v>2413</v>
      </c>
      <c r="F1159" s="384">
        <v>150000</v>
      </c>
      <c r="G1159" s="270">
        <v>191635191</v>
      </c>
      <c r="H1159" s="270"/>
    </row>
    <row r="1160" spans="1:8" x14ac:dyDescent="0.25">
      <c r="A1160" s="257">
        <v>1163</v>
      </c>
      <c r="B1160" s="267">
        <v>1159</v>
      </c>
      <c r="C1160" s="268" t="s">
        <v>311</v>
      </c>
      <c r="D1160" s="269">
        <v>41869</v>
      </c>
      <c r="E1160" s="270" t="s">
        <v>1940</v>
      </c>
      <c r="F1160" s="384">
        <v>2200000</v>
      </c>
      <c r="G1160" s="270">
        <v>0</v>
      </c>
      <c r="H1160" s="270"/>
    </row>
    <row r="1161" spans="1:8" x14ac:dyDescent="0.25">
      <c r="A1161" s="257">
        <v>1164</v>
      </c>
      <c r="B1161" s="267">
        <v>1160</v>
      </c>
      <c r="C1161" s="268" t="s">
        <v>4207</v>
      </c>
      <c r="D1161" s="269">
        <v>41869</v>
      </c>
      <c r="E1161" s="270" t="s">
        <v>3503</v>
      </c>
      <c r="F1161" s="384">
        <v>223000</v>
      </c>
      <c r="G1161" s="270">
        <v>100036968</v>
      </c>
      <c r="H1161" s="270"/>
    </row>
    <row r="1162" spans="1:8" x14ac:dyDescent="0.25">
      <c r="A1162" s="257">
        <v>1165</v>
      </c>
      <c r="B1162" s="267">
        <v>1161</v>
      </c>
      <c r="C1162" s="268" t="s">
        <v>2751</v>
      </c>
      <c r="D1162" s="269">
        <v>41870</v>
      </c>
      <c r="E1162" s="270" t="s">
        <v>449</v>
      </c>
      <c r="F1162" s="384">
        <v>2430000</v>
      </c>
      <c r="G1162" s="270">
        <v>100025732</v>
      </c>
      <c r="H1162" s="270"/>
    </row>
    <row r="1163" spans="1:8" x14ac:dyDescent="0.25">
      <c r="A1163" s="257">
        <v>1166</v>
      </c>
      <c r="B1163" s="267">
        <v>1162</v>
      </c>
      <c r="C1163" s="268" t="s">
        <v>738</v>
      </c>
      <c r="D1163" s="269">
        <v>41870</v>
      </c>
      <c r="E1163" s="270" t="s">
        <v>219</v>
      </c>
      <c r="F1163" s="384">
        <v>280000</v>
      </c>
      <c r="G1163" s="270">
        <v>100148649</v>
      </c>
      <c r="H1163" s="270"/>
    </row>
    <row r="1164" spans="1:8" x14ac:dyDescent="0.25">
      <c r="A1164" s="257">
        <v>1167</v>
      </c>
      <c r="B1164" s="267">
        <v>1163</v>
      </c>
      <c r="C1164" s="268" t="s">
        <v>884</v>
      </c>
      <c r="D1164" s="269">
        <v>41870</v>
      </c>
      <c r="E1164" s="270" t="s">
        <v>3114</v>
      </c>
      <c r="F1164" s="384">
        <v>150000</v>
      </c>
      <c r="G1164" s="270">
        <v>190599907</v>
      </c>
      <c r="H1164" s="270"/>
    </row>
    <row r="1165" spans="1:8" x14ac:dyDescent="0.25">
      <c r="A1165" s="257">
        <v>1168</v>
      </c>
      <c r="B1165" s="267">
        <v>1164</v>
      </c>
      <c r="C1165" s="268" t="s">
        <v>3312</v>
      </c>
      <c r="D1165" s="269">
        <v>41870</v>
      </c>
      <c r="E1165" s="270" t="s">
        <v>3504</v>
      </c>
      <c r="F1165" s="384">
        <v>223000</v>
      </c>
      <c r="G1165" s="270">
        <v>191750982</v>
      </c>
      <c r="H1165" s="270"/>
    </row>
    <row r="1166" spans="1:8" x14ac:dyDescent="0.25">
      <c r="A1166" s="257">
        <v>1169</v>
      </c>
      <c r="B1166" s="267">
        <v>1165</v>
      </c>
      <c r="C1166" s="268" t="s">
        <v>2614</v>
      </c>
      <c r="D1166" s="269">
        <v>41870</v>
      </c>
      <c r="E1166" s="270" t="s">
        <v>3123</v>
      </c>
      <c r="F1166" s="384">
        <v>260000</v>
      </c>
      <c r="G1166" s="270">
        <v>190187145</v>
      </c>
      <c r="H1166" s="270"/>
    </row>
    <row r="1167" spans="1:8" x14ac:dyDescent="0.25">
      <c r="A1167" s="257">
        <v>1170</v>
      </c>
      <c r="B1167" s="267">
        <v>1166</v>
      </c>
      <c r="C1167" s="268" t="s">
        <v>910</v>
      </c>
      <c r="D1167" s="269">
        <v>41870</v>
      </c>
      <c r="E1167" s="270" t="s">
        <v>1656</v>
      </c>
      <c r="F1167" s="384">
        <v>186000</v>
      </c>
      <c r="G1167" s="270">
        <v>101439397</v>
      </c>
      <c r="H1167" s="270"/>
    </row>
    <row r="1168" spans="1:8" x14ac:dyDescent="0.25">
      <c r="A1168" s="257">
        <v>1171</v>
      </c>
      <c r="B1168" s="267">
        <v>1167</v>
      </c>
      <c r="C1168" s="268" t="s">
        <v>2650</v>
      </c>
      <c r="D1168" s="269">
        <v>41870</v>
      </c>
      <c r="E1168" s="270" t="s">
        <v>2372</v>
      </c>
      <c r="F1168" s="384">
        <v>178000</v>
      </c>
      <c r="G1168" s="270">
        <v>191110967</v>
      </c>
      <c r="H1168" s="270"/>
    </row>
    <row r="1169" spans="1:8" x14ac:dyDescent="0.25">
      <c r="A1169" s="257">
        <v>1172</v>
      </c>
      <c r="B1169" s="267">
        <v>1168</v>
      </c>
      <c r="C1169" s="268" t="s">
        <v>957</v>
      </c>
      <c r="D1169" s="269">
        <v>41870</v>
      </c>
      <c r="E1169" s="270" t="s">
        <v>3213</v>
      </c>
      <c r="F1169" s="384">
        <v>34000</v>
      </c>
      <c r="G1169" s="270">
        <v>191319130</v>
      </c>
      <c r="H1169" s="270"/>
    </row>
    <row r="1170" spans="1:8" x14ac:dyDescent="0.25">
      <c r="A1170" s="257">
        <v>1173</v>
      </c>
      <c r="B1170" s="267">
        <v>1169</v>
      </c>
      <c r="C1170" s="268" t="s">
        <v>3312</v>
      </c>
      <c r="D1170" s="269">
        <v>41871</v>
      </c>
      <c r="E1170" s="270" t="s">
        <v>3504</v>
      </c>
      <c r="F1170" s="384">
        <v>92000</v>
      </c>
      <c r="G1170" s="270">
        <v>191750982</v>
      </c>
      <c r="H1170" s="270"/>
    </row>
    <row r="1171" spans="1:8" x14ac:dyDescent="0.25">
      <c r="A1171" s="257">
        <v>1174</v>
      </c>
      <c r="B1171" s="267">
        <v>1170</v>
      </c>
      <c r="C1171" s="268" t="s">
        <v>2602</v>
      </c>
      <c r="D1171" s="269">
        <v>41871</v>
      </c>
      <c r="E1171" s="270" t="s">
        <v>3321</v>
      </c>
      <c r="F1171" s="384">
        <v>405000</v>
      </c>
      <c r="G1171" s="270">
        <v>490492602</v>
      </c>
      <c r="H1171" s="270"/>
    </row>
    <row r="1172" spans="1:8" x14ac:dyDescent="0.25">
      <c r="A1172" s="257">
        <v>1175</v>
      </c>
      <c r="B1172" s="267">
        <v>1171</v>
      </c>
      <c r="C1172" s="268" t="s">
        <v>2838</v>
      </c>
      <c r="D1172" s="269">
        <v>41871</v>
      </c>
      <c r="E1172" s="270" t="s">
        <v>1637</v>
      </c>
      <c r="F1172" s="384">
        <v>706000</v>
      </c>
      <c r="G1172" s="270">
        <v>100687805</v>
      </c>
      <c r="H1172" s="270"/>
    </row>
    <row r="1173" spans="1:8" x14ac:dyDescent="0.25">
      <c r="A1173" s="257">
        <v>1176</v>
      </c>
      <c r="B1173" s="267">
        <v>1172</v>
      </c>
      <c r="C1173" s="268" t="s">
        <v>867</v>
      </c>
      <c r="D1173" s="269">
        <v>41871</v>
      </c>
      <c r="E1173" s="270" t="s">
        <v>1849</v>
      </c>
      <c r="F1173" s="384">
        <v>63000</v>
      </c>
      <c r="G1173" s="270">
        <v>690253246</v>
      </c>
      <c r="H1173" s="270"/>
    </row>
    <row r="1174" spans="1:8" x14ac:dyDescent="0.25">
      <c r="A1174" s="257">
        <v>1177</v>
      </c>
      <c r="B1174" s="267">
        <v>1173</v>
      </c>
      <c r="C1174" s="268" t="s">
        <v>2735</v>
      </c>
      <c r="D1174" s="269">
        <v>41871</v>
      </c>
      <c r="E1174" s="270" t="s">
        <v>141</v>
      </c>
      <c r="F1174" s="384">
        <v>186000</v>
      </c>
      <c r="G1174" s="270">
        <v>600049547</v>
      </c>
      <c r="H1174" s="270"/>
    </row>
    <row r="1175" spans="1:8" x14ac:dyDescent="0.25">
      <c r="A1175" s="257">
        <v>1178</v>
      </c>
      <c r="B1175" s="267">
        <v>1174</v>
      </c>
      <c r="C1175" s="268" t="s">
        <v>3621</v>
      </c>
      <c r="D1175" s="269">
        <v>41871</v>
      </c>
      <c r="E1175" s="270" t="s">
        <v>3121</v>
      </c>
      <c r="F1175" s="384">
        <v>55000</v>
      </c>
      <c r="G1175" s="270">
        <v>190892779</v>
      </c>
      <c r="H1175" s="270"/>
    </row>
    <row r="1176" spans="1:8" x14ac:dyDescent="0.25">
      <c r="A1176" s="257">
        <v>1179</v>
      </c>
      <c r="B1176" s="267">
        <v>1175</v>
      </c>
      <c r="C1176" s="268" t="s">
        <v>266</v>
      </c>
      <c r="D1176" s="269">
        <v>41871</v>
      </c>
      <c r="E1176" s="270" t="s">
        <v>3120</v>
      </c>
      <c r="F1176" s="384">
        <v>186000</v>
      </c>
      <c r="G1176" s="270">
        <v>101280900</v>
      </c>
      <c r="H1176" s="270"/>
    </row>
    <row r="1177" spans="1:8" x14ac:dyDescent="0.25">
      <c r="A1177" s="257">
        <v>1180</v>
      </c>
      <c r="B1177" s="267">
        <v>1176</v>
      </c>
      <c r="C1177" s="268" t="s">
        <v>266</v>
      </c>
      <c r="D1177" s="269">
        <v>41871</v>
      </c>
      <c r="E1177" s="270" t="s">
        <v>3120</v>
      </c>
      <c r="F1177" s="384">
        <v>186000</v>
      </c>
      <c r="G1177" s="270">
        <v>101280900</v>
      </c>
      <c r="H1177" s="270"/>
    </row>
    <row r="1178" spans="1:8" x14ac:dyDescent="0.25">
      <c r="A1178" s="257">
        <v>1181</v>
      </c>
      <c r="B1178" s="267">
        <v>1177</v>
      </c>
      <c r="C1178" s="268" t="s">
        <v>2614</v>
      </c>
      <c r="D1178" s="269">
        <v>41871</v>
      </c>
      <c r="E1178" s="270" t="s">
        <v>3123</v>
      </c>
      <c r="F1178" s="384">
        <v>59000</v>
      </c>
      <c r="G1178" s="270">
        <v>190187145</v>
      </c>
      <c r="H1178" s="270"/>
    </row>
    <row r="1179" spans="1:8" x14ac:dyDescent="0.25">
      <c r="A1179" s="257">
        <v>1182</v>
      </c>
      <c r="B1179" s="267">
        <v>1178</v>
      </c>
      <c r="C1179" s="268" t="s">
        <v>3748</v>
      </c>
      <c r="D1179" s="269">
        <v>41872</v>
      </c>
      <c r="E1179" s="270" t="s">
        <v>1788</v>
      </c>
      <c r="F1179" s="384">
        <v>223000</v>
      </c>
      <c r="G1179" s="270">
        <v>800001327</v>
      </c>
      <c r="H1179" s="270"/>
    </row>
    <row r="1180" spans="1:8" x14ac:dyDescent="0.25">
      <c r="A1180" s="257">
        <v>1183</v>
      </c>
      <c r="B1180" s="267">
        <v>1179</v>
      </c>
      <c r="C1180" s="268" t="s">
        <v>2958</v>
      </c>
      <c r="D1180" s="269">
        <v>41872</v>
      </c>
      <c r="E1180" s="270" t="s">
        <v>2718</v>
      </c>
      <c r="F1180" s="384">
        <v>1040000</v>
      </c>
      <c r="G1180" s="270">
        <v>101467757</v>
      </c>
      <c r="H1180" s="270"/>
    </row>
    <row r="1181" spans="1:8" x14ac:dyDescent="0.25">
      <c r="A1181" s="257">
        <v>1184</v>
      </c>
      <c r="B1181" s="267">
        <v>1180</v>
      </c>
      <c r="C1181" s="268" t="s">
        <v>1026</v>
      </c>
      <c r="D1181" s="269">
        <v>41872</v>
      </c>
      <c r="E1181" s="270" t="s">
        <v>234</v>
      </c>
      <c r="F1181" s="384">
        <v>1040000</v>
      </c>
      <c r="G1181" s="270">
        <v>100736767</v>
      </c>
      <c r="H1181" s="270"/>
    </row>
    <row r="1182" spans="1:8" x14ac:dyDescent="0.25">
      <c r="A1182" s="257">
        <v>1185</v>
      </c>
      <c r="B1182" s="267">
        <v>1181</v>
      </c>
      <c r="C1182" s="268" t="s">
        <v>374</v>
      </c>
      <c r="D1182" s="269">
        <v>41872</v>
      </c>
      <c r="E1182" s="270" t="s">
        <v>49</v>
      </c>
      <c r="F1182" s="384">
        <v>630000</v>
      </c>
      <c r="G1182" s="270">
        <v>100843288</v>
      </c>
      <c r="H1182" s="270"/>
    </row>
    <row r="1183" spans="1:8" x14ac:dyDescent="0.25">
      <c r="A1183" s="257">
        <v>1186</v>
      </c>
      <c r="B1183" s="267">
        <v>1182</v>
      </c>
      <c r="C1183" s="268" t="s">
        <v>374</v>
      </c>
      <c r="D1183" s="269">
        <v>41872</v>
      </c>
      <c r="E1183" s="270" t="s">
        <v>49</v>
      </c>
      <c r="F1183" s="384">
        <v>665000</v>
      </c>
      <c r="G1183" s="270">
        <v>100843288</v>
      </c>
      <c r="H1183" s="270"/>
    </row>
    <row r="1184" spans="1:8" x14ac:dyDescent="0.25">
      <c r="A1184" s="257">
        <v>1187</v>
      </c>
      <c r="B1184" s="267">
        <v>1183</v>
      </c>
      <c r="C1184" s="268" t="s">
        <v>374</v>
      </c>
      <c r="D1184" s="269">
        <v>41872</v>
      </c>
      <c r="E1184" s="270" t="s">
        <v>49</v>
      </c>
      <c r="F1184" s="384">
        <v>34000</v>
      </c>
      <c r="G1184" s="270">
        <v>100843288</v>
      </c>
      <c r="H1184" s="270"/>
    </row>
    <row r="1185" spans="1:8" x14ac:dyDescent="0.25">
      <c r="A1185" s="257">
        <v>1188</v>
      </c>
      <c r="B1185" s="267">
        <v>1184</v>
      </c>
      <c r="C1185" s="268" t="s">
        <v>3620</v>
      </c>
      <c r="D1185" s="269">
        <v>41872</v>
      </c>
      <c r="E1185" s="270" t="s">
        <v>3546</v>
      </c>
      <c r="F1185" s="384">
        <v>155000</v>
      </c>
      <c r="G1185" s="270">
        <v>190991829</v>
      </c>
      <c r="H1185" s="270"/>
    </row>
    <row r="1186" spans="1:8" x14ac:dyDescent="0.25">
      <c r="A1186" s="257">
        <v>1189</v>
      </c>
      <c r="B1186" s="267">
        <v>1185</v>
      </c>
      <c r="C1186" s="268" t="s">
        <v>1548</v>
      </c>
      <c r="D1186" s="269">
        <v>41872</v>
      </c>
      <c r="E1186" s="270" t="s">
        <v>3089</v>
      </c>
      <c r="F1186" s="384">
        <v>405000</v>
      </c>
      <c r="G1186" s="270">
        <v>101299925</v>
      </c>
      <c r="H1186" s="270"/>
    </row>
    <row r="1187" spans="1:8" x14ac:dyDescent="0.25">
      <c r="A1187" s="257">
        <v>1190</v>
      </c>
      <c r="B1187" s="267">
        <v>1186</v>
      </c>
      <c r="C1187" s="268" t="s">
        <v>3101</v>
      </c>
      <c r="D1187" s="269">
        <v>41872</v>
      </c>
      <c r="E1187" s="270" t="s">
        <v>1022</v>
      </c>
      <c r="F1187" s="384">
        <v>223000</v>
      </c>
      <c r="G1187" s="270">
        <v>690591512</v>
      </c>
      <c r="H1187" s="270"/>
    </row>
    <row r="1188" spans="1:8" x14ac:dyDescent="0.25">
      <c r="A1188" s="257">
        <v>1191</v>
      </c>
      <c r="B1188" s="267">
        <v>1187</v>
      </c>
      <c r="C1188" s="268" t="s">
        <v>482</v>
      </c>
      <c r="D1188" s="269">
        <v>41872</v>
      </c>
      <c r="E1188" s="270" t="s">
        <v>1947</v>
      </c>
      <c r="F1188" s="384">
        <v>405000</v>
      </c>
      <c r="G1188" s="270">
        <v>690593344</v>
      </c>
      <c r="H1188" s="270"/>
    </row>
    <row r="1189" spans="1:8" x14ac:dyDescent="0.25">
      <c r="A1189" s="257">
        <v>1192</v>
      </c>
      <c r="B1189" s="267">
        <v>1188</v>
      </c>
      <c r="C1189" s="268" t="s">
        <v>314</v>
      </c>
      <c r="D1189" s="269">
        <v>41872</v>
      </c>
      <c r="E1189" s="270" t="s">
        <v>3495</v>
      </c>
      <c r="F1189" s="384">
        <v>34000</v>
      </c>
      <c r="G1189" s="270">
        <v>808000252</v>
      </c>
      <c r="H1189" s="270"/>
    </row>
    <row r="1190" spans="1:8" x14ac:dyDescent="0.25">
      <c r="A1190" s="257">
        <v>1193</v>
      </c>
      <c r="B1190" s="267">
        <v>1189</v>
      </c>
      <c r="C1190" s="268" t="s">
        <v>3322</v>
      </c>
      <c r="D1190" s="269">
        <v>41872</v>
      </c>
      <c r="E1190" s="270" t="s">
        <v>805</v>
      </c>
      <c r="F1190" s="384">
        <v>405000</v>
      </c>
      <c r="G1190" s="270">
        <v>691325141</v>
      </c>
      <c r="H1190" s="270"/>
    </row>
    <row r="1191" spans="1:8" x14ac:dyDescent="0.25">
      <c r="A1191" s="257">
        <v>1194</v>
      </c>
      <c r="B1191" s="267">
        <v>1190</v>
      </c>
      <c r="C1191" s="268" t="s">
        <v>1791</v>
      </c>
      <c r="D1191" s="269">
        <v>41872</v>
      </c>
      <c r="E1191" s="270" t="s">
        <v>3097</v>
      </c>
      <c r="F1191" s="384">
        <v>223000</v>
      </c>
      <c r="G1191" s="270">
        <v>101368638</v>
      </c>
      <c r="H1191" s="270"/>
    </row>
    <row r="1192" spans="1:8" x14ac:dyDescent="0.25">
      <c r="A1192" s="257">
        <v>1195</v>
      </c>
      <c r="B1192" s="267">
        <v>1191</v>
      </c>
      <c r="C1192" s="268" t="s">
        <v>2958</v>
      </c>
      <c r="D1192" s="269">
        <v>41872</v>
      </c>
      <c r="E1192" s="270" t="s">
        <v>2718</v>
      </c>
      <c r="F1192" s="384">
        <v>341000</v>
      </c>
      <c r="G1192" s="270">
        <v>101467757</v>
      </c>
      <c r="H1192" s="270"/>
    </row>
    <row r="1193" spans="1:8" x14ac:dyDescent="0.25">
      <c r="A1193" s="257">
        <v>1196</v>
      </c>
      <c r="B1193" s="267">
        <v>1192</v>
      </c>
      <c r="C1193" s="268" t="s">
        <v>1026</v>
      </c>
      <c r="D1193" s="269">
        <v>41872</v>
      </c>
      <c r="E1193" s="270" t="s">
        <v>234</v>
      </c>
      <c r="F1193" s="384">
        <v>1457000</v>
      </c>
      <c r="G1193" s="270">
        <v>100736767</v>
      </c>
      <c r="H1193" s="270"/>
    </row>
    <row r="1194" spans="1:8" x14ac:dyDescent="0.25">
      <c r="A1194" s="257">
        <v>1197</v>
      </c>
      <c r="B1194" s="267">
        <v>1193</v>
      </c>
      <c r="C1194" s="268" t="s">
        <v>2812</v>
      </c>
      <c r="D1194" s="269">
        <v>41873</v>
      </c>
      <c r="E1194" s="270" t="s">
        <v>990</v>
      </c>
      <c r="F1194" s="384">
        <v>186000</v>
      </c>
      <c r="G1194" s="270">
        <v>0</v>
      </c>
      <c r="H1194" s="270"/>
    </row>
    <row r="1195" spans="1:8" x14ac:dyDescent="0.25">
      <c r="A1195" s="257">
        <v>1198</v>
      </c>
      <c r="B1195" s="267">
        <v>1194</v>
      </c>
      <c r="C1195" s="268" t="s">
        <v>2605</v>
      </c>
      <c r="D1195" s="269">
        <v>41873</v>
      </c>
      <c r="E1195" s="270" t="s">
        <v>3604</v>
      </c>
      <c r="F1195" s="384">
        <v>186000</v>
      </c>
      <c r="G1195" s="270">
        <v>100088681</v>
      </c>
      <c r="H1195" s="270"/>
    </row>
    <row r="1196" spans="1:8" x14ac:dyDescent="0.25">
      <c r="A1196" s="257">
        <v>1199</v>
      </c>
      <c r="B1196" s="267">
        <v>1195</v>
      </c>
      <c r="C1196" s="268" t="s">
        <v>196</v>
      </c>
      <c r="D1196" s="269">
        <v>41873</v>
      </c>
      <c r="E1196" s="270" t="s">
        <v>3110</v>
      </c>
      <c r="F1196" s="384">
        <v>223000</v>
      </c>
      <c r="G1196" s="270">
        <v>101538513</v>
      </c>
      <c r="H1196" s="270"/>
    </row>
    <row r="1197" spans="1:8" x14ac:dyDescent="0.25">
      <c r="A1197" s="257">
        <v>1200</v>
      </c>
      <c r="B1197" s="267">
        <v>1196</v>
      </c>
      <c r="C1197" s="268" t="s">
        <v>2891</v>
      </c>
      <c r="D1197" s="269">
        <v>41873</v>
      </c>
      <c r="E1197" s="270" t="s">
        <v>941</v>
      </c>
      <c r="F1197" s="384">
        <v>150000</v>
      </c>
      <c r="G1197" s="270">
        <v>100673134</v>
      </c>
      <c r="H1197" s="270"/>
    </row>
    <row r="1198" spans="1:8" x14ac:dyDescent="0.25">
      <c r="A1198" s="257">
        <v>1201</v>
      </c>
      <c r="B1198" s="267">
        <v>1197</v>
      </c>
      <c r="C1198" s="268" t="s">
        <v>386</v>
      </c>
      <c r="D1198" s="269">
        <v>41876</v>
      </c>
      <c r="E1198" s="270" t="s">
        <v>1951</v>
      </c>
      <c r="F1198" s="384">
        <v>466000</v>
      </c>
      <c r="G1198" s="270">
        <v>400424686</v>
      </c>
      <c r="H1198" s="270"/>
    </row>
    <row r="1199" spans="1:8" x14ac:dyDescent="0.25">
      <c r="A1199" s="257">
        <v>1202</v>
      </c>
      <c r="B1199" s="267">
        <v>1198</v>
      </c>
      <c r="C1199" s="268" t="s">
        <v>925</v>
      </c>
      <c r="D1199" s="269">
        <v>41876</v>
      </c>
      <c r="E1199" s="270" t="s">
        <v>4217</v>
      </c>
      <c r="F1199" s="384">
        <v>405000</v>
      </c>
      <c r="G1199" s="270">
        <v>101090386</v>
      </c>
      <c r="H1199" s="270"/>
    </row>
    <row r="1200" spans="1:8" x14ac:dyDescent="0.25">
      <c r="A1200" s="257">
        <v>1203</v>
      </c>
      <c r="B1200" s="267">
        <v>1199</v>
      </c>
      <c r="C1200" s="268" t="s">
        <v>223</v>
      </c>
      <c r="D1200" s="269">
        <v>41876</v>
      </c>
      <c r="E1200" s="270" t="s">
        <v>834</v>
      </c>
      <c r="F1200" s="384">
        <v>186000</v>
      </c>
      <c r="G1200" s="270">
        <v>190465117</v>
      </c>
      <c r="H1200" s="270"/>
    </row>
    <row r="1201" spans="1:8" x14ac:dyDescent="0.25">
      <c r="A1201" s="257">
        <v>1204</v>
      </c>
      <c r="B1201" s="267">
        <v>1200</v>
      </c>
      <c r="C1201" s="268" t="s">
        <v>2966</v>
      </c>
      <c r="D1201" s="269">
        <v>41876</v>
      </c>
      <c r="E1201" s="270" t="s">
        <v>2885</v>
      </c>
      <c r="F1201" s="384">
        <v>150000</v>
      </c>
      <c r="G1201" s="270">
        <v>691132355</v>
      </c>
      <c r="H1201" s="270"/>
    </row>
    <row r="1202" spans="1:8" x14ac:dyDescent="0.25">
      <c r="A1202" s="257">
        <v>1205</v>
      </c>
      <c r="B1202" s="267">
        <v>1201</v>
      </c>
      <c r="C1202" s="268" t="s">
        <v>2790</v>
      </c>
      <c r="D1202" s="269">
        <v>41876</v>
      </c>
      <c r="E1202" s="270" t="s">
        <v>713</v>
      </c>
      <c r="F1202" s="384">
        <v>260000</v>
      </c>
      <c r="G1202" s="270">
        <v>191167894</v>
      </c>
      <c r="H1202" s="270"/>
    </row>
    <row r="1203" spans="1:8" x14ac:dyDescent="0.25">
      <c r="A1203" s="257">
        <v>1206</v>
      </c>
      <c r="B1203" s="267">
        <v>1202</v>
      </c>
      <c r="C1203" s="268" t="s">
        <v>716</v>
      </c>
      <c r="D1203" s="269">
        <v>41876</v>
      </c>
      <c r="E1203" s="270" t="s">
        <v>728</v>
      </c>
      <c r="F1203" s="384">
        <v>405000</v>
      </c>
      <c r="G1203" s="270">
        <v>691130684</v>
      </c>
      <c r="H1203" s="270"/>
    </row>
    <row r="1204" spans="1:8" x14ac:dyDescent="0.25">
      <c r="A1204" s="257">
        <v>1207</v>
      </c>
      <c r="B1204" s="267">
        <v>1203</v>
      </c>
      <c r="C1204" s="268" t="s">
        <v>3658</v>
      </c>
      <c r="D1204" s="269">
        <v>41876</v>
      </c>
      <c r="E1204" s="270" t="s">
        <v>3552</v>
      </c>
      <c r="F1204" s="384">
        <v>145000</v>
      </c>
      <c r="G1204" s="270">
        <v>191569368</v>
      </c>
      <c r="H1204" s="270"/>
    </row>
    <row r="1205" spans="1:8" x14ac:dyDescent="0.25">
      <c r="A1205" s="257">
        <v>1208</v>
      </c>
      <c r="B1205" s="267">
        <v>1204</v>
      </c>
      <c r="C1205" s="268" t="s">
        <v>1771</v>
      </c>
      <c r="D1205" s="269">
        <v>41877</v>
      </c>
      <c r="E1205" s="270" t="s">
        <v>524</v>
      </c>
      <c r="F1205" s="384">
        <v>405000</v>
      </c>
      <c r="G1205" s="270">
        <v>100006988</v>
      </c>
      <c r="H1205" s="270"/>
    </row>
    <row r="1206" spans="1:8" x14ac:dyDescent="0.25">
      <c r="A1206" s="257">
        <v>1209</v>
      </c>
      <c r="B1206" s="267">
        <v>1205</v>
      </c>
      <c r="C1206" s="268" t="s">
        <v>1918</v>
      </c>
      <c r="D1206" s="269">
        <v>41877</v>
      </c>
      <c r="E1206" s="270" t="s">
        <v>1607</v>
      </c>
      <c r="F1206" s="384">
        <v>145000</v>
      </c>
      <c r="G1206" s="270">
        <v>690643672</v>
      </c>
      <c r="H1206" s="270"/>
    </row>
    <row r="1207" spans="1:8" x14ac:dyDescent="0.25">
      <c r="A1207" s="257">
        <v>1210</v>
      </c>
      <c r="B1207" s="267">
        <v>1206</v>
      </c>
      <c r="C1207" s="268" t="s">
        <v>2893</v>
      </c>
      <c r="D1207" s="269">
        <v>41877</v>
      </c>
      <c r="E1207" s="270" t="s">
        <v>3220</v>
      </c>
      <c r="F1207" s="384">
        <v>260000</v>
      </c>
      <c r="G1207" s="270">
        <v>101371967</v>
      </c>
      <c r="H1207" s="270"/>
    </row>
    <row r="1208" spans="1:8" x14ac:dyDescent="0.25">
      <c r="A1208" s="257">
        <v>1211</v>
      </c>
      <c r="B1208" s="267">
        <v>1207</v>
      </c>
      <c r="C1208" s="268" t="s">
        <v>207</v>
      </c>
      <c r="D1208" s="269">
        <v>41877</v>
      </c>
      <c r="E1208" s="270" t="s">
        <v>968</v>
      </c>
      <c r="F1208" s="384">
        <v>186000</v>
      </c>
      <c r="G1208" s="270">
        <v>191731799</v>
      </c>
      <c r="H1208" s="270"/>
    </row>
    <row r="1209" spans="1:8" x14ac:dyDescent="0.25">
      <c r="A1209" s="257">
        <v>1212</v>
      </c>
      <c r="B1209" s="267">
        <v>1208</v>
      </c>
      <c r="C1209" s="268" t="s">
        <v>3101</v>
      </c>
      <c r="D1209" s="269">
        <v>41877</v>
      </c>
      <c r="E1209" s="270" t="s">
        <v>1022</v>
      </c>
      <c r="F1209" s="384">
        <v>34000</v>
      </c>
      <c r="G1209" s="270">
        <v>690591512</v>
      </c>
      <c r="H1209" s="270"/>
    </row>
    <row r="1210" spans="1:8" x14ac:dyDescent="0.25">
      <c r="A1210" s="257">
        <v>1213</v>
      </c>
      <c r="B1210" s="267">
        <v>1209</v>
      </c>
      <c r="C1210" s="268" t="s">
        <v>386</v>
      </c>
      <c r="D1210" s="269">
        <v>41878</v>
      </c>
      <c r="E1210" s="270" t="s">
        <v>1951</v>
      </c>
      <c r="F1210" s="384">
        <v>503000</v>
      </c>
      <c r="G1210" s="270">
        <v>400424686</v>
      </c>
      <c r="H1210" s="270"/>
    </row>
    <row r="1211" spans="1:8" x14ac:dyDescent="0.25">
      <c r="A1211" s="257">
        <v>1214</v>
      </c>
      <c r="B1211" s="267">
        <v>1210</v>
      </c>
      <c r="C1211" s="268" t="s">
        <v>3776</v>
      </c>
      <c r="D1211" s="269">
        <v>41878</v>
      </c>
      <c r="E1211" s="270" t="s">
        <v>182</v>
      </c>
      <c r="F1211" s="384">
        <v>405000</v>
      </c>
      <c r="G1211" s="270">
        <v>190113200</v>
      </c>
      <c r="H1211" s="270"/>
    </row>
    <row r="1212" spans="1:8" x14ac:dyDescent="0.25">
      <c r="A1212" s="257">
        <v>1215</v>
      </c>
      <c r="B1212" s="267">
        <v>1211</v>
      </c>
      <c r="C1212" s="268" t="s">
        <v>2852</v>
      </c>
      <c r="D1212" s="269">
        <v>41878</v>
      </c>
      <c r="E1212" s="270" t="s">
        <v>3227</v>
      </c>
      <c r="F1212" s="384">
        <v>280000</v>
      </c>
      <c r="G1212" s="270">
        <v>100714400</v>
      </c>
      <c r="H1212" s="270"/>
    </row>
    <row r="1213" spans="1:8" x14ac:dyDescent="0.25">
      <c r="A1213" s="257">
        <v>1216</v>
      </c>
      <c r="B1213" s="267">
        <v>1212</v>
      </c>
      <c r="C1213" s="268" t="s">
        <v>899</v>
      </c>
      <c r="D1213" s="269">
        <v>41878</v>
      </c>
      <c r="E1213" s="270" t="s">
        <v>3246</v>
      </c>
      <c r="F1213" s="384">
        <v>186000</v>
      </c>
      <c r="G1213" s="270">
        <v>192005532</v>
      </c>
      <c r="H1213" s="270"/>
    </row>
    <row r="1214" spans="1:8" x14ac:dyDescent="0.25">
      <c r="A1214" s="257">
        <v>1217</v>
      </c>
      <c r="B1214" s="267">
        <v>1213</v>
      </c>
      <c r="C1214" s="268" t="s">
        <v>3101</v>
      </c>
      <c r="D1214" s="269">
        <v>41878</v>
      </c>
      <c r="E1214" s="270" t="s">
        <v>1022</v>
      </c>
      <c r="F1214" s="384">
        <v>34000</v>
      </c>
      <c r="G1214" s="270">
        <v>690591512</v>
      </c>
      <c r="H1214" s="270"/>
    </row>
    <row r="1215" spans="1:8" x14ac:dyDescent="0.25">
      <c r="A1215" s="257">
        <v>1218</v>
      </c>
      <c r="B1215" s="267">
        <v>1214</v>
      </c>
      <c r="C1215" s="268" t="s">
        <v>925</v>
      </c>
      <c r="D1215" s="269">
        <v>41879</v>
      </c>
      <c r="E1215" s="270" t="s">
        <v>4217</v>
      </c>
      <c r="F1215" s="384">
        <v>405000</v>
      </c>
      <c r="G1215" s="270">
        <v>101090386</v>
      </c>
      <c r="H1215" s="270"/>
    </row>
    <row r="1216" spans="1:8" x14ac:dyDescent="0.25">
      <c r="A1216" s="257">
        <v>1219</v>
      </c>
      <c r="B1216" s="267">
        <v>1215</v>
      </c>
      <c r="C1216" s="268" t="s">
        <v>262</v>
      </c>
      <c r="D1216" s="269">
        <v>41879</v>
      </c>
      <c r="E1216" s="270" t="s">
        <v>927</v>
      </c>
      <c r="F1216" s="384">
        <v>160000</v>
      </c>
      <c r="G1216" s="270">
        <v>190454318</v>
      </c>
      <c r="H1216" s="270"/>
    </row>
    <row r="1217" spans="1:8" x14ac:dyDescent="0.25">
      <c r="A1217" s="257">
        <v>1220</v>
      </c>
      <c r="B1217" s="267">
        <v>1216</v>
      </c>
      <c r="C1217" s="268" t="s">
        <v>2858</v>
      </c>
      <c r="D1217" s="269">
        <v>41879</v>
      </c>
      <c r="E1217" s="270" t="s">
        <v>2355</v>
      </c>
      <c r="F1217" s="384">
        <v>186000</v>
      </c>
      <c r="G1217" s="270">
        <v>391200657</v>
      </c>
      <c r="H1217" s="270"/>
    </row>
    <row r="1218" spans="1:8" x14ac:dyDescent="0.25">
      <c r="A1218" s="257">
        <v>1221</v>
      </c>
      <c r="B1218" s="267">
        <v>1217</v>
      </c>
      <c r="C1218" s="268" t="s">
        <v>469</v>
      </c>
      <c r="D1218" s="269">
        <v>41879</v>
      </c>
      <c r="E1218" s="270" t="s">
        <v>2770</v>
      </c>
      <c r="F1218" s="384">
        <v>405000</v>
      </c>
      <c r="G1218" s="270">
        <v>691174355</v>
      </c>
      <c r="H1218" s="270"/>
    </row>
    <row r="1219" spans="1:8" x14ac:dyDescent="0.25">
      <c r="A1219" s="257">
        <v>1222</v>
      </c>
      <c r="B1219" s="267">
        <v>1218</v>
      </c>
      <c r="C1219" s="268" t="s">
        <v>223</v>
      </c>
      <c r="D1219" s="269">
        <v>41879</v>
      </c>
      <c r="E1219" s="270" t="s">
        <v>834</v>
      </c>
      <c r="F1219" s="384">
        <v>93000</v>
      </c>
      <c r="G1219" s="270">
        <v>190465117</v>
      </c>
      <c r="H1219" s="270"/>
    </row>
    <row r="1220" spans="1:8" x14ac:dyDescent="0.25">
      <c r="A1220" s="257">
        <v>1223</v>
      </c>
      <c r="B1220" s="267">
        <v>1219</v>
      </c>
      <c r="C1220" s="268" t="s">
        <v>243</v>
      </c>
      <c r="D1220" s="269">
        <v>41879</v>
      </c>
      <c r="E1220" s="270" t="s">
        <v>1538</v>
      </c>
      <c r="F1220" s="384">
        <v>155000</v>
      </c>
      <c r="G1220" s="270">
        <v>100695342</v>
      </c>
      <c r="H1220" s="270"/>
    </row>
    <row r="1221" spans="1:8" x14ac:dyDescent="0.25">
      <c r="A1221" s="257">
        <v>1224</v>
      </c>
      <c r="B1221" s="267">
        <v>1220</v>
      </c>
      <c r="C1221" s="268" t="s">
        <v>243</v>
      </c>
      <c r="D1221" s="269">
        <v>41879</v>
      </c>
      <c r="E1221" s="270" t="s">
        <v>1538</v>
      </c>
      <c r="F1221" s="384">
        <v>186000</v>
      </c>
      <c r="G1221" s="270">
        <v>100695342</v>
      </c>
      <c r="H1221" s="270"/>
    </row>
    <row r="1222" spans="1:8" x14ac:dyDescent="0.25">
      <c r="A1222" s="257">
        <v>1225</v>
      </c>
      <c r="B1222" s="267">
        <v>1221</v>
      </c>
      <c r="C1222" s="268" t="s">
        <v>243</v>
      </c>
      <c r="D1222" s="269">
        <v>41879</v>
      </c>
      <c r="E1222" s="270" t="s">
        <v>1538</v>
      </c>
      <c r="F1222" s="384">
        <v>223000</v>
      </c>
      <c r="G1222" s="270">
        <v>100695342</v>
      </c>
      <c r="H1222" s="270"/>
    </row>
    <row r="1223" spans="1:8" x14ac:dyDescent="0.25">
      <c r="A1223" s="257">
        <v>1226</v>
      </c>
      <c r="B1223" s="267">
        <v>1222</v>
      </c>
      <c r="C1223" s="268" t="s">
        <v>1786</v>
      </c>
      <c r="D1223" s="269">
        <v>41879</v>
      </c>
      <c r="E1223" s="270" t="s">
        <v>2401</v>
      </c>
      <c r="F1223" s="384">
        <v>405000</v>
      </c>
      <c r="G1223" s="270">
        <v>691509251</v>
      </c>
      <c r="H1223" s="270"/>
    </row>
    <row r="1224" spans="1:8" x14ac:dyDescent="0.25">
      <c r="A1224" s="257">
        <v>1227</v>
      </c>
      <c r="B1224" s="267">
        <v>1223</v>
      </c>
      <c r="C1224" s="268" t="s">
        <v>1691</v>
      </c>
      <c r="D1224" s="269">
        <v>41879</v>
      </c>
      <c r="E1224" s="270" t="s">
        <v>998</v>
      </c>
      <c r="F1224" s="384">
        <v>150000</v>
      </c>
      <c r="G1224" s="270">
        <v>690820813</v>
      </c>
      <c r="H1224" s="270"/>
    </row>
    <row r="1225" spans="1:8" x14ac:dyDescent="0.25">
      <c r="A1225" s="257">
        <v>1228</v>
      </c>
      <c r="B1225" s="267">
        <v>1224</v>
      </c>
      <c r="C1225" s="268" t="s">
        <v>159</v>
      </c>
      <c r="D1225" s="269">
        <v>41880</v>
      </c>
      <c r="E1225" s="270" t="s">
        <v>1684</v>
      </c>
      <c r="F1225" s="384">
        <v>223000</v>
      </c>
      <c r="G1225" s="270">
        <v>100819821</v>
      </c>
      <c r="H1225" s="270"/>
    </row>
    <row r="1226" spans="1:8" x14ac:dyDescent="0.25">
      <c r="A1226" s="257">
        <v>1229</v>
      </c>
      <c r="B1226" s="267">
        <v>1225</v>
      </c>
      <c r="C1226" s="268" t="s">
        <v>887</v>
      </c>
      <c r="D1226" s="269">
        <v>41880</v>
      </c>
      <c r="E1226" s="270" t="s">
        <v>2831</v>
      </c>
      <c r="F1226" s="384">
        <v>405000</v>
      </c>
      <c r="G1226" s="270">
        <v>191604225</v>
      </c>
      <c r="H1226" s="270"/>
    </row>
    <row r="1227" spans="1:8" x14ac:dyDescent="0.25">
      <c r="A1227" s="257">
        <v>1230</v>
      </c>
      <c r="B1227" s="267">
        <v>1226</v>
      </c>
      <c r="C1227" s="268" t="s">
        <v>842</v>
      </c>
      <c r="D1227" s="269">
        <v>41880</v>
      </c>
      <c r="E1227" s="270" t="s">
        <v>3293</v>
      </c>
      <c r="F1227" s="384">
        <v>405000</v>
      </c>
      <c r="G1227" s="270">
        <v>100024394</v>
      </c>
      <c r="H1227" s="270"/>
    </row>
    <row r="1228" spans="1:8" x14ac:dyDescent="0.25">
      <c r="A1228" s="257">
        <v>1231</v>
      </c>
      <c r="B1228" s="267">
        <v>1227</v>
      </c>
      <c r="C1228" s="268" t="s">
        <v>3614</v>
      </c>
      <c r="D1228" s="269">
        <v>41880</v>
      </c>
      <c r="E1228" s="270" t="s">
        <v>3295</v>
      </c>
      <c r="F1228" s="384">
        <v>405000</v>
      </c>
      <c r="G1228" s="270">
        <v>100921458</v>
      </c>
      <c r="H1228" s="270"/>
    </row>
    <row r="1229" spans="1:8" x14ac:dyDescent="0.25">
      <c r="A1229" s="257">
        <v>1232</v>
      </c>
      <c r="B1229" s="267">
        <v>1228</v>
      </c>
      <c r="C1229" s="268" t="s">
        <v>207</v>
      </c>
      <c r="D1229" s="269">
        <v>41880</v>
      </c>
      <c r="E1229" s="270" t="s">
        <v>968</v>
      </c>
      <c r="F1229" s="384">
        <v>29000</v>
      </c>
      <c r="G1229" s="270">
        <v>191731799</v>
      </c>
      <c r="H1229" s="270"/>
    </row>
    <row r="1230" spans="1:8" x14ac:dyDescent="0.25">
      <c r="A1230" s="257">
        <v>1233</v>
      </c>
      <c r="B1230" s="267">
        <v>1229</v>
      </c>
      <c r="C1230" s="268" t="s">
        <v>2360</v>
      </c>
      <c r="D1230" s="269">
        <v>41880</v>
      </c>
      <c r="E1230" s="270" t="s">
        <v>1807</v>
      </c>
      <c r="F1230" s="384">
        <v>186000</v>
      </c>
      <c r="G1230" s="270">
        <v>101277625</v>
      </c>
      <c r="H1230" s="270"/>
    </row>
    <row r="1231" spans="1:8" x14ac:dyDescent="0.25">
      <c r="A1231" s="257">
        <v>1234</v>
      </c>
      <c r="B1231" s="267">
        <v>1230</v>
      </c>
      <c r="C1231" s="268" t="s">
        <v>137</v>
      </c>
      <c r="D1231" s="269">
        <v>41883</v>
      </c>
      <c r="E1231" s="270" t="s">
        <v>405</v>
      </c>
      <c r="F1231" s="384">
        <v>198000</v>
      </c>
      <c r="G1231" s="270">
        <v>190778354</v>
      </c>
      <c r="H1231" s="270"/>
    </row>
    <row r="1232" spans="1:8" x14ac:dyDescent="0.25">
      <c r="A1232" s="257">
        <v>1235</v>
      </c>
      <c r="B1232" s="267">
        <v>1231</v>
      </c>
      <c r="C1232" s="268" t="s">
        <v>1526</v>
      </c>
      <c r="D1232" s="269">
        <v>41883</v>
      </c>
      <c r="E1232" s="270" t="s">
        <v>385</v>
      </c>
      <c r="F1232" s="384">
        <v>160000</v>
      </c>
      <c r="G1232" s="270">
        <v>191424853</v>
      </c>
      <c r="H1232" s="270"/>
    </row>
    <row r="1233" spans="1:8" x14ac:dyDescent="0.25">
      <c r="A1233" s="257">
        <v>1236</v>
      </c>
      <c r="B1233" s="267">
        <v>1232</v>
      </c>
      <c r="C1233" s="268" t="s">
        <v>2787</v>
      </c>
      <c r="D1233" s="269">
        <v>41883</v>
      </c>
      <c r="E1233" s="270" t="s">
        <v>2414</v>
      </c>
      <c r="F1233" s="384">
        <v>435000</v>
      </c>
      <c r="G1233" s="270">
        <v>601070397</v>
      </c>
      <c r="H1233" s="270"/>
    </row>
    <row r="1234" spans="1:8" x14ac:dyDescent="0.25">
      <c r="A1234" s="257">
        <v>1237</v>
      </c>
      <c r="B1234" s="267">
        <v>1233</v>
      </c>
      <c r="C1234" s="268" t="s">
        <v>2405</v>
      </c>
      <c r="D1234" s="269">
        <v>41883</v>
      </c>
      <c r="E1234" s="270" t="s">
        <v>1944</v>
      </c>
      <c r="F1234" s="384">
        <v>240000</v>
      </c>
      <c r="G1234" s="270">
        <v>100345799</v>
      </c>
      <c r="H1234" s="270"/>
    </row>
    <row r="1235" spans="1:8" x14ac:dyDescent="0.25">
      <c r="A1235" s="257">
        <v>1238</v>
      </c>
      <c r="B1235" s="267">
        <v>1234</v>
      </c>
      <c r="C1235" s="268" t="s">
        <v>2166</v>
      </c>
      <c r="D1235" s="269">
        <v>41884</v>
      </c>
      <c r="E1235" s="270" t="s">
        <v>1685</v>
      </c>
      <c r="F1235" s="384">
        <v>870000</v>
      </c>
      <c r="G1235" s="270">
        <v>100315326</v>
      </c>
      <c r="H1235" s="270"/>
    </row>
    <row r="1236" spans="1:8" x14ac:dyDescent="0.25">
      <c r="A1236" s="257">
        <v>1239</v>
      </c>
      <c r="B1236" s="267">
        <v>1235</v>
      </c>
      <c r="C1236" s="268" t="s">
        <v>2363</v>
      </c>
      <c r="D1236" s="269">
        <v>41884</v>
      </c>
      <c r="E1236" s="270" t="s">
        <v>2633</v>
      </c>
      <c r="F1236" s="384">
        <v>1835000</v>
      </c>
      <c r="G1236" s="270">
        <v>100320382</v>
      </c>
      <c r="H1236" s="270"/>
    </row>
    <row r="1237" spans="1:8" x14ac:dyDescent="0.25">
      <c r="A1237" s="257">
        <v>1240</v>
      </c>
      <c r="B1237" s="267">
        <v>1236</v>
      </c>
      <c r="C1237" s="268" t="s">
        <v>689</v>
      </c>
      <c r="D1237" s="269">
        <v>41884</v>
      </c>
      <c r="E1237" s="270" t="s">
        <v>975</v>
      </c>
      <c r="F1237" s="384">
        <v>213000</v>
      </c>
      <c r="G1237" s="270">
        <v>100643195</v>
      </c>
      <c r="H1237" s="270"/>
    </row>
    <row r="1238" spans="1:8" x14ac:dyDescent="0.25">
      <c r="A1238" s="257">
        <v>1241</v>
      </c>
      <c r="B1238" s="267">
        <v>1237</v>
      </c>
      <c r="C1238" s="268" t="s">
        <v>4201</v>
      </c>
      <c r="D1238" s="269">
        <v>41884</v>
      </c>
      <c r="E1238" s="270" t="s">
        <v>349</v>
      </c>
      <c r="F1238" s="384">
        <v>435000</v>
      </c>
      <c r="G1238" s="270">
        <v>690604750</v>
      </c>
      <c r="H1238" s="270"/>
    </row>
    <row r="1239" spans="1:8" x14ac:dyDescent="0.25">
      <c r="A1239" s="257">
        <v>1242</v>
      </c>
      <c r="B1239" s="267">
        <v>1238</v>
      </c>
      <c r="C1239" s="268" t="s">
        <v>2963</v>
      </c>
      <c r="D1239" s="269">
        <v>41884</v>
      </c>
      <c r="E1239" s="270" t="s">
        <v>2666</v>
      </c>
      <c r="F1239" s="384">
        <v>280000</v>
      </c>
      <c r="G1239" s="270">
        <v>691314513</v>
      </c>
      <c r="H1239" s="270"/>
    </row>
    <row r="1240" spans="1:8" x14ac:dyDescent="0.25">
      <c r="A1240" s="257">
        <v>1243</v>
      </c>
      <c r="B1240" s="267">
        <v>1239</v>
      </c>
      <c r="C1240" s="268" t="s">
        <v>3520</v>
      </c>
      <c r="D1240" s="269">
        <v>41884</v>
      </c>
      <c r="E1240" s="270" t="s">
        <v>911</v>
      </c>
      <c r="F1240" s="384">
        <v>280000</v>
      </c>
      <c r="G1240" s="270">
        <v>191224163</v>
      </c>
      <c r="H1240" s="270"/>
    </row>
    <row r="1241" spans="1:8" x14ac:dyDescent="0.25">
      <c r="A1241" s="257">
        <v>1244</v>
      </c>
      <c r="B1241" s="267">
        <v>1240</v>
      </c>
      <c r="C1241" s="268" t="s">
        <v>1621</v>
      </c>
      <c r="D1241" s="269">
        <v>41884</v>
      </c>
      <c r="E1241" s="270" t="s">
        <v>972</v>
      </c>
      <c r="F1241" s="384">
        <v>280000</v>
      </c>
      <c r="G1241" s="270">
        <v>191489486</v>
      </c>
      <c r="H1241" s="270"/>
    </row>
    <row r="1242" spans="1:8" x14ac:dyDescent="0.25">
      <c r="A1242" s="257">
        <v>1245</v>
      </c>
      <c r="B1242" s="267">
        <v>1241</v>
      </c>
      <c r="C1242" s="268" t="s">
        <v>2095</v>
      </c>
      <c r="D1242" s="269">
        <v>41884</v>
      </c>
      <c r="E1242" s="270" t="s">
        <v>2859</v>
      </c>
      <c r="F1242" s="384">
        <v>840000</v>
      </c>
      <c r="G1242" s="270">
        <v>100261801</v>
      </c>
      <c r="H1242" s="270"/>
    </row>
    <row r="1243" spans="1:8" x14ac:dyDescent="0.25">
      <c r="A1243" s="257">
        <v>1246</v>
      </c>
      <c r="B1243" s="267">
        <v>1242</v>
      </c>
      <c r="C1243" s="268" t="s">
        <v>2143</v>
      </c>
      <c r="D1243" s="269">
        <v>41884</v>
      </c>
      <c r="E1243" s="270" t="s">
        <v>1927</v>
      </c>
      <c r="F1243" s="384">
        <v>240000</v>
      </c>
      <c r="G1243" s="270">
        <v>190032958</v>
      </c>
      <c r="H1243" s="270"/>
    </row>
    <row r="1244" spans="1:8" x14ac:dyDescent="0.25">
      <c r="A1244" s="257">
        <v>1247</v>
      </c>
      <c r="B1244" s="267">
        <v>1243</v>
      </c>
      <c r="C1244" s="268" t="s">
        <v>2645</v>
      </c>
      <c r="D1244" s="269">
        <v>41884</v>
      </c>
      <c r="E1244" s="270" t="s">
        <v>239</v>
      </c>
      <c r="F1244" s="384">
        <v>435000</v>
      </c>
      <c r="G1244" s="270">
        <v>101139097</v>
      </c>
      <c r="H1244" s="270"/>
    </row>
    <row r="1245" spans="1:8" x14ac:dyDescent="0.25">
      <c r="A1245" s="257">
        <v>1248</v>
      </c>
      <c r="B1245" s="267">
        <v>1244</v>
      </c>
      <c r="C1245" s="268" t="s">
        <v>1526</v>
      </c>
      <c r="D1245" s="269">
        <v>41885</v>
      </c>
      <c r="E1245" s="270" t="s">
        <v>385</v>
      </c>
      <c r="F1245" s="384">
        <v>63000</v>
      </c>
      <c r="G1245" s="270">
        <v>191424853</v>
      </c>
      <c r="H1245" s="270"/>
    </row>
    <row r="1246" spans="1:8" x14ac:dyDescent="0.25">
      <c r="A1246" s="257">
        <v>1249</v>
      </c>
      <c r="B1246" s="267">
        <v>1245</v>
      </c>
      <c r="C1246" s="268" t="s">
        <v>2658</v>
      </c>
      <c r="D1246" s="269">
        <v>41885</v>
      </c>
      <c r="E1246" s="270" t="s">
        <v>2749</v>
      </c>
      <c r="F1246" s="384">
        <v>198000</v>
      </c>
      <c r="G1246" s="270">
        <v>101547202</v>
      </c>
      <c r="H1246" s="270"/>
    </row>
    <row r="1247" spans="1:8" x14ac:dyDescent="0.25">
      <c r="A1247" s="257">
        <v>1250</v>
      </c>
      <c r="B1247" s="267">
        <v>1246</v>
      </c>
      <c r="C1247" s="268" t="s">
        <v>334</v>
      </c>
      <c r="D1247" s="269">
        <v>41885</v>
      </c>
      <c r="E1247" s="270" t="s">
        <v>1694</v>
      </c>
      <c r="F1247" s="384">
        <v>155000</v>
      </c>
      <c r="G1247" s="270">
        <v>101392173</v>
      </c>
      <c r="H1247" s="270"/>
    </row>
    <row r="1248" spans="1:8" x14ac:dyDescent="0.25">
      <c r="A1248" s="257">
        <v>1251</v>
      </c>
      <c r="B1248" s="267">
        <v>1247</v>
      </c>
      <c r="C1248" s="268" t="s">
        <v>256</v>
      </c>
      <c r="D1248" s="269">
        <v>41885</v>
      </c>
      <c r="E1248" s="270" t="s">
        <v>2967</v>
      </c>
      <c r="F1248" s="384">
        <v>198000</v>
      </c>
      <c r="G1248" s="270">
        <v>100875153</v>
      </c>
      <c r="H1248" s="270"/>
    </row>
    <row r="1249" spans="1:8" x14ac:dyDescent="0.25">
      <c r="A1249" s="257">
        <v>1252</v>
      </c>
      <c r="B1249" s="267">
        <v>1248</v>
      </c>
      <c r="C1249" s="268" t="s">
        <v>2751</v>
      </c>
      <c r="D1249" s="269">
        <v>41886</v>
      </c>
      <c r="E1249" s="270" t="s">
        <v>449</v>
      </c>
      <c r="F1249" s="384">
        <v>2765000</v>
      </c>
      <c r="G1249" s="270">
        <v>100025732</v>
      </c>
      <c r="H1249" s="270"/>
    </row>
    <row r="1250" spans="1:8" x14ac:dyDescent="0.25">
      <c r="A1250" s="257">
        <v>1253</v>
      </c>
      <c r="B1250" s="267">
        <v>1249</v>
      </c>
      <c r="C1250" s="268" t="s">
        <v>3308</v>
      </c>
      <c r="D1250" s="269">
        <v>41886</v>
      </c>
      <c r="E1250" s="270" t="s">
        <v>2851</v>
      </c>
      <c r="F1250" s="384">
        <v>435000</v>
      </c>
      <c r="G1250" s="270">
        <v>691463537</v>
      </c>
      <c r="H1250" s="270"/>
    </row>
    <row r="1251" spans="1:8" x14ac:dyDescent="0.25">
      <c r="A1251" s="257">
        <v>1254</v>
      </c>
      <c r="B1251" s="267">
        <v>1250</v>
      </c>
      <c r="C1251" s="268" t="s">
        <v>1858</v>
      </c>
      <c r="D1251" s="269">
        <v>41886</v>
      </c>
      <c r="E1251" s="270" t="s">
        <v>3263</v>
      </c>
      <c r="F1251" s="384">
        <v>435000</v>
      </c>
      <c r="G1251" s="270">
        <v>101579104</v>
      </c>
      <c r="H1251" s="270"/>
    </row>
    <row r="1252" spans="1:8" x14ac:dyDescent="0.25">
      <c r="A1252" s="257">
        <v>1255</v>
      </c>
      <c r="B1252" s="267">
        <v>1251</v>
      </c>
      <c r="C1252" s="268" t="s">
        <v>313</v>
      </c>
      <c r="D1252" s="269">
        <v>41886</v>
      </c>
      <c r="E1252" s="270" t="s">
        <v>3778</v>
      </c>
      <c r="F1252" s="384">
        <v>198000</v>
      </c>
      <c r="G1252" s="270">
        <v>191486288</v>
      </c>
      <c r="H1252" s="270"/>
    </row>
    <row r="1253" spans="1:8" x14ac:dyDescent="0.25">
      <c r="A1253" s="257">
        <v>1256</v>
      </c>
      <c r="B1253" s="267">
        <v>1252</v>
      </c>
      <c r="C1253" s="268" t="s">
        <v>265</v>
      </c>
      <c r="D1253" s="269">
        <v>41886</v>
      </c>
      <c r="E1253" s="270" t="s">
        <v>450</v>
      </c>
      <c r="F1253" s="384">
        <v>435000</v>
      </c>
      <c r="G1253" s="270">
        <v>100468996</v>
      </c>
      <c r="H1253" s="270"/>
    </row>
    <row r="1254" spans="1:8" x14ac:dyDescent="0.25">
      <c r="A1254" s="257">
        <v>1257</v>
      </c>
      <c r="B1254" s="267">
        <v>1253</v>
      </c>
      <c r="C1254" s="268" t="s">
        <v>2751</v>
      </c>
      <c r="D1254" s="269">
        <v>41886</v>
      </c>
      <c r="E1254" s="270" t="s">
        <v>449</v>
      </c>
      <c r="F1254" s="384">
        <v>63000</v>
      </c>
      <c r="G1254" s="270">
        <v>100025732</v>
      </c>
      <c r="H1254" s="270"/>
    </row>
    <row r="1255" spans="1:8" x14ac:dyDescent="0.25">
      <c r="A1255" s="257">
        <v>1258</v>
      </c>
      <c r="B1255" s="267">
        <v>1254</v>
      </c>
      <c r="C1255" s="268" t="s">
        <v>976</v>
      </c>
      <c r="D1255" s="269">
        <v>41886</v>
      </c>
      <c r="E1255" s="270" t="s">
        <v>1542</v>
      </c>
      <c r="F1255" s="384">
        <v>435000</v>
      </c>
      <c r="G1255" s="270">
        <v>101308387</v>
      </c>
      <c r="H1255" s="270"/>
    </row>
    <row r="1256" spans="1:8" x14ac:dyDescent="0.25">
      <c r="A1256" s="257">
        <v>1259</v>
      </c>
      <c r="B1256" s="267">
        <v>1255</v>
      </c>
      <c r="C1256" s="268" t="s">
        <v>1131</v>
      </c>
      <c r="D1256" s="269">
        <v>41886</v>
      </c>
      <c r="E1256" s="270" t="s">
        <v>332</v>
      </c>
      <c r="F1256" s="384">
        <v>160000</v>
      </c>
      <c r="G1256" s="270">
        <v>600004178</v>
      </c>
      <c r="H1256" s="270"/>
    </row>
    <row r="1257" spans="1:8" x14ac:dyDescent="0.25">
      <c r="A1257" s="257">
        <v>1260</v>
      </c>
      <c r="B1257" s="267">
        <v>1256</v>
      </c>
      <c r="C1257" s="268" t="s">
        <v>3864</v>
      </c>
      <c r="D1257" s="269">
        <v>41887</v>
      </c>
      <c r="E1257" s="270" t="s">
        <v>906</v>
      </c>
      <c r="F1257" s="384">
        <v>198000</v>
      </c>
      <c r="G1257" s="270">
        <v>100348119</v>
      </c>
      <c r="H1257" s="270"/>
    </row>
    <row r="1258" spans="1:8" x14ac:dyDescent="0.25">
      <c r="A1258" s="257">
        <v>1261</v>
      </c>
      <c r="B1258" s="267">
        <v>1257</v>
      </c>
      <c r="C1258" s="268" t="s">
        <v>496</v>
      </c>
      <c r="D1258" s="269">
        <v>41887</v>
      </c>
      <c r="E1258" s="270" t="s">
        <v>864</v>
      </c>
      <c r="F1258" s="384">
        <v>160000</v>
      </c>
      <c r="G1258" s="270">
        <v>191117696</v>
      </c>
      <c r="H1258" s="270"/>
    </row>
    <row r="1259" spans="1:8" x14ac:dyDescent="0.25">
      <c r="A1259" s="257">
        <v>1262</v>
      </c>
      <c r="B1259" s="267">
        <v>1258</v>
      </c>
      <c r="C1259" s="268" t="s">
        <v>842</v>
      </c>
      <c r="D1259" s="269">
        <v>41887</v>
      </c>
      <c r="E1259" s="270" t="s">
        <v>3293</v>
      </c>
      <c r="F1259" s="384">
        <v>435000</v>
      </c>
      <c r="G1259" s="270">
        <v>100024394</v>
      </c>
      <c r="H1259" s="270"/>
    </row>
    <row r="1260" spans="1:8" x14ac:dyDescent="0.25">
      <c r="A1260" s="257">
        <v>1263</v>
      </c>
      <c r="B1260" s="267">
        <v>1259</v>
      </c>
      <c r="C1260" s="268" t="s">
        <v>1658</v>
      </c>
      <c r="D1260" s="269">
        <v>41890</v>
      </c>
      <c r="E1260" s="270" t="s">
        <v>825</v>
      </c>
      <c r="F1260" s="384">
        <v>435000</v>
      </c>
      <c r="G1260" s="270">
        <v>100951254</v>
      </c>
      <c r="H1260" s="270"/>
    </row>
    <row r="1261" spans="1:8" x14ac:dyDescent="0.25">
      <c r="A1261" s="257">
        <v>1264</v>
      </c>
      <c r="B1261" s="267">
        <v>1260</v>
      </c>
      <c r="C1261" s="268" t="s">
        <v>3776</v>
      </c>
      <c r="D1261" s="269">
        <v>41890</v>
      </c>
      <c r="E1261" s="270" t="s">
        <v>182</v>
      </c>
      <c r="F1261" s="384">
        <v>870000</v>
      </c>
      <c r="G1261" s="270">
        <v>190113200</v>
      </c>
      <c r="H1261" s="270"/>
    </row>
    <row r="1262" spans="1:8" x14ac:dyDescent="0.25">
      <c r="A1262" s="257">
        <v>1265</v>
      </c>
      <c r="B1262" s="267">
        <v>1261</v>
      </c>
      <c r="C1262" s="268" t="s">
        <v>196</v>
      </c>
      <c r="D1262" s="269">
        <v>41891</v>
      </c>
      <c r="E1262" s="270" t="s">
        <v>3110</v>
      </c>
      <c r="F1262" s="384">
        <v>870000</v>
      </c>
      <c r="G1262" s="270">
        <v>101538513</v>
      </c>
      <c r="H1262" s="270"/>
    </row>
    <row r="1263" spans="1:8" x14ac:dyDescent="0.25">
      <c r="A1263" s="257">
        <v>1266</v>
      </c>
      <c r="B1263" s="267">
        <v>1262</v>
      </c>
      <c r="C1263" s="268" t="s">
        <v>2143</v>
      </c>
      <c r="D1263" s="269">
        <v>41891</v>
      </c>
      <c r="E1263" s="270" t="s">
        <v>1927</v>
      </c>
      <c r="F1263" s="384">
        <v>36000</v>
      </c>
      <c r="G1263" s="270">
        <v>190032958</v>
      </c>
      <c r="H1263" s="270"/>
    </row>
    <row r="1264" spans="1:8" x14ac:dyDescent="0.25">
      <c r="A1264" s="257">
        <v>1267</v>
      </c>
      <c r="B1264" s="267">
        <v>1263</v>
      </c>
      <c r="C1264" s="268" t="s">
        <v>67</v>
      </c>
      <c r="D1264" s="269">
        <v>41891</v>
      </c>
      <c r="E1264" s="270" t="s">
        <v>914</v>
      </c>
      <c r="F1264" s="384">
        <v>1740000</v>
      </c>
      <c r="G1264" s="270">
        <v>190114911</v>
      </c>
      <c r="H1264" s="270"/>
    </row>
    <row r="1265" spans="1:8" x14ac:dyDescent="0.25">
      <c r="A1265" s="257">
        <v>1268</v>
      </c>
      <c r="B1265" s="267">
        <v>1264</v>
      </c>
      <c r="C1265" s="268" t="s">
        <v>1124</v>
      </c>
      <c r="D1265" s="269">
        <v>41891</v>
      </c>
      <c r="E1265" s="270" t="s">
        <v>226</v>
      </c>
      <c r="F1265" s="384">
        <v>435000</v>
      </c>
      <c r="G1265" s="270">
        <v>190654467</v>
      </c>
      <c r="H1265" s="270"/>
    </row>
    <row r="1266" spans="1:8" x14ac:dyDescent="0.25">
      <c r="A1266" s="257">
        <v>1269</v>
      </c>
      <c r="B1266" s="267">
        <v>1265</v>
      </c>
      <c r="C1266" s="268" t="s">
        <v>1917</v>
      </c>
      <c r="D1266" s="269">
        <v>41891</v>
      </c>
      <c r="E1266" s="270" t="s">
        <v>874</v>
      </c>
      <c r="F1266" s="384">
        <v>435000</v>
      </c>
      <c r="G1266" s="270">
        <v>191360926</v>
      </c>
      <c r="H1266" s="270"/>
    </row>
    <row r="1267" spans="1:8" x14ac:dyDescent="0.25">
      <c r="A1267" s="257">
        <v>1270</v>
      </c>
      <c r="B1267" s="267">
        <v>1266</v>
      </c>
      <c r="C1267" s="268" t="s">
        <v>3768</v>
      </c>
      <c r="D1267" s="269">
        <v>41891</v>
      </c>
      <c r="E1267" s="270" t="s">
        <v>2972</v>
      </c>
      <c r="F1267" s="384">
        <v>165000</v>
      </c>
      <c r="G1267" s="270">
        <v>691605938</v>
      </c>
      <c r="H1267" s="270"/>
    </row>
    <row r="1268" spans="1:8" x14ac:dyDescent="0.25">
      <c r="A1268" s="257">
        <v>1271</v>
      </c>
      <c r="B1268" s="267">
        <v>1267</v>
      </c>
      <c r="C1268" s="268" t="s">
        <v>414</v>
      </c>
      <c r="D1268" s="269">
        <v>41891</v>
      </c>
      <c r="E1268" s="270" t="s">
        <v>3629</v>
      </c>
      <c r="F1268" s="384">
        <v>435000</v>
      </c>
      <c r="G1268" s="270">
        <v>100286955</v>
      </c>
      <c r="H1268" s="270"/>
    </row>
    <row r="1269" spans="1:8" x14ac:dyDescent="0.25">
      <c r="A1269" s="257">
        <v>1272</v>
      </c>
      <c r="B1269" s="267">
        <v>1268</v>
      </c>
      <c r="C1269" s="268" t="s">
        <v>2605</v>
      </c>
      <c r="D1269" s="269">
        <v>41891</v>
      </c>
      <c r="E1269" s="270" t="s">
        <v>3604</v>
      </c>
      <c r="F1269" s="384">
        <v>198000</v>
      </c>
      <c r="G1269" s="270">
        <v>100088681</v>
      </c>
      <c r="H1269" s="270"/>
    </row>
    <row r="1270" spans="1:8" x14ac:dyDescent="0.25">
      <c r="A1270" s="257">
        <v>1273</v>
      </c>
      <c r="B1270" s="267">
        <v>1269</v>
      </c>
      <c r="C1270" s="268" t="s">
        <v>3133</v>
      </c>
      <c r="D1270" s="269">
        <v>41891</v>
      </c>
      <c r="E1270" s="270" t="s">
        <v>3587</v>
      </c>
      <c r="F1270" s="384">
        <v>435000</v>
      </c>
      <c r="G1270" s="270">
        <v>101254783</v>
      </c>
      <c r="H1270" s="270"/>
    </row>
    <row r="1271" spans="1:8" x14ac:dyDescent="0.25">
      <c r="A1271" s="257">
        <v>1274</v>
      </c>
      <c r="B1271" s="267">
        <v>1270</v>
      </c>
      <c r="C1271" s="268" t="s">
        <v>160</v>
      </c>
      <c r="D1271" s="269">
        <v>41891</v>
      </c>
      <c r="E1271" s="270" t="s">
        <v>851</v>
      </c>
      <c r="F1271" s="384">
        <v>160000</v>
      </c>
      <c r="G1271" s="270">
        <v>190587716</v>
      </c>
      <c r="H1271" s="270"/>
    </row>
    <row r="1272" spans="1:8" x14ac:dyDescent="0.25">
      <c r="A1272" s="257">
        <v>1275</v>
      </c>
      <c r="B1272" s="267">
        <v>1271</v>
      </c>
      <c r="C1272" s="268" t="s">
        <v>2683</v>
      </c>
      <c r="D1272" s="269">
        <v>41892</v>
      </c>
      <c r="E1272" s="270" t="s">
        <v>4190</v>
      </c>
      <c r="F1272" s="384">
        <v>198000</v>
      </c>
      <c r="G1272" s="270">
        <v>800001184</v>
      </c>
      <c r="H1272" s="270"/>
    </row>
    <row r="1273" spans="1:8" x14ac:dyDescent="0.25">
      <c r="A1273" s="257">
        <v>1276</v>
      </c>
      <c r="B1273" s="267">
        <v>1272</v>
      </c>
      <c r="C1273" s="268" t="s">
        <v>2143</v>
      </c>
      <c r="D1273" s="269">
        <v>41892</v>
      </c>
      <c r="E1273" s="270" t="s">
        <v>1927</v>
      </c>
      <c r="F1273" s="384">
        <v>280000</v>
      </c>
      <c r="G1273" s="270">
        <v>190032958</v>
      </c>
      <c r="H1273" s="270"/>
    </row>
    <row r="1274" spans="1:8" x14ac:dyDescent="0.25">
      <c r="A1274" s="257">
        <v>1277</v>
      </c>
      <c r="B1274" s="267">
        <v>1273</v>
      </c>
      <c r="C1274" s="268" t="s">
        <v>925</v>
      </c>
      <c r="D1274" s="269">
        <v>41892</v>
      </c>
      <c r="E1274" s="270" t="s">
        <v>4217</v>
      </c>
      <c r="F1274" s="384">
        <v>99000</v>
      </c>
      <c r="G1274" s="270">
        <v>101090386</v>
      </c>
      <c r="H1274" s="270"/>
    </row>
    <row r="1275" spans="1:8" x14ac:dyDescent="0.25">
      <c r="A1275" s="257">
        <v>1278</v>
      </c>
      <c r="B1275" s="267">
        <v>1274</v>
      </c>
      <c r="C1275" s="268" t="s">
        <v>2658</v>
      </c>
      <c r="D1275" s="269">
        <v>41892</v>
      </c>
      <c r="E1275" s="270" t="s">
        <v>2749</v>
      </c>
      <c r="F1275" s="384">
        <v>31000</v>
      </c>
      <c r="G1275" s="270">
        <v>101547202</v>
      </c>
      <c r="H1275" s="270"/>
    </row>
    <row r="1276" spans="1:8" x14ac:dyDescent="0.25">
      <c r="A1276" s="257">
        <v>1279</v>
      </c>
      <c r="B1276" s="267">
        <v>1275</v>
      </c>
      <c r="C1276" s="268" t="s">
        <v>3648</v>
      </c>
      <c r="D1276" s="269">
        <v>41892</v>
      </c>
      <c r="E1276" s="270" t="s">
        <v>3271</v>
      </c>
      <c r="F1276" s="384">
        <v>800000</v>
      </c>
      <c r="G1276" s="270">
        <v>191307958</v>
      </c>
      <c r="H1276" s="270"/>
    </row>
    <row r="1277" spans="1:8" x14ac:dyDescent="0.25">
      <c r="A1277" s="257">
        <v>1280</v>
      </c>
      <c r="B1277" s="267">
        <v>1276</v>
      </c>
      <c r="C1277" s="268" t="s">
        <v>808</v>
      </c>
      <c r="D1277" s="269">
        <v>41892</v>
      </c>
      <c r="E1277" s="270" t="s">
        <v>807</v>
      </c>
      <c r="F1277" s="384">
        <v>165000</v>
      </c>
      <c r="G1277" s="270">
        <v>690711519</v>
      </c>
      <c r="H1277" s="270"/>
    </row>
    <row r="1278" spans="1:8" x14ac:dyDescent="0.25">
      <c r="A1278" s="257">
        <v>1281</v>
      </c>
      <c r="B1278" s="267">
        <v>1277</v>
      </c>
      <c r="C1278" s="268" t="s">
        <v>199</v>
      </c>
      <c r="D1278" s="269">
        <v>41892</v>
      </c>
      <c r="E1278" s="270" t="s">
        <v>2826</v>
      </c>
      <c r="F1278" s="384">
        <v>435000</v>
      </c>
      <c r="G1278" s="270">
        <v>101117856</v>
      </c>
      <c r="H1278" s="270"/>
    </row>
    <row r="1279" spans="1:8" x14ac:dyDescent="0.25">
      <c r="A1279" s="257">
        <v>1282</v>
      </c>
      <c r="B1279" s="267">
        <v>1278</v>
      </c>
      <c r="C1279" s="268" t="s">
        <v>2369</v>
      </c>
      <c r="D1279" s="269">
        <v>41892</v>
      </c>
      <c r="E1279" s="270" t="s">
        <v>515</v>
      </c>
      <c r="F1279" s="384">
        <v>675000</v>
      </c>
      <c r="G1279" s="270">
        <v>690387347</v>
      </c>
      <c r="H1279" s="270"/>
    </row>
    <row r="1280" spans="1:8" x14ac:dyDescent="0.25">
      <c r="A1280" s="257">
        <v>1283</v>
      </c>
      <c r="B1280" s="267">
        <v>1279</v>
      </c>
      <c r="C1280" s="268" t="s">
        <v>2959</v>
      </c>
      <c r="D1280" s="269">
        <v>41892</v>
      </c>
      <c r="E1280" s="270" t="s">
        <v>726</v>
      </c>
      <c r="F1280" s="384">
        <v>280000</v>
      </c>
      <c r="G1280" s="270">
        <v>100211261</v>
      </c>
      <c r="H1280" s="270"/>
    </row>
    <row r="1281" spans="1:8" x14ac:dyDescent="0.25">
      <c r="A1281" s="257">
        <v>1284</v>
      </c>
      <c r="B1281" s="267">
        <v>1280</v>
      </c>
      <c r="C1281" s="268" t="s">
        <v>196</v>
      </c>
      <c r="D1281" s="269">
        <v>41892</v>
      </c>
      <c r="E1281" s="270" t="s">
        <v>3110</v>
      </c>
      <c r="F1281" s="384">
        <v>870000</v>
      </c>
      <c r="G1281" s="270">
        <v>101538513</v>
      </c>
      <c r="H1281" s="270"/>
    </row>
    <row r="1282" spans="1:8" x14ac:dyDescent="0.25">
      <c r="A1282" s="257">
        <v>1285</v>
      </c>
      <c r="B1282" s="267">
        <v>1281</v>
      </c>
      <c r="C1282" s="268" t="s">
        <v>1613</v>
      </c>
      <c r="D1282" s="269">
        <v>41892</v>
      </c>
      <c r="E1282" s="270" t="s">
        <v>514</v>
      </c>
      <c r="F1282" s="384">
        <v>240000</v>
      </c>
      <c r="G1282" s="270">
        <v>190273406</v>
      </c>
      <c r="H1282" s="270"/>
    </row>
    <row r="1283" spans="1:8" x14ac:dyDescent="0.25">
      <c r="A1283" s="257">
        <v>1286</v>
      </c>
      <c r="B1283" s="267">
        <v>1282</v>
      </c>
      <c r="C1283" s="268" t="s">
        <v>51</v>
      </c>
      <c r="D1283" s="269">
        <v>41893</v>
      </c>
      <c r="E1283" s="270" t="s">
        <v>2439</v>
      </c>
      <c r="F1283" s="384">
        <v>2800000</v>
      </c>
      <c r="G1283" s="270">
        <v>101844835</v>
      </c>
      <c r="H1283" s="270"/>
    </row>
    <row r="1284" spans="1:8" x14ac:dyDescent="0.25">
      <c r="A1284" s="257">
        <v>1287</v>
      </c>
      <c r="B1284" s="267">
        <v>1283</v>
      </c>
      <c r="C1284" s="268" t="s">
        <v>2835</v>
      </c>
      <c r="D1284" s="269">
        <v>41893</v>
      </c>
      <c r="E1284" s="270" t="s">
        <v>2890</v>
      </c>
      <c r="F1284" s="384">
        <v>160000</v>
      </c>
      <c r="G1284" s="270">
        <v>690367172</v>
      </c>
      <c r="H1284" s="270"/>
    </row>
    <row r="1285" spans="1:8" x14ac:dyDescent="0.25">
      <c r="A1285" s="257">
        <v>1288</v>
      </c>
      <c r="B1285" s="267">
        <v>1284</v>
      </c>
      <c r="C1285" s="268" t="s">
        <v>2829</v>
      </c>
      <c r="D1285" s="269">
        <v>41893</v>
      </c>
      <c r="E1285" s="270" t="s">
        <v>70</v>
      </c>
      <c r="F1285" s="384">
        <v>13250000</v>
      </c>
      <c r="G1285" s="270">
        <v>600048566</v>
      </c>
      <c r="H1285" s="270"/>
    </row>
    <row r="1286" spans="1:8" x14ac:dyDescent="0.25">
      <c r="A1286" s="257">
        <v>1289</v>
      </c>
      <c r="B1286" s="267">
        <v>1285</v>
      </c>
      <c r="C1286" s="268" t="s">
        <v>3734</v>
      </c>
      <c r="D1286" s="269">
        <v>41893</v>
      </c>
      <c r="E1286" s="270" t="s">
        <v>2358</v>
      </c>
      <c r="F1286" s="384">
        <v>435000</v>
      </c>
      <c r="G1286" s="270">
        <v>800008903</v>
      </c>
      <c r="H1286" s="270"/>
    </row>
    <row r="1287" spans="1:8" x14ac:dyDescent="0.25">
      <c r="A1287" s="257">
        <v>1290</v>
      </c>
      <c r="B1287" s="267">
        <v>1286</v>
      </c>
      <c r="C1287" s="268" t="s">
        <v>1124</v>
      </c>
      <c r="D1287" s="269">
        <v>41893</v>
      </c>
      <c r="E1287" s="270" t="s">
        <v>226</v>
      </c>
      <c r="F1287" s="384">
        <v>990000</v>
      </c>
      <c r="G1287" s="270">
        <v>190654467</v>
      </c>
      <c r="H1287" s="270"/>
    </row>
    <row r="1288" spans="1:8" x14ac:dyDescent="0.25">
      <c r="A1288" s="257">
        <v>1291</v>
      </c>
      <c r="B1288" s="267">
        <v>1287</v>
      </c>
      <c r="C1288" s="268" t="s">
        <v>887</v>
      </c>
      <c r="D1288" s="269">
        <v>41893</v>
      </c>
      <c r="E1288" s="270" t="s">
        <v>2831</v>
      </c>
      <c r="F1288" s="384">
        <v>435000</v>
      </c>
      <c r="G1288" s="270">
        <v>191604225</v>
      </c>
      <c r="H1288" s="270"/>
    </row>
    <row r="1289" spans="1:8" x14ac:dyDescent="0.25">
      <c r="A1289" s="257">
        <v>1292</v>
      </c>
      <c r="B1289" s="267">
        <v>1288</v>
      </c>
      <c r="C1289" s="268" t="s">
        <v>879</v>
      </c>
      <c r="D1289" s="269">
        <v>41893</v>
      </c>
      <c r="E1289" s="270" t="s">
        <v>1906</v>
      </c>
      <c r="F1289" s="384">
        <v>435000</v>
      </c>
      <c r="G1289" s="270">
        <v>690250660</v>
      </c>
      <c r="H1289" s="270"/>
    </row>
    <row r="1290" spans="1:8" x14ac:dyDescent="0.25">
      <c r="A1290" s="257">
        <v>1293</v>
      </c>
      <c r="B1290" s="267">
        <v>1289</v>
      </c>
      <c r="C1290" s="268" t="s">
        <v>879</v>
      </c>
      <c r="D1290" s="269">
        <v>41893</v>
      </c>
      <c r="E1290" s="270" t="s">
        <v>1906</v>
      </c>
      <c r="F1290" s="384">
        <v>165000</v>
      </c>
      <c r="G1290" s="270">
        <v>690250660</v>
      </c>
      <c r="H1290" s="270"/>
    </row>
    <row r="1291" spans="1:8" x14ac:dyDescent="0.25">
      <c r="A1291" s="257">
        <v>1294</v>
      </c>
      <c r="B1291" s="267">
        <v>1290</v>
      </c>
      <c r="C1291" s="268" t="s">
        <v>2889</v>
      </c>
      <c r="D1291" s="269">
        <v>41893</v>
      </c>
      <c r="E1291" s="270" t="s">
        <v>523</v>
      </c>
      <c r="F1291" s="384">
        <v>435000</v>
      </c>
      <c r="G1291" s="270">
        <v>691539111</v>
      </c>
      <c r="H1291" s="270"/>
    </row>
    <row r="1292" spans="1:8" x14ac:dyDescent="0.25">
      <c r="A1292" s="257">
        <v>1295</v>
      </c>
      <c r="B1292" s="267">
        <v>1291</v>
      </c>
      <c r="C1292" s="268" t="s">
        <v>2677</v>
      </c>
      <c r="D1292" s="269">
        <v>41894</v>
      </c>
      <c r="E1292" s="270" t="s">
        <v>709</v>
      </c>
      <c r="F1292" s="384">
        <v>160000</v>
      </c>
      <c r="G1292" s="270">
        <v>600006936</v>
      </c>
      <c r="H1292" s="270"/>
    </row>
    <row r="1293" spans="1:8" x14ac:dyDescent="0.25">
      <c r="A1293" s="257">
        <v>1296</v>
      </c>
      <c r="B1293" s="267">
        <v>1292</v>
      </c>
      <c r="C1293" s="268" t="s">
        <v>3141</v>
      </c>
      <c r="D1293" s="269">
        <v>41894</v>
      </c>
      <c r="E1293" s="270" t="s">
        <v>809</v>
      </c>
      <c r="F1293" s="384">
        <v>240000</v>
      </c>
      <c r="G1293" s="270">
        <v>0</v>
      </c>
      <c r="H1293" s="270"/>
    </row>
    <row r="1294" spans="1:8" x14ac:dyDescent="0.25">
      <c r="A1294" s="257">
        <v>1297</v>
      </c>
      <c r="B1294" s="267">
        <v>1293</v>
      </c>
      <c r="C1294" s="268" t="s">
        <v>3864</v>
      </c>
      <c r="D1294" s="269">
        <v>41894</v>
      </c>
      <c r="E1294" s="270" t="s">
        <v>906</v>
      </c>
      <c r="F1294" s="384">
        <v>240000</v>
      </c>
      <c r="G1294" s="270">
        <v>100348119</v>
      </c>
      <c r="H1294" s="270"/>
    </row>
    <row r="1295" spans="1:8" x14ac:dyDescent="0.25">
      <c r="A1295" s="257">
        <v>1298</v>
      </c>
      <c r="B1295" s="267">
        <v>1294</v>
      </c>
      <c r="C1295" s="268" t="s">
        <v>252</v>
      </c>
      <c r="D1295" s="269">
        <v>41894</v>
      </c>
      <c r="E1295" s="270" t="s">
        <v>3582</v>
      </c>
      <c r="F1295" s="384">
        <v>280000</v>
      </c>
      <c r="G1295" s="270">
        <v>100338635</v>
      </c>
      <c r="H1295" s="270"/>
    </row>
    <row r="1296" spans="1:8" x14ac:dyDescent="0.25">
      <c r="A1296" s="257">
        <v>1299</v>
      </c>
      <c r="B1296" s="267">
        <v>1295</v>
      </c>
      <c r="C1296" s="268" t="s">
        <v>430</v>
      </c>
      <c r="D1296" s="269">
        <v>41894</v>
      </c>
      <c r="E1296" s="270" t="s">
        <v>2803</v>
      </c>
      <c r="F1296" s="384">
        <v>435000</v>
      </c>
      <c r="G1296" s="270">
        <v>192166507</v>
      </c>
      <c r="H1296" s="270"/>
    </row>
    <row r="1297" spans="1:8" x14ac:dyDescent="0.25">
      <c r="A1297" s="257">
        <v>1300</v>
      </c>
      <c r="B1297" s="267">
        <v>1296</v>
      </c>
      <c r="C1297" s="268" t="s">
        <v>2151</v>
      </c>
      <c r="D1297" s="269">
        <v>41894</v>
      </c>
      <c r="E1297" s="270" t="s">
        <v>132</v>
      </c>
      <c r="F1297" s="384">
        <v>160000</v>
      </c>
      <c r="G1297" s="270">
        <v>600011872</v>
      </c>
      <c r="H1297" s="270"/>
    </row>
    <row r="1298" spans="1:8" x14ac:dyDescent="0.25">
      <c r="A1298" s="257">
        <v>1301</v>
      </c>
      <c r="B1298" s="267">
        <v>1297</v>
      </c>
      <c r="C1298" s="268" t="s">
        <v>262</v>
      </c>
      <c r="D1298" s="269">
        <v>41894</v>
      </c>
      <c r="E1298" s="270" t="s">
        <v>927</v>
      </c>
      <c r="F1298" s="384">
        <v>165000</v>
      </c>
      <c r="G1298" s="270">
        <v>190454318</v>
      </c>
      <c r="H1298" s="270"/>
    </row>
    <row r="1299" spans="1:8" x14ac:dyDescent="0.25">
      <c r="A1299" s="257">
        <v>1302</v>
      </c>
      <c r="B1299" s="267">
        <v>1298</v>
      </c>
      <c r="C1299" s="268" t="s">
        <v>976</v>
      </c>
      <c r="D1299" s="269">
        <v>41894</v>
      </c>
      <c r="E1299" s="270" t="s">
        <v>1542</v>
      </c>
      <c r="F1299" s="384">
        <v>240000</v>
      </c>
      <c r="G1299" s="270">
        <v>101308387</v>
      </c>
      <c r="H1299" s="270"/>
    </row>
    <row r="1300" spans="1:8" x14ac:dyDescent="0.25">
      <c r="A1300" s="257">
        <v>1303</v>
      </c>
      <c r="B1300" s="267">
        <v>1299</v>
      </c>
      <c r="C1300" s="268" t="s">
        <v>3658</v>
      </c>
      <c r="D1300" s="269">
        <v>41894</v>
      </c>
      <c r="E1300" s="270" t="s">
        <v>3552</v>
      </c>
      <c r="F1300" s="384">
        <v>155000</v>
      </c>
      <c r="G1300" s="270">
        <v>191569368</v>
      </c>
      <c r="H1300" s="270"/>
    </row>
    <row r="1301" spans="1:8" x14ac:dyDescent="0.25">
      <c r="A1301" s="257">
        <v>1304</v>
      </c>
      <c r="B1301" s="267">
        <v>1300</v>
      </c>
      <c r="C1301" s="268" t="s">
        <v>342</v>
      </c>
      <c r="D1301" s="269">
        <v>41894</v>
      </c>
      <c r="E1301" s="270" t="s">
        <v>3558</v>
      </c>
      <c r="F1301" s="384">
        <v>36000</v>
      </c>
      <c r="G1301" s="270">
        <v>601072665</v>
      </c>
      <c r="H1301" s="270"/>
    </row>
    <row r="1302" spans="1:8" x14ac:dyDescent="0.25">
      <c r="A1302" s="257">
        <v>1305</v>
      </c>
      <c r="B1302" s="267">
        <v>1301</v>
      </c>
      <c r="C1302" s="268" t="s">
        <v>870</v>
      </c>
      <c r="D1302" s="269">
        <v>41895</v>
      </c>
      <c r="E1302" s="270" t="s">
        <v>428</v>
      </c>
      <c r="F1302" s="384">
        <v>160000</v>
      </c>
      <c r="G1302" s="270">
        <v>100783448</v>
      </c>
      <c r="H1302" s="270"/>
    </row>
    <row r="1303" spans="1:8" x14ac:dyDescent="0.25">
      <c r="A1303" s="257">
        <v>1306</v>
      </c>
      <c r="B1303" s="267">
        <v>1302</v>
      </c>
      <c r="C1303" s="268" t="s">
        <v>2366</v>
      </c>
      <c r="D1303" s="269">
        <v>41895</v>
      </c>
      <c r="E1303" s="270" t="s">
        <v>873</v>
      </c>
      <c r="F1303" s="384">
        <v>435000</v>
      </c>
      <c r="G1303" s="270">
        <v>691523415</v>
      </c>
      <c r="H1303" s="270"/>
    </row>
    <row r="1304" spans="1:8" x14ac:dyDescent="0.25">
      <c r="A1304" s="257">
        <v>1307</v>
      </c>
      <c r="B1304" s="267">
        <v>1303</v>
      </c>
      <c r="C1304" s="268" t="s">
        <v>2618</v>
      </c>
      <c r="D1304" s="269">
        <v>41897</v>
      </c>
      <c r="E1304" s="270" t="s">
        <v>1622</v>
      </c>
      <c r="F1304" s="384">
        <v>435000</v>
      </c>
      <c r="G1304" s="270">
        <v>190513098</v>
      </c>
      <c r="H1304" s="270"/>
    </row>
    <row r="1305" spans="1:8" x14ac:dyDescent="0.25">
      <c r="A1305" s="257">
        <v>1308</v>
      </c>
      <c r="B1305" s="267">
        <v>1304</v>
      </c>
      <c r="C1305" s="268" t="s">
        <v>2618</v>
      </c>
      <c r="D1305" s="269">
        <v>41897</v>
      </c>
      <c r="E1305" s="270" t="s">
        <v>1622</v>
      </c>
      <c r="F1305" s="384">
        <v>155000</v>
      </c>
      <c r="G1305" s="270">
        <v>190513098</v>
      </c>
      <c r="H1305" s="270"/>
    </row>
    <row r="1306" spans="1:8" x14ac:dyDescent="0.25">
      <c r="A1306" s="257">
        <v>1309</v>
      </c>
      <c r="B1306" s="267">
        <v>1305</v>
      </c>
      <c r="C1306" s="268" t="s">
        <v>2618</v>
      </c>
      <c r="D1306" s="269">
        <v>41897</v>
      </c>
      <c r="E1306" s="270" t="s">
        <v>1622</v>
      </c>
      <c r="F1306" s="384">
        <v>240000</v>
      </c>
      <c r="G1306" s="270">
        <v>190513098</v>
      </c>
      <c r="H1306" s="270"/>
    </row>
    <row r="1307" spans="1:8" x14ac:dyDescent="0.25">
      <c r="A1307" s="257">
        <v>1310</v>
      </c>
      <c r="B1307" s="267">
        <v>1306</v>
      </c>
      <c r="C1307" s="268" t="s">
        <v>1698</v>
      </c>
      <c r="D1307" s="269">
        <v>41897</v>
      </c>
      <c r="E1307" s="270" t="s">
        <v>412</v>
      </c>
      <c r="F1307" s="384">
        <v>165000</v>
      </c>
      <c r="G1307" s="270">
        <v>191688478</v>
      </c>
      <c r="H1307" s="270"/>
    </row>
    <row r="1308" spans="1:8" x14ac:dyDescent="0.25">
      <c r="A1308" s="257">
        <v>1311</v>
      </c>
      <c r="B1308" s="267">
        <v>1307</v>
      </c>
      <c r="C1308" s="268" t="s">
        <v>4227</v>
      </c>
      <c r="D1308" s="269">
        <v>41897</v>
      </c>
      <c r="E1308" s="270" t="s">
        <v>186</v>
      </c>
      <c r="F1308" s="384">
        <v>435000</v>
      </c>
      <c r="G1308" s="270">
        <v>691585490</v>
      </c>
      <c r="H1308" s="270"/>
    </row>
    <row r="1309" spans="1:8" x14ac:dyDescent="0.25">
      <c r="A1309" s="257">
        <v>1312</v>
      </c>
      <c r="B1309" s="267">
        <v>1308</v>
      </c>
      <c r="C1309" s="268" t="s">
        <v>2842</v>
      </c>
      <c r="D1309" s="269">
        <v>41897</v>
      </c>
      <c r="E1309" s="270" t="s">
        <v>2617</v>
      </c>
      <c r="F1309" s="384">
        <v>198000</v>
      </c>
      <c r="G1309" s="270">
        <v>191476883</v>
      </c>
      <c r="H1309" s="270"/>
    </row>
    <row r="1310" spans="1:8" x14ac:dyDescent="0.25">
      <c r="A1310" s="257">
        <v>1313</v>
      </c>
      <c r="B1310" s="267">
        <v>1309</v>
      </c>
      <c r="C1310" s="268" t="s">
        <v>410</v>
      </c>
      <c r="D1310" s="269">
        <v>41897</v>
      </c>
      <c r="E1310" s="270" t="s">
        <v>336</v>
      </c>
      <c r="F1310" s="384">
        <v>240000</v>
      </c>
      <c r="G1310" s="270">
        <v>691600923</v>
      </c>
      <c r="H1310" s="270"/>
    </row>
    <row r="1311" spans="1:8" x14ac:dyDescent="0.25">
      <c r="A1311" s="257">
        <v>1314</v>
      </c>
      <c r="B1311" s="267">
        <v>1310</v>
      </c>
      <c r="C1311" s="268" t="s">
        <v>1777</v>
      </c>
      <c r="D1311" s="269">
        <v>41897</v>
      </c>
      <c r="E1311" s="270" t="s">
        <v>1693</v>
      </c>
      <c r="F1311" s="384">
        <v>198000</v>
      </c>
      <c r="G1311" s="270">
        <v>690501585</v>
      </c>
      <c r="H1311" s="270"/>
    </row>
    <row r="1312" spans="1:8" x14ac:dyDescent="0.25">
      <c r="A1312" s="257">
        <v>1315</v>
      </c>
      <c r="B1312" s="267">
        <v>1311</v>
      </c>
      <c r="C1312" s="268" t="s">
        <v>3768</v>
      </c>
      <c r="D1312" s="269">
        <v>41898</v>
      </c>
      <c r="E1312" s="270" t="s">
        <v>2972</v>
      </c>
      <c r="F1312" s="384">
        <v>98000</v>
      </c>
      <c r="G1312" s="270">
        <v>691605938</v>
      </c>
      <c r="H1312" s="270"/>
    </row>
    <row r="1313" spans="1:8" x14ac:dyDescent="0.25">
      <c r="A1313" s="257">
        <v>1316</v>
      </c>
      <c r="B1313" s="267">
        <v>1312</v>
      </c>
      <c r="C1313" s="268" t="s">
        <v>429</v>
      </c>
      <c r="D1313" s="269">
        <v>41898</v>
      </c>
      <c r="E1313" s="270" t="s">
        <v>816</v>
      </c>
      <c r="F1313" s="384">
        <v>280000</v>
      </c>
      <c r="G1313" s="270">
        <v>101225557</v>
      </c>
      <c r="H1313" s="270"/>
    </row>
    <row r="1314" spans="1:8" x14ac:dyDescent="0.25">
      <c r="A1314" s="257">
        <v>1317</v>
      </c>
      <c r="B1314" s="267">
        <v>1313</v>
      </c>
      <c r="C1314" s="268" t="s">
        <v>429</v>
      </c>
      <c r="D1314" s="269">
        <v>41898</v>
      </c>
      <c r="E1314" s="270" t="s">
        <v>816</v>
      </c>
      <c r="F1314" s="384">
        <v>240000</v>
      </c>
      <c r="G1314" s="270">
        <v>101225557</v>
      </c>
      <c r="H1314" s="270"/>
    </row>
    <row r="1315" spans="1:8" x14ac:dyDescent="0.25">
      <c r="A1315" s="257">
        <v>1318</v>
      </c>
      <c r="B1315" s="267">
        <v>1314</v>
      </c>
      <c r="C1315" s="268" t="s">
        <v>2973</v>
      </c>
      <c r="D1315" s="269">
        <v>41898</v>
      </c>
      <c r="E1315" s="270" t="s">
        <v>939</v>
      </c>
      <c r="F1315" s="384">
        <v>300000</v>
      </c>
      <c r="G1315" s="270">
        <v>100034500</v>
      </c>
      <c r="H1315" s="270"/>
    </row>
    <row r="1316" spans="1:8" x14ac:dyDescent="0.25">
      <c r="A1316" s="257">
        <v>1319</v>
      </c>
      <c r="B1316" s="267">
        <v>1315</v>
      </c>
      <c r="C1316" s="268" t="s">
        <v>366</v>
      </c>
      <c r="D1316" s="269">
        <v>41898</v>
      </c>
      <c r="E1316" s="270" t="s">
        <v>2615</v>
      </c>
      <c r="F1316" s="384">
        <v>59000</v>
      </c>
      <c r="G1316" s="270">
        <v>690031555</v>
      </c>
      <c r="H1316" s="270"/>
    </row>
    <row r="1317" spans="1:8" x14ac:dyDescent="0.25">
      <c r="A1317" s="257">
        <v>1320</v>
      </c>
      <c r="B1317" s="267">
        <v>1316</v>
      </c>
      <c r="C1317" s="268" t="s">
        <v>2405</v>
      </c>
      <c r="D1317" s="269">
        <v>41898</v>
      </c>
      <c r="E1317" s="270" t="s">
        <v>1944</v>
      </c>
      <c r="F1317" s="384">
        <v>240000</v>
      </c>
      <c r="G1317" s="270">
        <v>100345799</v>
      </c>
      <c r="H1317" s="270"/>
    </row>
    <row r="1318" spans="1:8" x14ac:dyDescent="0.25">
      <c r="A1318" s="257">
        <v>1321</v>
      </c>
      <c r="B1318" s="267">
        <v>1317</v>
      </c>
      <c r="C1318" s="268" t="s">
        <v>2405</v>
      </c>
      <c r="D1318" s="269">
        <v>41898</v>
      </c>
      <c r="E1318" s="270" t="s">
        <v>1944</v>
      </c>
      <c r="F1318" s="384">
        <v>280000</v>
      </c>
      <c r="G1318" s="270">
        <v>100345799</v>
      </c>
      <c r="H1318" s="270"/>
    </row>
    <row r="1319" spans="1:8" x14ac:dyDescent="0.25">
      <c r="A1319" s="257">
        <v>1322</v>
      </c>
      <c r="B1319" s="267">
        <v>1318</v>
      </c>
      <c r="C1319" s="268" t="s">
        <v>2751</v>
      </c>
      <c r="D1319" s="269">
        <v>41898</v>
      </c>
      <c r="E1319" s="270" t="s">
        <v>449</v>
      </c>
      <c r="F1319" s="384">
        <v>31000</v>
      </c>
      <c r="G1319" s="270">
        <v>100025732</v>
      </c>
      <c r="H1319" s="270"/>
    </row>
    <row r="1320" spans="1:8" x14ac:dyDescent="0.25">
      <c r="A1320" s="257">
        <v>1323</v>
      </c>
      <c r="B1320" s="267">
        <v>1319</v>
      </c>
      <c r="C1320" s="268" t="s">
        <v>424</v>
      </c>
      <c r="D1320" s="269">
        <v>41898</v>
      </c>
      <c r="E1320" s="270" t="s">
        <v>2160</v>
      </c>
      <c r="F1320" s="384">
        <v>280000</v>
      </c>
      <c r="G1320" s="270">
        <v>100316521</v>
      </c>
      <c r="H1320" s="270"/>
    </row>
    <row r="1321" spans="1:8" x14ac:dyDescent="0.25">
      <c r="A1321" s="257">
        <v>1324</v>
      </c>
      <c r="B1321" s="267">
        <v>1320</v>
      </c>
      <c r="C1321" s="268" t="s">
        <v>3569</v>
      </c>
      <c r="D1321" s="269">
        <v>41899</v>
      </c>
      <c r="E1321" s="270" t="s">
        <v>3135</v>
      </c>
      <c r="F1321" s="384">
        <v>396000</v>
      </c>
      <c r="G1321" s="270">
        <v>190644876</v>
      </c>
      <c r="H1321" s="270"/>
    </row>
    <row r="1322" spans="1:8" x14ac:dyDescent="0.25">
      <c r="A1322" s="257">
        <v>1325</v>
      </c>
      <c r="B1322" s="267">
        <v>1321</v>
      </c>
      <c r="C1322" s="268" t="s">
        <v>2959</v>
      </c>
      <c r="D1322" s="269">
        <v>41899</v>
      </c>
      <c r="E1322" s="270" t="s">
        <v>726</v>
      </c>
      <c r="F1322" s="384">
        <v>99000</v>
      </c>
      <c r="G1322" s="270">
        <v>100211261</v>
      </c>
      <c r="H1322" s="270"/>
    </row>
    <row r="1323" spans="1:8" x14ac:dyDescent="0.25">
      <c r="A1323" s="257">
        <v>1326</v>
      </c>
      <c r="B1323" s="267">
        <v>1322</v>
      </c>
      <c r="C1323" s="268" t="s">
        <v>3300</v>
      </c>
      <c r="D1323" s="269">
        <v>41899</v>
      </c>
      <c r="E1323" s="270" t="s">
        <v>2678</v>
      </c>
      <c r="F1323" s="384">
        <v>240000</v>
      </c>
      <c r="G1323" s="270">
        <v>691584652</v>
      </c>
      <c r="H1323" s="270"/>
    </row>
    <row r="1324" spans="1:8" x14ac:dyDescent="0.25">
      <c r="A1324" s="257">
        <v>1327</v>
      </c>
      <c r="B1324" s="267">
        <v>1323</v>
      </c>
      <c r="C1324" s="268" t="s">
        <v>879</v>
      </c>
      <c r="D1324" s="269">
        <v>41899</v>
      </c>
      <c r="E1324" s="270" t="s">
        <v>1906</v>
      </c>
      <c r="F1324" s="384">
        <v>435000</v>
      </c>
      <c r="G1324" s="270">
        <v>690250660</v>
      </c>
      <c r="H1324" s="270"/>
    </row>
    <row r="1325" spans="1:8" x14ac:dyDescent="0.25">
      <c r="A1325" s="257">
        <v>1328</v>
      </c>
      <c r="B1325" s="267">
        <v>1324</v>
      </c>
      <c r="C1325" s="268" t="s">
        <v>2838</v>
      </c>
      <c r="D1325" s="269">
        <v>41899</v>
      </c>
      <c r="E1325" s="270" t="s">
        <v>1637</v>
      </c>
      <c r="F1325" s="384">
        <v>280000</v>
      </c>
      <c r="G1325" s="270">
        <v>100687805</v>
      </c>
      <c r="H1325" s="270"/>
    </row>
    <row r="1326" spans="1:8" x14ac:dyDescent="0.25">
      <c r="A1326" s="257">
        <v>1329</v>
      </c>
      <c r="B1326" s="267">
        <v>1325</v>
      </c>
      <c r="C1326" s="268" t="s">
        <v>2645</v>
      </c>
      <c r="D1326" s="269">
        <v>41899</v>
      </c>
      <c r="E1326" s="270" t="s">
        <v>239</v>
      </c>
      <c r="F1326" s="384">
        <v>435000</v>
      </c>
      <c r="G1326" s="270">
        <v>101139097</v>
      </c>
      <c r="H1326" s="270"/>
    </row>
    <row r="1327" spans="1:8" x14ac:dyDescent="0.25">
      <c r="A1327" s="257">
        <v>1330</v>
      </c>
      <c r="B1327" s="267">
        <v>1326</v>
      </c>
      <c r="C1327" s="268" t="s">
        <v>520</v>
      </c>
      <c r="D1327" s="269">
        <v>41900</v>
      </c>
      <c r="E1327" s="270" t="s">
        <v>3575</v>
      </c>
      <c r="F1327" s="384">
        <v>435000</v>
      </c>
      <c r="G1327" s="270">
        <v>190345927</v>
      </c>
      <c r="H1327" s="270"/>
    </row>
    <row r="1328" spans="1:8" x14ac:dyDescent="0.25">
      <c r="A1328" s="257">
        <v>1331</v>
      </c>
      <c r="B1328" s="267">
        <v>1327</v>
      </c>
      <c r="C1328" s="268" t="s">
        <v>3130</v>
      </c>
      <c r="D1328" s="269">
        <v>41900</v>
      </c>
      <c r="E1328" s="270" t="s">
        <v>2740</v>
      </c>
      <c r="F1328" s="384">
        <v>435000</v>
      </c>
      <c r="G1328" s="270">
        <v>690611383</v>
      </c>
      <c r="H1328" s="270"/>
    </row>
    <row r="1329" spans="1:8" x14ac:dyDescent="0.25">
      <c r="A1329" s="257">
        <v>1332</v>
      </c>
      <c r="B1329" s="267">
        <v>1328</v>
      </c>
      <c r="C1329" s="268" t="s">
        <v>3326</v>
      </c>
      <c r="D1329" s="269">
        <v>41900</v>
      </c>
      <c r="E1329" s="270" t="s">
        <v>164</v>
      </c>
      <c r="F1329" s="384">
        <v>5065000</v>
      </c>
      <c r="G1329" s="270">
        <v>100534485</v>
      </c>
      <c r="H1329" s="270"/>
    </row>
    <row r="1330" spans="1:8" x14ac:dyDescent="0.25">
      <c r="A1330" s="257">
        <v>1333</v>
      </c>
      <c r="B1330" s="267">
        <v>1329</v>
      </c>
      <c r="C1330" s="268" t="s">
        <v>708</v>
      </c>
      <c r="D1330" s="269">
        <v>41900</v>
      </c>
      <c r="E1330" s="270" t="s">
        <v>2731</v>
      </c>
      <c r="F1330" s="384">
        <v>435000</v>
      </c>
      <c r="G1330" s="270">
        <v>190999368</v>
      </c>
      <c r="H1330" s="270"/>
    </row>
    <row r="1331" spans="1:8" x14ac:dyDescent="0.25">
      <c r="A1331" s="257">
        <v>1334</v>
      </c>
      <c r="B1331" s="267">
        <v>1330</v>
      </c>
      <c r="C1331" s="268" t="s">
        <v>3098</v>
      </c>
      <c r="D1331" s="269">
        <v>41900</v>
      </c>
      <c r="E1331" s="270" t="s">
        <v>3770</v>
      </c>
      <c r="F1331" s="384">
        <v>61000</v>
      </c>
      <c r="G1331" s="270">
        <v>191500265</v>
      </c>
      <c r="H1331" s="270"/>
    </row>
    <row r="1332" spans="1:8" x14ac:dyDescent="0.25">
      <c r="A1332" s="257">
        <v>1335</v>
      </c>
      <c r="B1332" s="267">
        <v>1331</v>
      </c>
      <c r="C1332" s="268" t="s">
        <v>9</v>
      </c>
      <c r="D1332" s="269">
        <v>41900</v>
      </c>
      <c r="E1332" s="270" t="s">
        <v>1618</v>
      </c>
      <c r="F1332" s="384">
        <v>160000</v>
      </c>
      <c r="G1332" s="270">
        <v>800005177</v>
      </c>
      <c r="H1332" s="270"/>
    </row>
    <row r="1333" spans="1:8" x14ac:dyDescent="0.25">
      <c r="A1333" s="257">
        <v>1336</v>
      </c>
      <c r="B1333" s="267">
        <v>1332</v>
      </c>
      <c r="C1333" s="268" t="s">
        <v>2828</v>
      </c>
      <c r="D1333" s="269">
        <v>41900</v>
      </c>
      <c r="E1333" s="270" t="s">
        <v>892</v>
      </c>
      <c r="F1333" s="384">
        <v>600000</v>
      </c>
      <c r="G1333" s="270">
        <v>100390954</v>
      </c>
      <c r="H1333" s="270"/>
    </row>
    <row r="1334" spans="1:8" x14ac:dyDescent="0.25">
      <c r="A1334" s="257">
        <v>1337</v>
      </c>
      <c r="B1334" s="267">
        <v>1333</v>
      </c>
      <c r="C1334" s="268" t="s">
        <v>3517</v>
      </c>
      <c r="D1334" s="269">
        <v>41900</v>
      </c>
      <c r="E1334" s="270" t="s">
        <v>3591</v>
      </c>
      <c r="F1334" s="384">
        <v>165000</v>
      </c>
      <c r="G1334" s="270">
        <v>100658423</v>
      </c>
      <c r="H1334" s="270"/>
    </row>
    <row r="1335" spans="1:8" x14ac:dyDescent="0.25">
      <c r="A1335" s="257">
        <v>1338</v>
      </c>
      <c r="B1335" s="267">
        <v>1334</v>
      </c>
      <c r="C1335" s="268" t="s">
        <v>3630</v>
      </c>
      <c r="D1335" s="269">
        <v>41900</v>
      </c>
      <c r="E1335" s="270" t="s">
        <v>880</v>
      </c>
      <c r="F1335" s="384">
        <v>280000</v>
      </c>
      <c r="G1335" s="270">
        <v>691458710</v>
      </c>
      <c r="H1335" s="270"/>
    </row>
    <row r="1336" spans="1:8" x14ac:dyDescent="0.25">
      <c r="A1336" s="257">
        <v>1339</v>
      </c>
      <c r="B1336" s="267">
        <v>1335</v>
      </c>
      <c r="C1336" s="268" t="s">
        <v>14</v>
      </c>
      <c r="D1336" s="269">
        <v>41901</v>
      </c>
      <c r="E1336" s="270" t="s">
        <v>3595</v>
      </c>
      <c r="F1336" s="384">
        <v>165000</v>
      </c>
      <c r="G1336" s="270">
        <v>190143101</v>
      </c>
      <c r="H1336" s="270"/>
    </row>
    <row r="1337" spans="1:8" x14ac:dyDescent="0.25">
      <c r="A1337" s="257">
        <v>1340</v>
      </c>
      <c r="B1337" s="267">
        <v>1336</v>
      </c>
      <c r="C1337" s="268" t="s">
        <v>232</v>
      </c>
      <c r="D1337" s="269">
        <v>41901</v>
      </c>
      <c r="E1337" s="270" t="s">
        <v>3557</v>
      </c>
      <c r="F1337" s="384">
        <v>240000</v>
      </c>
      <c r="G1337" s="270">
        <v>690019195</v>
      </c>
      <c r="H1337" s="270"/>
    </row>
    <row r="1338" spans="1:8" x14ac:dyDescent="0.25">
      <c r="A1338" s="257">
        <v>1341</v>
      </c>
      <c r="B1338" s="267">
        <v>1337</v>
      </c>
      <c r="C1338" s="268" t="s">
        <v>3607</v>
      </c>
      <c r="D1338" s="269">
        <v>41901</v>
      </c>
      <c r="E1338" s="270" t="s">
        <v>3565</v>
      </c>
      <c r="F1338" s="384">
        <v>198000</v>
      </c>
      <c r="G1338" s="270">
        <v>100068501</v>
      </c>
      <c r="H1338" s="270"/>
    </row>
    <row r="1339" spans="1:8" x14ac:dyDescent="0.25">
      <c r="A1339" s="257">
        <v>1342</v>
      </c>
      <c r="B1339" s="267">
        <v>1338</v>
      </c>
      <c r="C1339" s="268" t="s">
        <v>3130</v>
      </c>
      <c r="D1339" s="269">
        <v>41901</v>
      </c>
      <c r="E1339" s="270" t="s">
        <v>2740</v>
      </c>
      <c r="F1339" s="384">
        <v>67000</v>
      </c>
      <c r="G1339" s="270">
        <v>690611383</v>
      </c>
      <c r="H1339" s="270"/>
    </row>
    <row r="1340" spans="1:8" x14ac:dyDescent="0.25">
      <c r="A1340" s="257">
        <v>1343</v>
      </c>
      <c r="B1340" s="267">
        <v>1339</v>
      </c>
      <c r="C1340" s="268" t="s">
        <v>1056</v>
      </c>
      <c r="D1340" s="269">
        <v>41901</v>
      </c>
      <c r="E1340" s="270" t="s">
        <v>4235</v>
      </c>
      <c r="F1340" s="384">
        <v>870000</v>
      </c>
      <c r="G1340" s="270">
        <v>101185261</v>
      </c>
      <c r="H1340" s="270"/>
    </row>
    <row r="1341" spans="1:8" x14ac:dyDescent="0.25">
      <c r="A1341" s="257">
        <v>1344</v>
      </c>
      <c r="B1341" s="267">
        <v>1340</v>
      </c>
      <c r="C1341" s="268" t="s">
        <v>2618</v>
      </c>
      <c r="D1341" s="269">
        <v>41901</v>
      </c>
      <c r="E1341" s="270" t="s">
        <v>1622</v>
      </c>
      <c r="F1341" s="384">
        <v>435000</v>
      </c>
      <c r="G1341" s="270">
        <v>190513098</v>
      </c>
      <c r="H1341" s="270"/>
    </row>
    <row r="1342" spans="1:8" x14ac:dyDescent="0.25">
      <c r="A1342" s="257">
        <v>1345</v>
      </c>
      <c r="B1342" s="267">
        <v>1341</v>
      </c>
      <c r="C1342" s="268" t="s">
        <v>150</v>
      </c>
      <c r="D1342" s="269">
        <v>41904</v>
      </c>
      <c r="E1342" s="270" t="s">
        <v>3730</v>
      </c>
      <c r="F1342" s="384">
        <v>198000</v>
      </c>
      <c r="G1342" s="270">
        <v>190635842</v>
      </c>
      <c r="H1342" s="270"/>
    </row>
    <row r="1343" spans="1:8" x14ac:dyDescent="0.25">
      <c r="A1343" s="257">
        <v>1346</v>
      </c>
      <c r="B1343" s="267">
        <v>1342</v>
      </c>
      <c r="C1343" s="268" t="s">
        <v>1949</v>
      </c>
      <c r="D1343" s="269">
        <v>41904</v>
      </c>
      <c r="E1343" s="270" t="s">
        <v>1702</v>
      </c>
      <c r="F1343" s="384">
        <v>240000</v>
      </c>
      <c r="G1343" s="270">
        <v>100315395</v>
      </c>
      <c r="H1343" s="270"/>
    </row>
    <row r="1344" spans="1:8" x14ac:dyDescent="0.25">
      <c r="A1344" s="257">
        <v>1347</v>
      </c>
      <c r="B1344" s="267">
        <v>1343</v>
      </c>
      <c r="C1344" s="268" t="s">
        <v>2683</v>
      </c>
      <c r="D1344" s="269">
        <v>41904</v>
      </c>
      <c r="E1344" s="270" t="s">
        <v>4190</v>
      </c>
      <c r="F1344" s="384">
        <v>363000</v>
      </c>
      <c r="G1344" s="270">
        <v>800001184</v>
      </c>
      <c r="H1344" s="270"/>
    </row>
    <row r="1345" spans="1:8" x14ac:dyDescent="0.25">
      <c r="A1345" s="257">
        <v>1348</v>
      </c>
      <c r="B1345" s="267">
        <v>1344</v>
      </c>
      <c r="C1345" s="268" t="s">
        <v>53</v>
      </c>
      <c r="D1345" s="269">
        <v>41904</v>
      </c>
      <c r="E1345" s="270" t="s">
        <v>893</v>
      </c>
      <c r="F1345" s="384">
        <v>435000</v>
      </c>
      <c r="G1345" s="270">
        <v>691535129</v>
      </c>
      <c r="H1345" s="270"/>
    </row>
    <row r="1346" spans="1:8" x14ac:dyDescent="0.25">
      <c r="A1346" s="257">
        <v>1349</v>
      </c>
      <c r="B1346" s="267">
        <v>1345</v>
      </c>
      <c r="C1346" s="268" t="s">
        <v>145</v>
      </c>
      <c r="D1346" s="269">
        <v>41904</v>
      </c>
      <c r="E1346" s="270" t="s">
        <v>403</v>
      </c>
      <c r="F1346" s="384">
        <v>435000</v>
      </c>
      <c r="G1346" s="270">
        <v>190471062</v>
      </c>
      <c r="H1346" s="270"/>
    </row>
    <row r="1347" spans="1:8" x14ac:dyDescent="0.25">
      <c r="A1347" s="257">
        <v>1350</v>
      </c>
      <c r="B1347" s="267">
        <v>1346</v>
      </c>
      <c r="C1347" s="268" t="s">
        <v>2036</v>
      </c>
      <c r="D1347" s="269">
        <v>41905</v>
      </c>
      <c r="E1347" s="270" t="s">
        <v>3594</v>
      </c>
      <c r="F1347" s="384">
        <v>435000</v>
      </c>
      <c r="G1347" s="270">
        <v>190882802</v>
      </c>
      <c r="H1347" s="270"/>
    </row>
    <row r="1348" spans="1:8" x14ac:dyDescent="0.25">
      <c r="A1348" s="257">
        <v>1351</v>
      </c>
      <c r="B1348" s="267">
        <v>1347</v>
      </c>
      <c r="C1348" s="268" t="s">
        <v>2618</v>
      </c>
      <c r="D1348" s="269">
        <v>41905</v>
      </c>
      <c r="E1348" s="270" t="s">
        <v>1622</v>
      </c>
      <c r="F1348" s="384">
        <v>435000</v>
      </c>
      <c r="G1348" s="270">
        <v>190513098</v>
      </c>
      <c r="H1348" s="270"/>
    </row>
    <row r="1349" spans="1:8" x14ac:dyDescent="0.25">
      <c r="A1349" s="257">
        <v>1352</v>
      </c>
      <c r="B1349" s="267">
        <v>1348</v>
      </c>
      <c r="C1349" s="268" t="s">
        <v>2618</v>
      </c>
      <c r="D1349" s="269">
        <v>41905</v>
      </c>
      <c r="E1349" s="270" t="s">
        <v>1622</v>
      </c>
      <c r="F1349" s="384">
        <v>280000</v>
      </c>
      <c r="G1349" s="270">
        <v>190513098</v>
      </c>
      <c r="H1349" s="270"/>
    </row>
    <row r="1350" spans="1:8" x14ac:dyDescent="0.25">
      <c r="A1350" s="257">
        <v>1353</v>
      </c>
      <c r="B1350" s="267">
        <v>1349</v>
      </c>
      <c r="C1350" s="268" t="s">
        <v>457</v>
      </c>
      <c r="D1350" s="269">
        <v>41905</v>
      </c>
      <c r="E1350" s="270" t="s">
        <v>3835</v>
      </c>
      <c r="F1350" s="384">
        <v>280000</v>
      </c>
      <c r="G1350" s="270">
        <v>191687762</v>
      </c>
      <c r="H1350" s="270"/>
    </row>
    <row r="1351" spans="1:8" x14ac:dyDescent="0.25">
      <c r="A1351" s="257">
        <v>1354</v>
      </c>
      <c r="B1351" s="267">
        <v>1350</v>
      </c>
      <c r="C1351" s="268" t="s">
        <v>381</v>
      </c>
      <c r="D1351" s="269">
        <v>41905</v>
      </c>
      <c r="E1351" s="270" t="s">
        <v>1801</v>
      </c>
      <c r="F1351" s="384">
        <v>240000</v>
      </c>
      <c r="G1351" s="270">
        <v>690230682</v>
      </c>
      <c r="H1351" s="270"/>
    </row>
    <row r="1352" spans="1:8" x14ac:dyDescent="0.25">
      <c r="A1352" s="257">
        <v>1355</v>
      </c>
      <c r="B1352" s="267">
        <v>1351</v>
      </c>
      <c r="C1352" s="268" t="s">
        <v>2733</v>
      </c>
      <c r="D1352" s="269">
        <v>41905</v>
      </c>
      <c r="E1352" s="270" t="s">
        <v>3491</v>
      </c>
      <c r="F1352" s="384">
        <v>325000</v>
      </c>
      <c r="G1352" s="270">
        <v>800014037</v>
      </c>
      <c r="H1352" s="270"/>
    </row>
    <row r="1353" spans="1:8" x14ac:dyDescent="0.25">
      <c r="A1353" s="257">
        <v>1356</v>
      </c>
      <c r="B1353" s="267">
        <v>1352</v>
      </c>
      <c r="C1353" s="268" t="s">
        <v>3274</v>
      </c>
      <c r="D1353" s="269">
        <v>41905</v>
      </c>
      <c r="E1353" s="270" t="s">
        <v>1125</v>
      </c>
      <c r="F1353" s="384">
        <v>180000</v>
      </c>
      <c r="G1353" s="270">
        <v>191591638</v>
      </c>
      <c r="H1353" s="270"/>
    </row>
    <row r="1354" spans="1:8" x14ac:dyDescent="0.25">
      <c r="A1354" s="257">
        <v>1357</v>
      </c>
      <c r="B1354" s="267">
        <v>1353</v>
      </c>
      <c r="C1354" s="268" t="s">
        <v>997</v>
      </c>
      <c r="D1354" s="269">
        <v>41905</v>
      </c>
      <c r="E1354" s="270" t="s">
        <v>306</v>
      </c>
      <c r="F1354" s="384">
        <v>165000</v>
      </c>
      <c r="G1354" s="270">
        <v>191312110</v>
      </c>
      <c r="H1354" s="270"/>
    </row>
    <row r="1355" spans="1:8" x14ac:dyDescent="0.25">
      <c r="A1355" s="257">
        <v>1358</v>
      </c>
      <c r="B1355" s="267">
        <v>1354</v>
      </c>
      <c r="C1355" s="268" t="s">
        <v>684</v>
      </c>
      <c r="D1355" s="269">
        <v>41905</v>
      </c>
      <c r="E1355" s="270" t="s">
        <v>1107</v>
      </c>
      <c r="F1355" s="384">
        <v>435000</v>
      </c>
      <c r="G1355" s="270">
        <v>190834982</v>
      </c>
      <c r="H1355" s="270"/>
    </row>
    <row r="1356" spans="1:8" x14ac:dyDescent="0.25">
      <c r="A1356" s="257">
        <v>1359</v>
      </c>
      <c r="B1356" s="267">
        <v>1355</v>
      </c>
      <c r="C1356" s="268" t="s">
        <v>492</v>
      </c>
      <c r="D1356" s="269">
        <v>41906</v>
      </c>
      <c r="E1356" s="270" t="s">
        <v>1859</v>
      </c>
      <c r="F1356" s="384">
        <v>280000</v>
      </c>
      <c r="G1356" s="270">
        <v>101434885</v>
      </c>
      <c r="H1356" s="270"/>
    </row>
    <row r="1357" spans="1:8" x14ac:dyDescent="0.25">
      <c r="A1357" s="257">
        <v>1360</v>
      </c>
      <c r="B1357" s="267">
        <v>1356</v>
      </c>
      <c r="C1357" s="268" t="s">
        <v>196</v>
      </c>
      <c r="D1357" s="269">
        <v>41906</v>
      </c>
      <c r="E1357" s="270" t="s">
        <v>3110</v>
      </c>
      <c r="F1357" s="384">
        <v>435000</v>
      </c>
      <c r="G1357" s="270">
        <v>101538513</v>
      </c>
      <c r="H1357" s="270"/>
    </row>
    <row r="1358" spans="1:8" x14ac:dyDescent="0.25">
      <c r="A1358" s="257">
        <v>1361</v>
      </c>
      <c r="B1358" s="267">
        <v>1357</v>
      </c>
      <c r="C1358" s="268" t="s">
        <v>1049</v>
      </c>
      <c r="D1358" s="269">
        <v>41906</v>
      </c>
      <c r="E1358" s="270" t="s">
        <v>3581</v>
      </c>
      <c r="F1358" s="384">
        <v>280000</v>
      </c>
      <c r="G1358" s="270">
        <v>190571479</v>
      </c>
      <c r="H1358" s="270"/>
    </row>
    <row r="1359" spans="1:8" x14ac:dyDescent="0.25">
      <c r="A1359" s="257">
        <v>1362</v>
      </c>
      <c r="B1359" s="267">
        <v>1358</v>
      </c>
      <c r="C1359" s="268" t="s">
        <v>2645</v>
      </c>
      <c r="D1359" s="269">
        <v>41906</v>
      </c>
      <c r="E1359" s="270" t="s">
        <v>239</v>
      </c>
      <c r="F1359" s="384">
        <v>1120000</v>
      </c>
      <c r="G1359" s="270">
        <v>101139097</v>
      </c>
      <c r="H1359" s="270"/>
    </row>
    <row r="1360" spans="1:8" x14ac:dyDescent="0.25">
      <c r="A1360" s="257">
        <v>1363</v>
      </c>
      <c r="B1360" s="267">
        <v>1359</v>
      </c>
      <c r="C1360" s="268" t="s">
        <v>2605</v>
      </c>
      <c r="D1360" s="269">
        <v>41906</v>
      </c>
      <c r="E1360" s="270" t="s">
        <v>3604</v>
      </c>
      <c r="F1360" s="384">
        <v>165000</v>
      </c>
      <c r="G1360" s="270">
        <v>100088681</v>
      </c>
      <c r="H1360" s="270"/>
    </row>
    <row r="1361" spans="1:8" x14ac:dyDescent="0.25">
      <c r="A1361" s="257">
        <v>1364</v>
      </c>
      <c r="B1361" s="267">
        <v>1360</v>
      </c>
      <c r="C1361" s="268" t="s">
        <v>842</v>
      </c>
      <c r="D1361" s="269">
        <v>41906</v>
      </c>
      <c r="E1361" s="270" t="s">
        <v>3293</v>
      </c>
      <c r="F1361" s="384">
        <v>435000</v>
      </c>
      <c r="G1361" s="270">
        <v>100024394</v>
      </c>
      <c r="H1361" s="270"/>
    </row>
    <row r="1362" spans="1:8" x14ac:dyDescent="0.25">
      <c r="A1362" s="257">
        <v>1365</v>
      </c>
      <c r="B1362" s="267">
        <v>1361</v>
      </c>
      <c r="C1362" s="268" t="s">
        <v>67</v>
      </c>
      <c r="D1362" s="269">
        <v>41907</v>
      </c>
      <c r="E1362" s="270" t="s">
        <v>914</v>
      </c>
      <c r="F1362" s="384">
        <v>63000</v>
      </c>
      <c r="G1362" s="270">
        <v>190114911</v>
      </c>
      <c r="H1362" s="270"/>
    </row>
    <row r="1363" spans="1:8" x14ac:dyDescent="0.25">
      <c r="A1363" s="257">
        <v>1366</v>
      </c>
      <c r="B1363" s="267">
        <v>1362</v>
      </c>
      <c r="C1363" s="268" t="s">
        <v>1653</v>
      </c>
      <c r="D1363" s="269">
        <v>41907</v>
      </c>
      <c r="E1363" s="270" t="s">
        <v>171</v>
      </c>
      <c r="F1363" s="384">
        <v>240000</v>
      </c>
      <c r="G1363" s="270">
        <v>691074852</v>
      </c>
      <c r="H1363" s="270"/>
    </row>
    <row r="1364" spans="1:8" x14ac:dyDescent="0.25">
      <c r="A1364" s="257">
        <v>1367</v>
      </c>
      <c r="B1364" s="267">
        <v>1363</v>
      </c>
      <c r="C1364" s="268" t="s">
        <v>3516</v>
      </c>
      <c r="D1364" s="269">
        <v>41907</v>
      </c>
      <c r="E1364" s="270" t="s">
        <v>1003</v>
      </c>
      <c r="F1364" s="384">
        <v>240000</v>
      </c>
      <c r="G1364" s="270">
        <v>100212413</v>
      </c>
      <c r="H1364" s="270"/>
    </row>
    <row r="1365" spans="1:8" x14ac:dyDescent="0.25">
      <c r="A1365" s="257">
        <v>1368</v>
      </c>
      <c r="B1365" s="267">
        <v>1364</v>
      </c>
      <c r="C1365" s="268" t="s">
        <v>897</v>
      </c>
      <c r="D1365" s="269">
        <v>41907</v>
      </c>
      <c r="E1365" s="270" t="s">
        <v>1050</v>
      </c>
      <c r="F1365" s="384">
        <v>240000</v>
      </c>
      <c r="G1365" s="270">
        <v>190780314</v>
      </c>
      <c r="H1365" s="270"/>
    </row>
    <row r="1366" spans="1:8" x14ac:dyDescent="0.25">
      <c r="A1366" s="257">
        <v>1369</v>
      </c>
      <c r="B1366" s="267">
        <v>1365</v>
      </c>
      <c r="C1366" s="268" t="s">
        <v>842</v>
      </c>
      <c r="D1366" s="269">
        <v>41907</v>
      </c>
      <c r="E1366" s="270" t="s">
        <v>3293</v>
      </c>
      <c r="F1366" s="384">
        <v>435000</v>
      </c>
      <c r="G1366" s="270">
        <v>100024394</v>
      </c>
      <c r="H1366" s="270"/>
    </row>
    <row r="1367" spans="1:8" x14ac:dyDescent="0.25">
      <c r="A1367" s="257">
        <v>1370</v>
      </c>
      <c r="B1367" s="267">
        <v>1366</v>
      </c>
      <c r="C1367" s="268" t="s">
        <v>3286</v>
      </c>
      <c r="D1367" s="269">
        <v>41907</v>
      </c>
      <c r="E1367" s="270" t="s">
        <v>2732</v>
      </c>
      <c r="F1367" s="384">
        <v>435000</v>
      </c>
      <c r="G1367" s="270">
        <v>600364254</v>
      </c>
      <c r="H1367" s="270"/>
    </row>
    <row r="1368" spans="1:8" x14ac:dyDescent="0.25">
      <c r="A1368" s="257">
        <v>1371</v>
      </c>
      <c r="B1368" s="267">
        <v>1367</v>
      </c>
      <c r="C1368" s="268" t="s">
        <v>842</v>
      </c>
      <c r="D1368" s="269">
        <v>41907</v>
      </c>
      <c r="E1368" s="270" t="s">
        <v>3293</v>
      </c>
      <c r="F1368" s="384">
        <v>63000</v>
      </c>
      <c r="G1368" s="270">
        <v>100024394</v>
      </c>
      <c r="H1368" s="270"/>
    </row>
    <row r="1369" spans="1:8" x14ac:dyDescent="0.25">
      <c r="A1369" s="257">
        <v>1372</v>
      </c>
      <c r="B1369" s="267">
        <v>1368</v>
      </c>
      <c r="C1369" s="268" t="s">
        <v>3</v>
      </c>
      <c r="D1369" s="269">
        <v>41907</v>
      </c>
      <c r="E1369" s="270" t="s">
        <v>1916</v>
      </c>
      <c r="F1369" s="384">
        <v>435000</v>
      </c>
      <c r="G1369" s="270">
        <v>190153542</v>
      </c>
      <c r="H1369" s="270"/>
    </row>
    <row r="1370" spans="1:8" x14ac:dyDescent="0.25">
      <c r="A1370" s="257">
        <v>1373</v>
      </c>
      <c r="B1370" s="267">
        <v>1369</v>
      </c>
      <c r="C1370" s="268" t="s">
        <v>375</v>
      </c>
      <c r="D1370" s="269">
        <v>41907</v>
      </c>
      <c r="E1370" s="270" t="s">
        <v>263</v>
      </c>
      <c r="F1370" s="384">
        <v>870000</v>
      </c>
      <c r="G1370" s="270">
        <v>600182119</v>
      </c>
      <c r="H1370" s="270"/>
    </row>
    <row r="1371" spans="1:8" x14ac:dyDescent="0.25">
      <c r="A1371" s="257">
        <v>1374</v>
      </c>
      <c r="B1371" s="267">
        <v>1370</v>
      </c>
      <c r="C1371" s="268" t="s">
        <v>3737</v>
      </c>
      <c r="D1371" s="269">
        <v>41907</v>
      </c>
      <c r="E1371" s="270" t="s">
        <v>3736</v>
      </c>
      <c r="F1371" s="384">
        <v>198000</v>
      </c>
      <c r="G1371" s="270">
        <v>192132427</v>
      </c>
      <c r="H1371" s="270"/>
    </row>
    <row r="1372" spans="1:8" x14ac:dyDescent="0.25">
      <c r="A1372" s="257">
        <v>1375</v>
      </c>
      <c r="B1372" s="267">
        <v>1371</v>
      </c>
      <c r="C1372" s="268" t="s">
        <v>3734</v>
      </c>
      <c r="D1372" s="269">
        <v>41908</v>
      </c>
      <c r="E1372" s="270" t="s">
        <v>2358</v>
      </c>
      <c r="F1372" s="384">
        <v>435000</v>
      </c>
      <c r="G1372" s="270">
        <v>800008903</v>
      </c>
      <c r="H1372" s="270"/>
    </row>
    <row r="1373" spans="1:8" x14ac:dyDescent="0.25">
      <c r="A1373" s="257">
        <v>1376</v>
      </c>
      <c r="B1373" s="267">
        <v>1372</v>
      </c>
      <c r="C1373" s="268" t="s">
        <v>429</v>
      </c>
      <c r="D1373" s="269">
        <v>41908</v>
      </c>
      <c r="E1373" s="270" t="s">
        <v>816</v>
      </c>
      <c r="F1373" s="384">
        <v>280000</v>
      </c>
      <c r="G1373" s="270">
        <v>101225557</v>
      </c>
      <c r="H1373" s="270"/>
    </row>
    <row r="1374" spans="1:8" x14ac:dyDescent="0.25">
      <c r="A1374" s="257">
        <v>1377</v>
      </c>
      <c r="B1374" s="267">
        <v>1373</v>
      </c>
      <c r="C1374" s="268" t="s">
        <v>3660</v>
      </c>
      <c r="D1374" s="269">
        <v>41908</v>
      </c>
      <c r="E1374" s="270" t="s">
        <v>156</v>
      </c>
      <c r="F1374" s="384">
        <v>435000</v>
      </c>
      <c r="G1374" s="270">
        <v>690559664</v>
      </c>
      <c r="H1374" s="270"/>
    </row>
    <row r="1375" spans="1:8" x14ac:dyDescent="0.25">
      <c r="A1375" s="257">
        <v>1378</v>
      </c>
      <c r="B1375" s="267">
        <v>1374</v>
      </c>
      <c r="C1375" s="268" t="s">
        <v>3660</v>
      </c>
      <c r="D1375" s="269">
        <v>41908</v>
      </c>
      <c r="E1375" s="270" t="s">
        <v>156</v>
      </c>
      <c r="F1375" s="384">
        <v>155000</v>
      </c>
      <c r="G1375" s="270">
        <v>690559664</v>
      </c>
      <c r="H1375" s="270"/>
    </row>
    <row r="1376" spans="1:8" x14ac:dyDescent="0.25">
      <c r="A1376" s="257">
        <v>1379</v>
      </c>
      <c r="B1376" s="267">
        <v>1375</v>
      </c>
      <c r="C1376" s="268" t="s">
        <v>466</v>
      </c>
      <c r="D1376" s="269">
        <v>41908</v>
      </c>
      <c r="E1376" s="270" t="s">
        <v>902</v>
      </c>
      <c r="F1376" s="384">
        <v>160000</v>
      </c>
      <c r="G1376" s="270">
        <v>190351142</v>
      </c>
      <c r="H1376" s="270"/>
    </row>
    <row r="1377" spans="1:8" x14ac:dyDescent="0.25">
      <c r="A1377" s="257">
        <v>1380</v>
      </c>
      <c r="B1377" s="267">
        <v>1376</v>
      </c>
      <c r="C1377" s="268" t="s">
        <v>2870</v>
      </c>
      <c r="D1377" s="269">
        <v>41908</v>
      </c>
      <c r="E1377" s="270" t="s">
        <v>877</v>
      </c>
      <c r="F1377" s="384">
        <v>1585000</v>
      </c>
      <c r="G1377" s="270">
        <v>100064641</v>
      </c>
      <c r="H1377" s="270"/>
    </row>
    <row r="1378" spans="1:8" x14ac:dyDescent="0.25">
      <c r="A1378" s="257">
        <v>1381</v>
      </c>
      <c r="B1378" s="267">
        <v>1377</v>
      </c>
      <c r="C1378" s="268" t="s">
        <v>3126</v>
      </c>
      <c r="D1378" s="269">
        <v>41908</v>
      </c>
      <c r="E1378" s="270" t="s">
        <v>2409</v>
      </c>
      <c r="F1378" s="384">
        <v>280000</v>
      </c>
      <c r="G1378" s="270">
        <v>691464441</v>
      </c>
      <c r="H1378" s="270"/>
    </row>
    <row r="1379" spans="1:8" x14ac:dyDescent="0.25">
      <c r="A1379" s="257">
        <v>1382</v>
      </c>
      <c r="B1379" s="267">
        <v>1378</v>
      </c>
      <c r="C1379" s="268" t="s">
        <v>2036</v>
      </c>
      <c r="D1379" s="269">
        <v>41908</v>
      </c>
      <c r="E1379" s="270" t="s">
        <v>3594</v>
      </c>
      <c r="F1379" s="384">
        <v>870000</v>
      </c>
      <c r="G1379" s="270">
        <v>190882802</v>
      </c>
      <c r="H1379" s="270"/>
    </row>
    <row r="1380" spans="1:8" x14ac:dyDescent="0.25">
      <c r="A1380" s="257">
        <v>1383</v>
      </c>
      <c r="B1380" s="267">
        <v>1379</v>
      </c>
      <c r="C1380" s="268" t="s">
        <v>961</v>
      </c>
      <c r="D1380" s="269">
        <v>41909</v>
      </c>
      <c r="E1380" s="270" t="s">
        <v>928</v>
      </c>
      <c r="F1380" s="384">
        <v>155000</v>
      </c>
      <c r="G1380" s="270">
        <v>101453058</v>
      </c>
      <c r="H1380" s="270"/>
    </row>
    <row r="1381" spans="1:8" x14ac:dyDescent="0.25">
      <c r="A1381" s="257">
        <v>1384</v>
      </c>
      <c r="B1381" s="267">
        <v>1380</v>
      </c>
      <c r="C1381" s="268" t="s">
        <v>4227</v>
      </c>
      <c r="D1381" s="269">
        <v>41909</v>
      </c>
      <c r="E1381" s="270" t="s">
        <v>186</v>
      </c>
      <c r="F1381" s="384">
        <v>62000</v>
      </c>
      <c r="G1381" s="270">
        <v>691585490</v>
      </c>
      <c r="H1381" s="270"/>
    </row>
    <row r="1382" spans="1:8" x14ac:dyDescent="0.25">
      <c r="A1382" s="257">
        <v>1385</v>
      </c>
      <c r="B1382" s="267">
        <v>1381</v>
      </c>
      <c r="C1382" s="268" t="s">
        <v>1658</v>
      </c>
      <c r="D1382" s="269">
        <v>41911</v>
      </c>
      <c r="E1382" s="270" t="s">
        <v>825</v>
      </c>
      <c r="F1382" s="384">
        <v>435000</v>
      </c>
      <c r="G1382" s="270">
        <v>100951254</v>
      </c>
      <c r="H1382" s="270"/>
    </row>
    <row r="1383" spans="1:8" x14ac:dyDescent="0.25">
      <c r="A1383" s="257">
        <v>1386</v>
      </c>
      <c r="B1383" s="267">
        <v>1382</v>
      </c>
      <c r="C1383" s="268" t="s">
        <v>1658</v>
      </c>
      <c r="D1383" s="269">
        <v>41911</v>
      </c>
      <c r="E1383" s="270" t="s">
        <v>825</v>
      </c>
      <c r="F1383" s="384">
        <v>870000</v>
      </c>
      <c r="G1383" s="270">
        <v>100951254</v>
      </c>
      <c r="H1383" s="270"/>
    </row>
    <row r="1384" spans="1:8" x14ac:dyDescent="0.25">
      <c r="A1384" s="257">
        <v>1387</v>
      </c>
      <c r="B1384" s="267">
        <v>1383</v>
      </c>
      <c r="C1384" s="268" t="s">
        <v>1108</v>
      </c>
      <c r="D1384" s="269">
        <v>41911</v>
      </c>
      <c r="E1384" s="270" t="s">
        <v>4193</v>
      </c>
      <c r="F1384" s="384">
        <v>240000</v>
      </c>
      <c r="G1384" s="270">
        <v>100387745</v>
      </c>
      <c r="H1384" s="270"/>
    </row>
    <row r="1385" spans="1:8" x14ac:dyDescent="0.25">
      <c r="A1385" s="257">
        <v>1388</v>
      </c>
      <c r="B1385" s="267">
        <v>1384</v>
      </c>
      <c r="C1385" s="268" t="s">
        <v>262</v>
      </c>
      <c r="D1385" s="269">
        <v>41911</v>
      </c>
      <c r="E1385" s="270" t="s">
        <v>927</v>
      </c>
      <c r="F1385" s="384">
        <v>160000</v>
      </c>
      <c r="G1385" s="270">
        <v>190454318</v>
      </c>
      <c r="H1385" s="270"/>
    </row>
    <row r="1386" spans="1:8" x14ac:dyDescent="0.25">
      <c r="A1386" s="257">
        <v>1389</v>
      </c>
      <c r="B1386" s="267">
        <v>1385</v>
      </c>
      <c r="C1386" s="268" t="s">
        <v>2674</v>
      </c>
      <c r="D1386" s="269">
        <v>41911</v>
      </c>
      <c r="E1386" s="270" t="s">
        <v>2072</v>
      </c>
      <c r="F1386" s="384">
        <v>275000</v>
      </c>
      <c r="G1386" s="270">
        <v>191251634</v>
      </c>
      <c r="H1386" s="270"/>
    </row>
    <row r="1387" spans="1:8" x14ac:dyDescent="0.25">
      <c r="A1387" s="257">
        <v>1390</v>
      </c>
      <c r="B1387" s="267">
        <v>1386</v>
      </c>
      <c r="C1387" s="268" t="s">
        <v>699</v>
      </c>
      <c r="D1387" s="269">
        <v>41911</v>
      </c>
      <c r="E1387" s="270" t="s">
        <v>1623</v>
      </c>
      <c r="F1387" s="384">
        <v>300000</v>
      </c>
      <c r="G1387" s="270">
        <v>691422903</v>
      </c>
      <c r="H1387" s="270"/>
    </row>
    <row r="1388" spans="1:8" x14ac:dyDescent="0.25">
      <c r="A1388" s="257">
        <v>1391</v>
      </c>
      <c r="B1388" s="267">
        <v>1387</v>
      </c>
      <c r="C1388" s="268" t="s">
        <v>3520</v>
      </c>
      <c r="D1388" s="269">
        <v>41911</v>
      </c>
      <c r="E1388" s="270" t="s">
        <v>911</v>
      </c>
      <c r="F1388" s="384">
        <v>280000</v>
      </c>
      <c r="G1388" s="270">
        <v>191224163</v>
      </c>
      <c r="H1388" s="270"/>
    </row>
    <row r="1389" spans="1:8" x14ac:dyDescent="0.25">
      <c r="A1389" s="257">
        <v>1392</v>
      </c>
      <c r="B1389" s="267">
        <v>1388</v>
      </c>
      <c r="C1389" s="268" t="s">
        <v>3853</v>
      </c>
      <c r="D1389" s="269">
        <v>41911</v>
      </c>
      <c r="E1389" s="270" t="s">
        <v>3306</v>
      </c>
      <c r="F1389" s="384">
        <v>155000</v>
      </c>
      <c r="G1389" s="270">
        <v>100264004</v>
      </c>
      <c r="H1389" s="270"/>
    </row>
    <row r="1390" spans="1:8" x14ac:dyDescent="0.25">
      <c r="A1390" s="257">
        <v>1393</v>
      </c>
      <c r="B1390" s="267">
        <v>1389</v>
      </c>
      <c r="C1390" s="268" t="s">
        <v>223</v>
      </c>
      <c r="D1390" s="269">
        <v>41911</v>
      </c>
      <c r="E1390" s="270" t="s">
        <v>834</v>
      </c>
      <c r="F1390" s="384">
        <v>240000</v>
      </c>
      <c r="G1390" s="270">
        <v>190465117</v>
      </c>
      <c r="H1390" s="270"/>
    </row>
    <row r="1391" spans="1:8" x14ac:dyDescent="0.25">
      <c r="A1391" s="257">
        <v>1394</v>
      </c>
      <c r="B1391" s="267">
        <v>1390</v>
      </c>
      <c r="C1391" s="268" t="s">
        <v>3734</v>
      </c>
      <c r="D1391" s="269">
        <v>41911</v>
      </c>
      <c r="E1391" s="270" t="s">
        <v>2358</v>
      </c>
      <c r="F1391" s="384">
        <v>36000</v>
      </c>
      <c r="G1391" s="270">
        <v>800008903</v>
      </c>
      <c r="H1391" s="270"/>
    </row>
    <row r="1392" spans="1:8" x14ac:dyDescent="0.25">
      <c r="A1392" s="257">
        <v>1395</v>
      </c>
      <c r="B1392" s="267">
        <v>1391</v>
      </c>
      <c r="C1392" s="268" t="s">
        <v>1120</v>
      </c>
      <c r="D1392" s="269">
        <v>41912</v>
      </c>
      <c r="E1392" s="270" t="s">
        <v>493</v>
      </c>
      <c r="F1392" s="384">
        <v>590000</v>
      </c>
      <c r="G1392" s="270">
        <v>191727606</v>
      </c>
      <c r="H1392" s="270"/>
    </row>
    <row r="1393" spans="1:8" x14ac:dyDescent="0.25">
      <c r="A1393" s="257">
        <v>1396</v>
      </c>
      <c r="B1393" s="267">
        <v>1392</v>
      </c>
      <c r="C1393" s="268" t="s">
        <v>2605</v>
      </c>
      <c r="D1393" s="269">
        <v>41912</v>
      </c>
      <c r="E1393" s="270" t="s">
        <v>3604</v>
      </c>
      <c r="F1393" s="384">
        <v>240000</v>
      </c>
      <c r="G1393" s="270">
        <v>100088681</v>
      </c>
      <c r="H1393" s="270"/>
    </row>
    <row r="1394" spans="1:8" x14ac:dyDescent="0.25">
      <c r="A1394" s="257">
        <v>1397</v>
      </c>
      <c r="B1394" s="267">
        <v>1393</v>
      </c>
      <c r="C1394" s="268" t="s">
        <v>3729</v>
      </c>
      <c r="D1394" s="269">
        <v>41912</v>
      </c>
      <c r="E1394" s="270" t="s">
        <v>2164</v>
      </c>
      <c r="F1394" s="384">
        <v>280000</v>
      </c>
      <c r="G1394" s="270">
        <v>100987897</v>
      </c>
      <c r="H1394" s="270"/>
    </row>
    <row r="1395" spans="1:8" x14ac:dyDescent="0.25">
      <c r="A1395" s="257">
        <v>1398</v>
      </c>
      <c r="B1395" s="267">
        <v>1394</v>
      </c>
      <c r="C1395" s="268" t="s">
        <v>3729</v>
      </c>
      <c r="D1395" s="269">
        <v>41912</v>
      </c>
      <c r="E1395" s="270" t="s">
        <v>2164</v>
      </c>
      <c r="F1395" s="384">
        <v>155000</v>
      </c>
      <c r="G1395" s="270">
        <v>100987897</v>
      </c>
      <c r="H1395" s="270"/>
    </row>
    <row r="1396" spans="1:8" x14ac:dyDescent="0.25">
      <c r="A1396" s="257">
        <v>1399</v>
      </c>
      <c r="B1396" s="267">
        <v>1395</v>
      </c>
      <c r="C1396" s="268" t="s">
        <v>3568</v>
      </c>
      <c r="D1396" s="269">
        <v>41912</v>
      </c>
      <c r="E1396" s="270" t="s">
        <v>3548</v>
      </c>
      <c r="F1396" s="384">
        <v>155000</v>
      </c>
      <c r="G1396" s="270">
        <v>100192928</v>
      </c>
      <c r="H1396" s="270"/>
    </row>
    <row r="1397" spans="1:8" x14ac:dyDescent="0.25">
      <c r="A1397" s="257">
        <v>1400</v>
      </c>
      <c r="B1397" s="267">
        <v>1396</v>
      </c>
      <c r="C1397" s="268" t="s">
        <v>256</v>
      </c>
      <c r="D1397" s="269">
        <v>41912</v>
      </c>
      <c r="E1397" s="270" t="s">
        <v>2967</v>
      </c>
      <c r="F1397" s="384">
        <v>63000</v>
      </c>
      <c r="G1397" s="270">
        <v>100875153</v>
      </c>
      <c r="H1397" s="270"/>
    </row>
    <row r="1398" spans="1:8" x14ac:dyDescent="0.25">
      <c r="A1398" s="257">
        <v>1401</v>
      </c>
      <c r="B1398" s="267">
        <v>1397</v>
      </c>
      <c r="C1398" s="268" t="s">
        <v>3217</v>
      </c>
      <c r="D1398" s="269">
        <v>41912</v>
      </c>
      <c r="E1398" s="270" t="s">
        <v>2965</v>
      </c>
      <c r="F1398" s="384">
        <v>198000</v>
      </c>
      <c r="G1398" s="270">
        <v>190431754</v>
      </c>
      <c r="H1398" s="270"/>
    </row>
    <row r="1399" spans="1:8" x14ac:dyDescent="0.25">
      <c r="A1399" s="257">
        <v>1402</v>
      </c>
      <c r="B1399" s="267">
        <v>1398</v>
      </c>
      <c r="C1399" s="268" t="s">
        <v>179</v>
      </c>
      <c r="D1399" s="269">
        <v>41912</v>
      </c>
      <c r="E1399" s="270" t="s">
        <v>3861</v>
      </c>
      <c r="F1399" s="384">
        <v>165000</v>
      </c>
      <c r="G1399" s="270">
        <v>190474061</v>
      </c>
      <c r="H1399" s="270"/>
    </row>
    <row r="1400" spans="1:8" x14ac:dyDescent="0.25">
      <c r="A1400" s="257">
        <v>1403</v>
      </c>
      <c r="B1400" s="267">
        <v>1399</v>
      </c>
      <c r="C1400" s="268" t="s">
        <v>1021</v>
      </c>
      <c r="D1400" s="269">
        <v>41912</v>
      </c>
      <c r="E1400" s="270" t="s">
        <v>320</v>
      </c>
      <c r="F1400" s="384">
        <v>435000</v>
      </c>
      <c r="G1400" s="270">
        <v>690831296</v>
      </c>
      <c r="H1400" s="270"/>
    </row>
    <row r="1401" spans="1:8" x14ac:dyDescent="0.25">
      <c r="A1401" s="257">
        <v>1404</v>
      </c>
      <c r="B1401" s="267">
        <v>1400</v>
      </c>
      <c r="C1401" s="268" t="s">
        <v>366</v>
      </c>
      <c r="D1401" s="269">
        <v>41912</v>
      </c>
      <c r="E1401" s="270" t="s">
        <v>2615</v>
      </c>
      <c r="F1401" s="384">
        <v>192000</v>
      </c>
      <c r="G1401" s="270">
        <v>690031555</v>
      </c>
      <c r="H1401" s="270"/>
    </row>
    <row r="1402" spans="1:8" x14ac:dyDescent="0.25">
      <c r="A1402" s="257">
        <v>1405</v>
      </c>
      <c r="B1402" s="267">
        <v>1401</v>
      </c>
      <c r="C1402" s="268" t="s">
        <v>2781</v>
      </c>
      <c r="D1402" s="269">
        <v>41912</v>
      </c>
      <c r="E1402" s="270" t="s">
        <v>2850</v>
      </c>
      <c r="F1402" s="384">
        <v>94000</v>
      </c>
      <c r="G1402" s="270">
        <v>190409867</v>
      </c>
      <c r="H1402" s="270"/>
    </row>
    <row r="1403" spans="1:8" x14ac:dyDescent="0.25">
      <c r="A1403" s="257">
        <v>1406</v>
      </c>
      <c r="B1403" s="267">
        <v>1402</v>
      </c>
      <c r="C1403" s="268" t="s">
        <v>978</v>
      </c>
      <c r="D1403" s="269">
        <v>41912</v>
      </c>
      <c r="E1403" s="270" t="s">
        <v>847</v>
      </c>
      <c r="F1403" s="384">
        <v>1305000</v>
      </c>
      <c r="G1403" s="270">
        <v>190853326</v>
      </c>
      <c r="H1403" s="270"/>
    </row>
    <row r="1404" spans="1:8" x14ac:dyDescent="0.25">
      <c r="A1404" s="257">
        <v>1407</v>
      </c>
      <c r="B1404" s="267">
        <v>1403</v>
      </c>
      <c r="C1404" s="268" t="s">
        <v>725</v>
      </c>
      <c r="D1404" s="269">
        <v>41912</v>
      </c>
      <c r="E1404" s="270" t="s">
        <v>861</v>
      </c>
      <c r="F1404" s="384">
        <v>3045000</v>
      </c>
      <c r="G1404" s="270">
        <v>100097541</v>
      </c>
      <c r="H1404" s="270"/>
    </row>
    <row r="1405" spans="1:8" x14ac:dyDescent="0.25">
      <c r="A1405" s="257">
        <v>1408</v>
      </c>
      <c r="B1405" s="267">
        <v>1404</v>
      </c>
      <c r="C1405" s="268" t="s">
        <v>1844</v>
      </c>
      <c r="D1405" s="269">
        <v>41912</v>
      </c>
      <c r="E1405" s="270" t="s">
        <v>1843</v>
      </c>
      <c r="F1405" s="384">
        <v>160000</v>
      </c>
      <c r="G1405" s="270">
        <v>100080877</v>
      </c>
      <c r="H1405" s="270"/>
    </row>
    <row r="1406" spans="1:8" x14ac:dyDescent="0.25">
      <c r="A1406" s="257">
        <v>1409</v>
      </c>
      <c r="B1406" s="267">
        <v>1405</v>
      </c>
      <c r="C1406" s="268" t="s">
        <v>67</v>
      </c>
      <c r="D1406" s="269">
        <v>41912</v>
      </c>
      <c r="E1406" s="270" t="s">
        <v>914</v>
      </c>
      <c r="F1406" s="384">
        <v>63000</v>
      </c>
      <c r="G1406" s="270">
        <v>190114911</v>
      </c>
      <c r="H1406" s="270"/>
    </row>
    <row r="1407" spans="1:8" x14ac:dyDescent="0.25">
      <c r="A1407" s="257">
        <v>1410</v>
      </c>
      <c r="B1407" s="267">
        <v>1406</v>
      </c>
      <c r="C1407" s="268" t="s">
        <v>1936</v>
      </c>
      <c r="D1407" s="269">
        <v>41913</v>
      </c>
      <c r="E1407" s="270" t="s">
        <v>3524</v>
      </c>
      <c r="F1407" s="384">
        <v>240000</v>
      </c>
      <c r="G1407" s="270">
        <v>691432152</v>
      </c>
      <c r="H1407" s="270"/>
    </row>
    <row r="1408" spans="1:8" x14ac:dyDescent="0.25">
      <c r="A1408" s="257">
        <v>1411</v>
      </c>
      <c r="B1408" s="267">
        <v>1407</v>
      </c>
      <c r="C1408" s="268" t="s">
        <v>3251</v>
      </c>
      <c r="D1408" s="269">
        <v>41913</v>
      </c>
      <c r="E1408" s="270" t="s">
        <v>4211</v>
      </c>
      <c r="F1408" s="384">
        <v>435000</v>
      </c>
      <c r="G1408" s="270">
        <v>191007831</v>
      </c>
      <c r="H1408" s="270"/>
    </row>
    <row r="1409" spans="1:8" x14ac:dyDescent="0.25">
      <c r="A1409" s="257">
        <v>1412</v>
      </c>
      <c r="B1409" s="267">
        <v>1408</v>
      </c>
      <c r="C1409" s="268" t="s">
        <v>486</v>
      </c>
      <c r="D1409" s="269">
        <v>41913</v>
      </c>
      <c r="E1409" s="270" t="s">
        <v>871</v>
      </c>
      <c r="F1409" s="384">
        <v>240000</v>
      </c>
      <c r="G1409" s="270">
        <v>101452725</v>
      </c>
      <c r="H1409" s="270"/>
    </row>
    <row r="1410" spans="1:8" x14ac:dyDescent="0.25">
      <c r="A1410" s="257">
        <v>1413</v>
      </c>
      <c r="B1410" s="267">
        <v>1409</v>
      </c>
      <c r="C1410" s="268" t="s">
        <v>3133</v>
      </c>
      <c r="D1410" s="269">
        <v>41913</v>
      </c>
      <c r="E1410" s="270" t="s">
        <v>3587</v>
      </c>
      <c r="F1410" s="384">
        <v>1005000</v>
      </c>
      <c r="G1410" s="270">
        <v>101254783</v>
      </c>
      <c r="H1410" s="270"/>
    </row>
    <row r="1411" spans="1:8" x14ac:dyDescent="0.25">
      <c r="A1411" s="257">
        <v>1414</v>
      </c>
      <c r="B1411" s="267">
        <v>1410</v>
      </c>
      <c r="C1411" s="268" t="s">
        <v>3330</v>
      </c>
      <c r="D1411" s="269">
        <v>41913</v>
      </c>
      <c r="E1411" s="270" t="s">
        <v>3108</v>
      </c>
      <c r="F1411" s="384">
        <v>198000</v>
      </c>
      <c r="G1411" s="270">
        <v>190860770</v>
      </c>
      <c r="H1411" s="270"/>
    </row>
    <row r="1412" spans="1:8" x14ac:dyDescent="0.25">
      <c r="A1412" s="257">
        <v>1415</v>
      </c>
      <c r="B1412" s="267">
        <v>1411</v>
      </c>
      <c r="C1412" s="268" t="s">
        <v>1918</v>
      </c>
      <c r="D1412" s="269">
        <v>41913</v>
      </c>
      <c r="E1412" s="270" t="s">
        <v>1607</v>
      </c>
      <c r="F1412" s="384">
        <v>435000</v>
      </c>
      <c r="G1412" s="270">
        <v>690643672</v>
      </c>
      <c r="H1412" s="270"/>
    </row>
    <row r="1413" spans="1:8" x14ac:dyDescent="0.25">
      <c r="A1413" s="257">
        <v>1416</v>
      </c>
      <c r="B1413" s="267">
        <v>1412</v>
      </c>
      <c r="C1413" s="268" t="s">
        <v>462</v>
      </c>
      <c r="D1413" s="269">
        <v>41913</v>
      </c>
      <c r="E1413" s="270" t="s">
        <v>183</v>
      </c>
      <c r="F1413" s="384">
        <v>435000</v>
      </c>
      <c r="G1413" s="270">
        <v>190905167</v>
      </c>
      <c r="H1413" s="270"/>
    </row>
    <row r="1414" spans="1:8" x14ac:dyDescent="0.25">
      <c r="A1414" s="257">
        <v>1417</v>
      </c>
      <c r="B1414" s="267">
        <v>1413</v>
      </c>
      <c r="C1414" s="268" t="s">
        <v>951</v>
      </c>
      <c r="D1414" s="269">
        <v>41913</v>
      </c>
      <c r="E1414" s="270" t="s">
        <v>993</v>
      </c>
      <c r="F1414" s="384">
        <v>435000</v>
      </c>
      <c r="G1414" s="270">
        <v>290481601</v>
      </c>
      <c r="H1414" s="270"/>
    </row>
    <row r="1415" spans="1:8" x14ac:dyDescent="0.25">
      <c r="A1415" s="257">
        <v>1418</v>
      </c>
      <c r="B1415" s="267">
        <v>1414</v>
      </c>
      <c r="C1415" s="268" t="s">
        <v>1647</v>
      </c>
      <c r="D1415" s="269">
        <v>41913</v>
      </c>
      <c r="E1415" s="270" t="s">
        <v>1687</v>
      </c>
      <c r="F1415" s="384">
        <v>435000</v>
      </c>
      <c r="G1415" s="270">
        <v>691420821</v>
      </c>
      <c r="H1415" s="270"/>
    </row>
    <row r="1416" spans="1:8" x14ac:dyDescent="0.25">
      <c r="A1416" s="257">
        <v>1419</v>
      </c>
      <c r="B1416" s="267">
        <v>1415</v>
      </c>
      <c r="C1416" s="268" t="s">
        <v>2437</v>
      </c>
      <c r="D1416" s="269">
        <v>41913</v>
      </c>
      <c r="E1416" s="270" t="s">
        <v>3584</v>
      </c>
      <c r="F1416" s="384">
        <v>63000</v>
      </c>
      <c r="G1416" s="270">
        <v>100297330</v>
      </c>
      <c r="H1416" s="270"/>
    </row>
    <row r="1417" spans="1:8" x14ac:dyDescent="0.25">
      <c r="A1417" s="257">
        <v>1420</v>
      </c>
      <c r="B1417" s="267">
        <v>1416</v>
      </c>
      <c r="C1417" s="268" t="s">
        <v>2416</v>
      </c>
      <c r="D1417" s="269">
        <v>41913</v>
      </c>
      <c r="E1417" s="270" t="s">
        <v>521</v>
      </c>
      <c r="F1417" s="384">
        <v>300000</v>
      </c>
      <c r="G1417" s="270">
        <v>800012777</v>
      </c>
      <c r="H1417" s="270"/>
    </row>
    <row r="1418" spans="1:8" x14ac:dyDescent="0.25">
      <c r="A1418" s="257">
        <v>1421</v>
      </c>
      <c r="B1418" s="267">
        <v>1417</v>
      </c>
      <c r="C1418" s="268" t="s">
        <v>1021</v>
      </c>
      <c r="D1418" s="269">
        <v>41914</v>
      </c>
      <c r="E1418" s="270" t="s">
        <v>320</v>
      </c>
      <c r="F1418" s="384">
        <v>240000</v>
      </c>
      <c r="G1418" s="270">
        <v>690831296</v>
      </c>
      <c r="H1418" s="270"/>
    </row>
    <row r="1419" spans="1:8" x14ac:dyDescent="0.25">
      <c r="A1419" s="257">
        <v>1422</v>
      </c>
      <c r="B1419" s="267">
        <v>1418</v>
      </c>
      <c r="C1419" s="268" t="s">
        <v>1128</v>
      </c>
      <c r="D1419" s="269">
        <v>41914</v>
      </c>
      <c r="E1419" s="270" t="s">
        <v>3142</v>
      </c>
      <c r="F1419" s="384">
        <v>160000</v>
      </c>
      <c r="G1419" s="270">
        <v>190341035</v>
      </c>
      <c r="H1419" s="270"/>
    </row>
    <row r="1420" spans="1:8" x14ac:dyDescent="0.25">
      <c r="A1420" s="257">
        <v>1423</v>
      </c>
      <c r="B1420" s="267">
        <v>1419</v>
      </c>
      <c r="C1420" s="268" t="s">
        <v>2675</v>
      </c>
      <c r="D1420" s="269">
        <v>41914</v>
      </c>
      <c r="E1420" s="270" t="s">
        <v>837</v>
      </c>
      <c r="F1420" s="384">
        <v>800000</v>
      </c>
      <c r="G1420" s="270">
        <v>101449345</v>
      </c>
      <c r="H1420" s="270"/>
    </row>
    <row r="1421" spans="1:8" x14ac:dyDescent="0.25">
      <c r="A1421" s="257">
        <v>1424</v>
      </c>
      <c r="B1421" s="267">
        <v>1420</v>
      </c>
      <c r="C1421" s="268" t="s">
        <v>2765</v>
      </c>
      <c r="D1421" s="269">
        <v>41914</v>
      </c>
      <c r="E1421" s="270" t="s">
        <v>801</v>
      </c>
      <c r="F1421" s="384">
        <v>435000</v>
      </c>
      <c r="G1421" s="270">
        <v>691420768</v>
      </c>
      <c r="H1421" s="270"/>
    </row>
    <row r="1422" spans="1:8" x14ac:dyDescent="0.25">
      <c r="A1422" s="257">
        <v>1425</v>
      </c>
      <c r="B1422" s="267">
        <v>1421</v>
      </c>
      <c r="C1422" s="268" t="s">
        <v>1525</v>
      </c>
      <c r="D1422" s="269">
        <v>41914</v>
      </c>
      <c r="E1422" s="270" t="s">
        <v>1005</v>
      </c>
      <c r="F1422" s="384">
        <v>300000</v>
      </c>
      <c r="G1422" s="270">
        <v>101116081</v>
      </c>
      <c r="H1422" s="270"/>
    </row>
    <row r="1423" spans="1:8" x14ac:dyDescent="0.25">
      <c r="A1423" s="257">
        <v>1426</v>
      </c>
      <c r="B1423" s="267">
        <v>1422</v>
      </c>
      <c r="C1423" s="268" t="s">
        <v>2955</v>
      </c>
      <c r="D1423" s="269">
        <v>41914</v>
      </c>
      <c r="E1423" s="270" t="s">
        <v>1929</v>
      </c>
      <c r="F1423" s="384">
        <v>396000</v>
      </c>
      <c r="G1423" s="270">
        <v>200551259</v>
      </c>
      <c r="H1423" s="270"/>
    </row>
    <row r="1424" spans="1:8" x14ac:dyDescent="0.25">
      <c r="A1424" s="257">
        <v>1427</v>
      </c>
      <c r="B1424" s="267">
        <v>1423</v>
      </c>
      <c r="C1424" s="268" t="s">
        <v>806</v>
      </c>
      <c r="D1424" s="269">
        <v>41914</v>
      </c>
      <c r="E1424" s="270" t="s">
        <v>826</v>
      </c>
      <c r="F1424" s="384">
        <v>300000</v>
      </c>
      <c r="G1424" s="270">
        <v>691077479</v>
      </c>
      <c r="H1424" s="270"/>
    </row>
    <row r="1425" spans="1:8" x14ac:dyDescent="0.25">
      <c r="A1425" s="257">
        <v>1428</v>
      </c>
      <c r="B1425" s="267">
        <v>1424</v>
      </c>
      <c r="C1425" s="268" t="s">
        <v>3300</v>
      </c>
      <c r="D1425" s="269">
        <v>41914</v>
      </c>
      <c r="E1425" s="270" t="s">
        <v>2678</v>
      </c>
      <c r="F1425" s="384">
        <v>130000</v>
      </c>
      <c r="G1425" s="270">
        <v>691584652</v>
      </c>
      <c r="H1425" s="270"/>
    </row>
    <row r="1426" spans="1:8" x14ac:dyDescent="0.25">
      <c r="A1426" s="257">
        <v>1429</v>
      </c>
      <c r="B1426" s="267">
        <v>1425</v>
      </c>
      <c r="C1426" s="268" t="s">
        <v>457</v>
      </c>
      <c r="D1426" s="269">
        <v>41915</v>
      </c>
      <c r="E1426" s="270" t="s">
        <v>3835</v>
      </c>
      <c r="F1426" s="384">
        <v>63000</v>
      </c>
      <c r="G1426" s="270">
        <v>191687762</v>
      </c>
      <c r="H1426" s="270"/>
    </row>
    <row r="1427" spans="1:8" x14ac:dyDescent="0.25">
      <c r="A1427" s="257">
        <v>1430</v>
      </c>
      <c r="B1427" s="267">
        <v>1426</v>
      </c>
      <c r="C1427" s="268" t="s">
        <v>2166</v>
      </c>
      <c r="D1427" s="269">
        <v>41915</v>
      </c>
      <c r="E1427" s="270" t="s">
        <v>1685</v>
      </c>
      <c r="F1427" s="384">
        <v>560000</v>
      </c>
      <c r="G1427" s="270">
        <v>100315326</v>
      </c>
      <c r="H1427" s="270"/>
    </row>
    <row r="1428" spans="1:8" x14ac:dyDescent="0.25">
      <c r="A1428" s="257">
        <v>1431</v>
      </c>
      <c r="B1428" s="267">
        <v>1427</v>
      </c>
      <c r="C1428" s="268" t="s">
        <v>1108</v>
      </c>
      <c r="D1428" s="269">
        <v>41915</v>
      </c>
      <c r="E1428" s="270" t="s">
        <v>4193</v>
      </c>
      <c r="F1428" s="384">
        <v>280000</v>
      </c>
      <c r="G1428" s="270">
        <v>100387745</v>
      </c>
      <c r="H1428" s="270"/>
    </row>
    <row r="1429" spans="1:8" x14ac:dyDescent="0.25">
      <c r="A1429" s="257">
        <v>1432</v>
      </c>
      <c r="B1429" s="267">
        <v>1428</v>
      </c>
      <c r="C1429" s="268" t="s">
        <v>483</v>
      </c>
      <c r="D1429" s="269">
        <v>41915</v>
      </c>
      <c r="E1429" s="270" t="s">
        <v>233</v>
      </c>
      <c r="F1429" s="384">
        <v>165000</v>
      </c>
      <c r="G1429" s="270">
        <v>100651791</v>
      </c>
      <c r="H1429" s="270"/>
    </row>
    <row r="1430" spans="1:8" x14ac:dyDescent="0.25">
      <c r="A1430" s="257">
        <v>1433</v>
      </c>
      <c r="B1430" s="267">
        <v>1429</v>
      </c>
      <c r="C1430" s="268" t="s">
        <v>457</v>
      </c>
      <c r="D1430" s="269">
        <v>41915</v>
      </c>
      <c r="E1430" s="270" t="s">
        <v>3835</v>
      </c>
      <c r="F1430" s="384">
        <v>63000</v>
      </c>
      <c r="G1430" s="270">
        <v>191687762</v>
      </c>
      <c r="H1430" s="270"/>
    </row>
    <row r="1431" spans="1:8" x14ac:dyDescent="0.25">
      <c r="A1431" s="257">
        <v>1434</v>
      </c>
      <c r="B1431" s="267">
        <v>1430</v>
      </c>
      <c r="C1431" s="268" t="s">
        <v>910</v>
      </c>
      <c r="D1431" s="269">
        <v>41915</v>
      </c>
      <c r="E1431" s="270" t="s">
        <v>1656</v>
      </c>
      <c r="F1431" s="384">
        <v>198000</v>
      </c>
      <c r="G1431" s="270">
        <v>101439397</v>
      </c>
      <c r="H1431" s="270"/>
    </row>
    <row r="1432" spans="1:8" x14ac:dyDescent="0.25">
      <c r="A1432" s="257">
        <v>1435</v>
      </c>
      <c r="B1432" s="267">
        <v>1431</v>
      </c>
      <c r="C1432" s="268" t="s">
        <v>3864</v>
      </c>
      <c r="D1432" s="269">
        <v>41915</v>
      </c>
      <c r="E1432" s="270" t="s">
        <v>906</v>
      </c>
      <c r="F1432" s="384">
        <v>36000</v>
      </c>
      <c r="G1432" s="270">
        <v>100348119</v>
      </c>
      <c r="H1432" s="270"/>
    </row>
    <row r="1433" spans="1:8" x14ac:dyDescent="0.25">
      <c r="A1433" s="257">
        <v>1436</v>
      </c>
      <c r="B1433" s="267">
        <v>1432</v>
      </c>
      <c r="C1433" s="268" t="s">
        <v>3776</v>
      </c>
      <c r="D1433" s="269">
        <v>41915</v>
      </c>
      <c r="E1433" s="270" t="s">
        <v>182</v>
      </c>
      <c r="F1433" s="384">
        <v>435000</v>
      </c>
      <c r="G1433" s="270">
        <v>190113200</v>
      </c>
      <c r="H1433" s="270"/>
    </row>
    <row r="1434" spans="1:8" x14ac:dyDescent="0.25">
      <c r="A1434" s="257">
        <v>1437</v>
      </c>
      <c r="B1434" s="267">
        <v>1433</v>
      </c>
      <c r="C1434" s="268" t="s">
        <v>3729</v>
      </c>
      <c r="D1434" s="269">
        <v>41918</v>
      </c>
      <c r="E1434" s="270" t="s">
        <v>2164</v>
      </c>
      <c r="F1434" s="384">
        <v>280000</v>
      </c>
      <c r="G1434" s="270">
        <v>100987897</v>
      </c>
      <c r="H1434" s="270"/>
    </row>
    <row r="1435" spans="1:8" x14ac:dyDescent="0.25">
      <c r="A1435" s="257">
        <v>1438</v>
      </c>
      <c r="B1435" s="267">
        <v>1434</v>
      </c>
      <c r="C1435" s="268" t="s">
        <v>2751</v>
      </c>
      <c r="D1435" s="269">
        <v>41918</v>
      </c>
      <c r="E1435" s="270" t="s">
        <v>449</v>
      </c>
      <c r="F1435" s="384">
        <v>2610000</v>
      </c>
      <c r="G1435" s="270">
        <v>100025732</v>
      </c>
      <c r="H1435" s="270"/>
    </row>
    <row r="1436" spans="1:8" x14ac:dyDescent="0.25">
      <c r="A1436" s="257">
        <v>1439</v>
      </c>
      <c r="B1436" s="267">
        <v>1435</v>
      </c>
      <c r="C1436" s="268" t="s">
        <v>323</v>
      </c>
      <c r="D1436" s="269">
        <v>41918</v>
      </c>
      <c r="E1436" s="270" t="s">
        <v>2656</v>
      </c>
      <c r="F1436" s="384">
        <v>240000</v>
      </c>
      <c r="G1436" s="270">
        <v>691580100</v>
      </c>
      <c r="H1436" s="270"/>
    </row>
    <row r="1437" spans="1:8" x14ac:dyDescent="0.25">
      <c r="A1437" s="257">
        <v>1440</v>
      </c>
      <c r="B1437" s="267">
        <v>1436</v>
      </c>
      <c r="C1437" s="268" t="s">
        <v>3513</v>
      </c>
      <c r="D1437" s="269">
        <v>41918</v>
      </c>
      <c r="E1437" s="270" t="s">
        <v>824</v>
      </c>
      <c r="F1437" s="384">
        <v>435000</v>
      </c>
      <c r="G1437" s="270">
        <v>100154581</v>
      </c>
      <c r="H1437" s="270"/>
    </row>
    <row r="1438" spans="1:8" x14ac:dyDescent="0.25">
      <c r="A1438" s="257">
        <v>1441</v>
      </c>
      <c r="B1438" s="267">
        <v>1437</v>
      </c>
      <c r="C1438" s="268" t="s">
        <v>2143</v>
      </c>
      <c r="D1438" s="269">
        <v>41918</v>
      </c>
      <c r="E1438" s="270" t="s">
        <v>1927</v>
      </c>
      <c r="F1438" s="384">
        <v>435000</v>
      </c>
      <c r="G1438" s="270">
        <v>190032958</v>
      </c>
      <c r="H1438" s="270"/>
    </row>
    <row r="1439" spans="1:8" x14ac:dyDescent="0.25">
      <c r="A1439" s="257">
        <v>1442</v>
      </c>
      <c r="B1439" s="267">
        <v>1438</v>
      </c>
      <c r="C1439" s="268" t="s">
        <v>1123</v>
      </c>
      <c r="D1439" s="269">
        <v>41918</v>
      </c>
      <c r="E1439" s="270" t="s">
        <v>2643</v>
      </c>
      <c r="F1439" s="384">
        <v>280000</v>
      </c>
      <c r="G1439" s="270">
        <v>691582356</v>
      </c>
      <c r="H1439" s="270"/>
    </row>
    <row r="1440" spans="1:8" x14ac:dyDescent="0.25">
      <c r="A1440" s="257">
        <v>1443</v>
      </c>
      <c r="B1440" s="267">
        <v>1439</v>
      </c>
      <c r="C1440" s="268" t="s">
        <v>262</v>
      </c>
      <c r="D1440" s="269">
        <v>41918</v>
      </c>
      <c r="E1440" s="270" t="s">
        <v>927</v>
      </c>
      <c r="F1440" s="384">
        <v>160000</v>
      </c>
      <c r="G1440" s="270">
        <v>190454318</v>
      </c>
      <c r="H1440" s="270"/>
    </row>
    <row r="1441" spans="1:8" x14ac:dyDescent="0.25">
      <c r="A1441" s="257">
        <v>1444</v>
      </c>
      <c r="B1441" s="267">
        <v>1440</v>
      </c>
      <c r="C1441" s="268" t="s">
        <v>457</v>
      </c>
      <c r="D1441" s="269">
        <v>41918</v>
      </c>
      <c r="E1441" s="270" t="s">
        <v>3835</v>
      </c>
      <c r="F1441" s="384">
        <v>63000</v>
      </c>
      <c r="G1441" s="270">
        <v>191687762</v>
      </c>
      <c r="H1441" s="270"/>
    </row>
    <row r="1442" spans="1:8" x14ac:dyDescent="0.25">
      <c r="A1442" s="257">
        <v>1445</v>
      </c>
      <c r="B1442" s="267">
        <v>1441</v>
      </c>
      <c r="C1442" s="268" t="s">
        <v>2733</v>
      </c>
      <c r="D1442" s="269">
        <v>41918</v>
      </c>
      <c r="E1442" s="270" t="s">
        <v>3491</v>
      </c>
      <c r="F1442" s="384">
        <v>325000</v>
      </c>
      <c r="G1442" s="270">
        <v>800014037</v>
      </c>
      <c r="H1442" s="270"/>
    </row>
    <row r="1443" spans="1:8" x14ac:dyDescent="0.25">
      <c r="A1443" s="257">
        <v>1446</v>
      </c>
      <c r="B1443" s="267">
        <v>1442</v>
      </c>
      <c r="C1443" s="268" t="s">
        <v>1658</v>
      </c>
      <c r="D1443" s="269">
        <v>41918</v>
      </c>
      <c r="E1443" s="270" t="s">
        <v>825</v>
      </c>
      <c r="F1443" s="384">
        <v>435000</v>
      </c>
      <c r="G1443" s="270">
        <v>100951254</v>
      </c>
      <c r="H1443" s="270"/>
    </row>
    <row r="1444" spans="1:8" x14ac:dyDescent="0.25">
      <c r="A1444" s="257">
        <v>1447</v>
      </c>
      <c r="B1444" s="267">
        <v>1443</v>
      </c>
      <c r="C1444" s="268" t="s">
        <v>2835</v>
      </c>
      <c r="D1444" s="269">
        <v>41918</v>
      </c>
      <c r="E1444" s="270" t="s">
        <v>2890</v>
      </c>
      <c r="F1444" s="384">
        <v>198000</v>
      </c>
      <c r="G1444" s="270">
        <v>690367172</v>
      </c>
      <c r="H1444" s="270"/>
    </row>
    <row r="1445" spans="1:8" x14ac:dyDescent="0.25">
      <c r="A1445" s="257">
        <v>1448</v>
      </c>
      <c r="B1445" s="267">
        <v>1444</v>
      </c>
      <c r="C1445" s="268" t="s">
        <v>3528</v>
      </c>
      <c r="D1445" s="269">
        <v>41918</v>
      </c>
      <c r="E1445" s="270" t="s">
        <v>733</v>
      </c>
      <c r="F1445" s="384">
        <v>280000</v>
      </c>
      <c r="G1445" s="270">
        <v>190770035</v>
      </c>
      <c r="H1445" s="270"/>
    </row>
    <row r="1446" spans="1:8" x14ac:dyDescent="0.25">
      <c r="A1446" s="257">
        <v>1449</v>
      </c>
      <c r="B1446" s="267">
        <v>1445</v>
      </c>
      <c r="C1446" s="268" t="s">
        <v>1917</v>
      </c>
      <c r="D1446" s="269">
        <v>41918</v>
      </c>
      <c r="E1446" s="270" t="s">
        <v>874</v>
      </c>
      <c r="F1446" s="384">
        <v>435000</v>
      </c>
      <c r="G1446" s="270">
        <v>191360926</v>
      </c>
      <c r="H1446" s="270"/>
    </row>
    <row r="1447" spans="1:8" x14ac:dyDescent="0.25">
      <c r="A1447" s="257">
        <v>1450</v>
      </c>
      <c r="B1447" s="267">
        <v>1446</v>
      </c>
      <c r="C1447" s="268" t="s">
        <v>3776</v>
      </c>
      <c r="D1447" s="269">
        <v>41918</v>
      </c>
      <c r="E1447" s="270" t="s">
        <v>182</v>
      </c>
      <c r="F1447" s="384">
        <v>435000</v>
      </c>
      <c r="G1447" s="270">
        <v>190113200</v>
      </c>
      <c r="H1447" s="270"/>
    </row>
    <row r="1448" spans="1:8" x14ac:dyDescent="0.25">
      <c r="A1448" s="257">
        <v>1451</v>
      </c>
      <c r="B1448" s="267">
        <v>1447</v>
      </c>
      <c r="C1448" s="268" t="s">
        <v>2166</v>
      </c>
      <c r="D1448" s="269">
        <v>41918</v>
      </c>
      <c r="E1448" s="270" t="s">
        <v>1685</v>
      </c>
      <c r="F1448" s="384">
        <v>63000</v>
      </c>
      <c r="G1448" s="270">
        <v>100315326</v>
      </c>
      <c r="H1448" s="270"/>
    </row>
    <row r="1449" spans="1:8" x14ac:dyDescent="0.25">
      <c r="A1449" s="257">
        <v>1452</v>
      </c>
      <c r="B1449" s="267">
        <v>1448</v>
      </c>
      <c r="C1449" s="268" t="s">
        <v>2377</v>
      </c>
      <c r="D1449" s="269">
        <v>41918</v>
      </c>
      <c r="E1449" s="270" t="s">
        <v>226</v>
      </c>
      <c r="F1449" s="384">
        <v>280000</v>
      </c>
      <c r="G1449" s="270">
        <v>190654467</v>
      </c>
      <c r="H1449" s="270"/>
    </row>
    <row r="1450" spans="1:8" x14ac:dyDescent="0.25">
      <c r="A1450" s="257">
        <v>1453</v>
      </c>
      <c r="B1450" s="267">
        <v>1449</v>
      </c>
      <c r="C1450" s="268" t="s">
        <v>2166</v>
      </c>
      <c r="D1450" s="269">
        <v>41918</v>
      </c>
      <c r="E1450" s="270" t="s">
        <v>1685</v>
      </c>
      <c r="F1450" s="384">
        <v>94000</v>
      </c>
      <c r="G1450" s="270">
        <v>100315326</v>
      </c>
      <c r="H1450" s="270"/>
    </row>
    <row r="1451" spans="1:8" x14ac:dyDescent="0.25">
      <c r="A1451" s="257">
        <v>1454</v>
      </c>
      <c r="B1451" s="267">
        <v>1450</v>
      </c>
      <c r="C1451" s="268" t="s">
        <v>996</v>
      </c>
      <c r="D1451" s="269">
        <v>41983</v>
      </c>
      <c r="E1451" s="270" t="s">
        <v>3304</v>
      </c>
      <c r="F1451" s="384">
        <v>280000</v>
      </c>
      <c r="G1451" s="270">
        <v>100626851</v>
      </c>
      <c r="H1451" s="270"/>
    </row>
    <row r="1452" spans="1:8" x14ac:dyDescent="0.25">
      <c r="A1452" s="257">
        <v>1455</v>
      </c>
      <c r="B1452" s="267">
        <v>1451</v>
      </c>
      <c r="C1452" s="268" t="s">
        <v>3513</v>
      </c>
      <c r="D1452" s="269">
        <v>41983</v>
      </c>
      <c r="E1452" s="270" t="s">
        <v>824</v>
      </c>
      <c r="F1452" s="384">
        <v>280000</v>
      </c>
      <c r="G1452" s="270">
        <v>100154581</v>
      </c>
      <c r="H1452" s="270"/>
    </row>
    <row r="1453" spans="1:8" x14ac:dyDescent="0.25">
      <c r="A1453" s="257">
        <v>1456</v>
      </c>
      <c r="B1453" s="267">
        <v>1452</v>
      </c>
      <c r="C1453" s="268" t="s">
        <v>4201</v>
      </c>
      <c r="D1453" s="269">
        <v>41983</v>
      </c>
      <c r="E1453" s="270" t="s">
        <v>349</v>
      </c>
      <c r="F1453" s="384">
        <v>155000</v>
      </c>
      <c r="G1453" s="270">
        <v>690604750</v>
      </c>
      <c r="H1453" s="270"/>
    </row>
    <row r="1454" spans="1:8" x14ac:dyDescent="0.25">
      <c r="A1454" s="257">
        <v>1457</v>
      </c>
      <c r="B1454" s="267">
        <v>1453</v>
      </c>
      <c r="C1454" s="268" t="s">
        <v>901</v>
      </c>
      <c r="D1454" s="269">
        <v>41983</v>
      </c>
      <c r="E1454" s="270" t="s">
        <v>1914</v>
      </c>
      <c r="F1454" s="384">
        <v>280000</v>
      </c>
      <c r="G1454" s="270">
        <v>100168244</v>
      </c>
      <c r="H1454" s="270"/>
    </row>
    <row r="1455" spans="1:8" x14ac:dyDescent="0.25">
      <c r="A1455" s="257">
        <v>1458</v>
      </c>
      <c r="B1455" s="267">
        <v>1454</v>
      </c>
      <c r="C1455" s="268" t="s">
        <v>3253</v>
      </c>
      <c r="D1455" s="269">
        <v>41983</v>
      </c>
      <c r="E1455" s="270" t="s">
        <v>3631</v>
      </c>
      <c r="F1455" s="384">
        <v>435000</v>
      </c>
      <c r="G1455" s="270">
        <v>691380883</v>
      </c>
      <c r="H1455" s="270"/>
    </row>
    <row r="1456" spans="1:8" x14ac:dyDescent="0.25">
      <c r="A1456" s="257">
        <v>1459</v>
      </c>
      <c r="B1456" s="267">
        <v>1455</v>
      </c>
      <c r="C1456" s="268" t="s">
        <v>367</v>
      </c>
      <c r="D1456" s="269">
        <v>41983</v>
      </c>
      <c r="E1456" s="270" t="s">
        <v>839</v>
      </c>
      <c r="F1456" s="384">
        <v>198000</v>
      </c>
      <c r="G1456" s="270">
        <v>101166741</v>
      </c>
      <c r="H1456" s="270"/>
    </row>
    <row r="1457" spans="1:8" x14ac:dyDescent="0.25">
      <c r="A1457" s="257">
        <v>1460</v>
      </c>
      <c r="B1457" s="267">
        <v>1456</v>
      </c>
      <c r="C1457" s="268" t="s">
        <v>265</v>
      </c>
      <c r="D1457" s="269">
        <v>41983</v>
      </c>
      <c r="E1457" s="270" t="s">
        <v>450</v>
      </c>
      <c r="F1457" s="384">
        <v>155000</v>
      </c>
      <c r="G1457" s="270">
        <v>100468996</v>
      </c>
      <c r="H1457" s="270"/>
    </row>
    <row r="1458" spans="1:8" x14ac:dyDescent="0.25">
      <c r="A1458" s="257">
        <v>1461</v>
      </c>
      <c r="B1458" s="267">
        <v>1457</v>
      </c>
      <c r="C1458" s="268" t="s">
        <v>67</v>
      </c>
      <c r="D1458" s="269">
        <v>41983</v>
      </c>
      <c r="E1458" s="270" t="s">
        <v>914</v>
      </c>
      <c r="F1458" s="384">
        <v>880000</v>
      </c>
      <c r="G1458" s="270">
        <v>190114911</v>
      </c>
      <c r="H1458" s="270"/>
    </row>
    <row r="1459" spans="1:8" x14ac:dyDescent="0.25">
      <c r="A1459" s="257">
        <v>1462</v>
      </c>
      <c r="B1459" s="267">
        <v>1458</v>
      </c>
      <c r="C1459" s="268" t="s">
        <v>397</v>
      </c>
      <c r="D1459" s="269">
        <v>41984</v>
      </c>
      <c r="E1459" s="270" t="s">
        <v>2969</v>
      </c>
      <c r="F1459" s="384">
        <v>280000</v>
      </c>
      <c r="G1459" s="270">
        <v>100026292</v>
      </c>
      <c r="H1459" s="270"/>
    </row>
    <row r="1460" spans="1:8" x14ac:dyDescent="0.25">
      <c r="A1460" s="257">
        <v>1463</v>
      </c>
      <c r="B1460" s="267">
        <v>1459</v>
      </c>
      <c r="C1460" s="268" t="s">
        <v>915</v>
      </c>
      <c r="D1460" s="269">
        <v>41984</v>
      </c>
      <c r="E1460" s="270" t="s">
        <v>3088</v>
      </c>
      <c r="F1460" s="384">
        <v>435000</v>
      </c>
      <c r="G1460" s="270">
        <v>102299021</v>
      </c>
      <c r="H1460" s="270"/>
    </row>
    <row r="1461" spans="1:8" x14ac:dyDescent="0.25">
      <c r="A1461" s="257">
        <v>1464</v>
      </c>
      <c r="B1461" s="267">
        <v>1460</v>
      </c>
      <c r="C1461" s="268" t="s">
        <v>3252</v>
      </c>
      <c r="D1461" s="269">
        <v>41984</v>
      </c>
      <c r="E1461" s="270" t="s">
        <v>526</v>
      </c>
      <c r="F1461" s="384">
        <v>240000</v>
      </c>
      <c r="G1461" s="270">
        <v>691536906</v>
      </c>
      <c r="H1461" s="270"/>
    </row>
    <row r="1462" spans="1:8" x14ac:dyDescent="0.25">
      <c r="A1462" s="257">
        <v>1465</v>
      </c>
      <c r="B1462" s="267">
        <v>1461</v>
      </c>
      <c r="C1462" s="268" t="s">
        <v>3646</v>
      </c>
      <c r="D1462" s="269">
        <v>41984</v>
      </c>
      <c r="E1462" s="270" t="s">
        <v>3285</v>
      </c>
      <c r="F1462" s="384">
        <v>198000</v>
      </c>
      <c r="G1462" s="270">
        <v>190557233</v>
      </c>
      <c r="H1462" s="270"/>
    </row>
    <row r="1463" spans="1:8" x14ac:dyDescent="0.25">
      <c r="A1463" s="257">
        <v>1466</v>
      </c>
      <c r="B1463" s="267">
        <v>1462</v>
      </c>
      <c r="C1463" s="268" t="s">
        <v>1926</v>
      </c>
      <c r="D1463" s="269">
        <v>41984</v>
      </c>
      <c r="E1463" s="270" t="s">
        <v>2888</v>
      </c>
      <c r="F1463" s="384">
        <v>280000</v>
      </c>
      <c r="G1463" s="270">
        <v>691131810</v>
      </c>
      <c r="H1463" s="270"/>
    </row>
    <row r="1464" spans="1:8" x14ac:dyDescent="0.25">
      <c r="A1464" s="257">
        <v>1467</v>
      </c>
      <c r="B1464" s="267">
        <v>1463</v>
      </c>
      <c r="C1464" s="268" t="s">
        <v>1662</v>
      </c>
      <c r="D1464" s="269">
        <v>41985</v>
      </c>
      <c r="E1464" s="270" t="s">
        <v>471</v>
      </c>
      <c r="F1464" s="384">
        <v>240000</v>
      </c>
      <c r="G1464" s="270">
        <v>690301528</v>
      </c>
      <c r="H1464" s="270"/>
    </row>
    <row r="1465" spans="1:8" x14ac:dyDescent="0.25">
      <c r="A1465" s="257">
        <v>1468</v>
      </c>
      <c r="B1465" s="267">
        <v>1464</v>
      </c>
      <c r="C1465" s="268" t="s">
        <v>3750</v>
      </c>
      <c r="D1465" s="269">
        <v>41985</v>
      </c>
      <c r="E1465" s="270" t="s">
        <v>2956</v>
      </c>
      <c r="F1465" s="384">
        <v>435000</v>
      </c>
      <c r="G1465" s="270">
        <v>191741790</v>
      </c>
      <c r="H1465" s="270"/>
    </row>
    <row r="1466" spans="1:8" x14ac:dyDescent="0.25">
      <c r="A1466" s="257">
        <v>1469</v>
      </c>
      <c r="B1466" s="267">
        <v>1465</v>
      </c>
      <c r="C1466" s="268" t="s">
        <v>2714</v>
      </c>
      <c r="D1466" s="269">
        <v>41985</v>
      </c>
      <c r="E1466" s="270" t="s">
        <v>891</v>
      </c>
      <c r="F1466" s="384">
        <v>240000</v>
      </c>
      <c r="G1466" s="270">
        <v>190304936</v>
      </c>
      <c r="H1466" s="270"/>
    </row>
    <row r="1467" spans="1:8" x14ac:dyDescent="0.25">
      <c r="A1467" s="257">
        <v>1470</v>
      </c>
      <c r="B1467" s="267">
        <v>1466</v>
      </c>
      <c r="C1467" s="268" t="s">
        <v>2714</v>
      </c>
      <c r="D1467" s="269">
        <v>41985</v>
      </c>
      <c r="E1467" s="270" t="s">
        <v>891</v>
      </c>
      <c r="F1467" s="384">
        <v>240000</v>
      </c>
      <c r="G1467" s="270">
        <v>190304936</v>
      </c>
      <c r="H1467" s="270"/>
    </row>
    <row r="1468" spans="1:8" x14ac:dyDescent="0.25">
      <c r="A1468" s="257">
        <v>1471</v>
      </c>
      <c r="B1468" s="267">
        <v>1467</v>
      </c>
      <c r="C1468" s="268" t="s">
        <v>2714</v>
      </c>
      <c r="D1468" s="269">
        <v>41985</v>
      </c>
      <c r="E1468" s="270" t="s">
        <v>891</v>
      </c>
      <c r="F1468" s="384">
        <v>240000</v>
      </c>
      <c r="G1468" s="270">
        <v>190304936</v>
      </c>
      <c r="H1468" s="270"/>
    </row>
    <row r="1469" spans="1:8" x14ac:dyDescent="0.25">
      <c r="A1469" s="257">
        <v>1472</v>
      </c>
      <c r="B1469" s="267">
        <v>1468</v>
      </c>
      <c r="C1469" s="268" t="s">
        <v>3655</v>
      </c>
      <c r="D1469" s="269">
        <v>41985</v>
      </c>
      <c r="E1469" s="270" t="s">
        <v>393</v>
      </c>
      <c r="F1469" s="384">
        <v>920000</v>
      </c>
      <c r="G1469" s="270">
        <v>191487825</v>
      </c>
      <c r="H1469" s="270"/>
    </row>
    <row r="1470" spans="1:8" x14ac:dyDescent="0.25">
      <c r="A1470" s="257">
        <v>1473</v>
      </c>
      <c r="B1470" s="267">
        <v>1469</v>
      </c>
      <c r="C1470" s="268" t="s">
        <v>716</v>
      </c>
      <c r="D1470" s="269">
        <v>41985</v>
      </c>
      <c r="E1470" s="270" t="s">
        <v>728</v>
      </c>
      <c r="F1470" s="384">
        <v>590000</v>
      </c>
      <c r="G1470" s="270">
        <v>691130684</v>
      </c>
      <c r="H1470" s="270"/>
    </row>
    <row r="1471" spans="1:8" x14ac:dyDescent="0.25">
      <c r="A1471" s="257">
        <v>1474</v>
      </c>
      <c r="B1471" s="267">
        <v>1470</v>
      </c>
      <c r="C1471" s="268" t="s">
        <v>832</v>
      </c>
      <c r="D1471" s="269">
        <v>41985</v>
      </c>
      <c r="E1471" s="270" t="s">
        <v>245</v>
      </c>
      <c r="F1471" s="384">
        <v>67000</v>
      </c>
      <c r="G1471" s="270">
        <v>100886879</v>
      </c>
      <c r="H1471" s="270"/>
    </row>
    <row r="1472" spans="1:8" x14ac:dyDescent="0.25">
      <c r="A1472" s="257">
        <v>1475</v>
      </c>
      <c r="B1472" s="267">
        <v>1471</v>
      </c>
      <c r="C1472" s="268" t="s">
        <v>4234</v>
      </c>
      <c r="D1472" s="269">
        <v>41987</v>
      </c>
      <c r="E1472" s="270" t="s">
        <v>340</v>
      </c>
      <c r="F1472" s="384">
        <v>1305000</v>
      </c>
      <c r="G1472" s="270">
        <v>190444477</v>
      </c>
      <c r="H1472" s="270"/>
    </row>
    <row r="1473" spans="1:8" x14ac:dyDescent="0.25">
      <c r="A1473" s="257">
        <v>1476</v>
      </c>
      <c r="B1473" s="267">
        <v>1472</v>
      </c>
      <c r="C1473" s="268" t="s">
        <v>3111</v>
      </c>
      <c r="D1473" s="269">
        <v>41988</v>
      </c>
      <c r="E1473" s="270" t="s">
        <v>1948</v>
      </c>
      <c r="F1473" s="384">
        <v>198000</v>
      </c>
      <c r="G1473" s="270">
        <v>808000755</v>
      </c>
      <c r="H1473" s="270"/>
    </row>
    <row r="1474" spans="1:8" x14ac:dyDescent="0.25">
      <c r="A1474" s="257">
        <v>1477</v>
      </c>
      <c r="B1474" s="267">
        <v>1473</v>
      </c>
      <c r="C1474" s="268" t="s">
        <v>1672</v>
      </c>
      <c r="D1474" s="269">
        <v>41988</v>
      </c>
      <c r="E1474" s="270" t="s">
        <v>2644</v>
      </c>
      <c r="F1474" s="384">
        <v>240000</v>
      </c>
      <c r="G1474" s="270">
        <v>191749393</v>
      </c>
      <c r="H1474" s="270"/>
    </row>
    <row r="1475" spans="1:8" x14ac:dyDescent="0.25">
      <c r="A1475" s="257">
        <v>1478</v>
      </c>
      <c r="B1475" s="267">
        <v>1474</v>
      </c>
      <c r="C1475" s="268" t="s">
        <v>361</v>
      </c>
      <c r="D1475" s="269">
        <v>41988</v>
      </c>
      <c r="E1475" s="270" t="s">
        <v>3265</v>
      </c>
      <c r="F1475" s="384">
        <v>1476000</v>
      </c>
      <c r="G1475" s="270">
        <v>691526945</v>
      </c>
      <c r="H1475" s="270"/>
    </row>
    <row r="1476" spans="1:8" x14ac:dyDescent="0.25">
      <c r="A1476" s="257">
        <v>1479</v>
      </c>
      <c r="B1476" s="267">
        <v>1475</v>
      </c>
      <c r="C1476" s="268" t="s">
        <v>694</v>
      </c>
      <c r="D1476" s="269">
        <v>41988</v>
      </c>
      <c r="E1476" s="270" t="s">
        <v>744</v>
      </c>
      <c r="F1476" s="384">
        <v>240000</v>
      </c>
      <c r="G1476" s="270">
        <v>100038271</v>
      </c>
      <c r="H1476" s="270"/>
    </row>
    <row r="1477" spans="1:8" x14ac:dyDescent="0.25">
      <c r="A1477" s="257">
        <v>1480</v>
      </c>
      <c r="B1477" s="267">
        <v>1476</v>
      </c>
      <c r="C1477" s="268" t="s">
        <v>3852</v>
      </c>
      <c r="D1477" s="269">
        <v>41988</v>
      </c>
      <c r="E1477" s="270" t="s">
        <v>187</v>
      </c>
      <c r="F1477" s="384">
        <v>165000</v>
      </c>
      <c r="G1477" s="270">
        <v>191112163</v>
      </c>
      <c r="H1477" s="270"/>
    </row>
    <row r="1478" spans="1:8" x14ac:dyDescent="0.25">
      <c r="A1478" s="257">
        <v>1481</v>
      </c>
      <c r="B1478" s="267">
        <v>1477</v>
      </c>
      <c r="C1478" s="268" t="s">
        <v>1108</v>
      </c>
      <c r="D1478" s="269">
        <v>41988</v>
      </c>
      <c r="E1478" s="270" t="s">
        <v>4193</v>
      </c>
      <c r="F1478" s="384">
        <v>240000</v>
      </c>
      <c r="G1478" s="270">
        <v>100387745</v>
      </c>
      <c r="H1478" s="270"/>
    </row>
    <row r="1479" spans="1:8" x14ac:dyDescent="0.25">
      <c r="A1479" s="257">
        <v>1482</v>
      </c>
      <c r="B1479" s="267">
        <v>1478</v>
      </c>
      <c r="C1479" s="268" t="s">
        <v>3101</v>
      </c>
      <c r="D1479" s="269">
        <v>41989</v>
      </c>
      <c r="E1479" s="270" t="s">
        <v>1022</v>
      </c>
      <c r="F1479" s="384">
        <v>240000</v>
      </c>
      <c r="G1479" s="270">
        <v>690591512</v>
      </c>
      <c r="H1479" s="270"/>
    </row>
    <row r="1480" spans="1:8" x14ac:dyDescent="0.25">
      <c r="A1480" s="257">
        <v>1483</v>
      </c>
      <c r="B1480" s="267">
        <v>1479</v>
      </c>
      <c r="C1480" s="268" t="s">
        <v>1610</v>
      </c>
      <c r="D1480" s="269">
        <v>41989</v>
      </c>
      <c r="E1480" s="270" t="s">
        <v>2878</v>
      </c>
      <c r="F1480" s="384">
        <v>435000</v>
      </c>
      <c r="G1480" s="270">
        <v>191883502</v>
      </c>
      <c r="H1480" s="270"/>
    </row>
    <row r="1481" spans="1:8" x14ac:dyDescent="0.25">
      <c r="A1481" s="257">
        <v>1484</v>
      </c>
      <c r="B1481" s="267">
        <v>1480</v>
      </c>
      <c r="C1481" s="268" t="s">
        <v>2431</v>
      </c>
      <c r="D1481" s="269">
        <v>41989</v>
      </c>
      <c r="E1481" s="270" t="s">
        <v>3137</v>
      </c>
      <c r="F1481" s="384">
        <v>240000</v>
      </c>
      <c r="G1481" s="270">
        <v>191274609</v>
      </c>
      <c r="H1481" s="270"/>
    </row>
    <row r="1482" spans="1:8" x14ac:dyDescent="0.25">
      <c r="A1482" s="257">
        <v>1485</v>
      </c>
      <c r="B1482" s="267">
        <v>1481</v>
      </c>
      <c r="C1482" s="268" t="s">
        <v>1806</v>
      </c>
      <c r="D1482" s="269">
        <v>41989</v>
      </c>
      <c r="E1482" s="270" t="s">
        <v>2370</v>
      </c>
      <c r="F1482" s="384">
        <v>480000</v>
      </c>
      <c r="G1482" s="270">
        <v>100315382</v>
      </c>
      <c r="H1482" s="270"/>
    </row>
    <row r="1483" spans="1:8" x14ac:dyDescent="0.25">
      <c r="A1483" s="257">
        <v>1486</v>
      </c>
      <c r="B1483" s="267">
        <v>1482</v>
      </c>
      <c r="C1483" s="268" t="s">
        <v>2095</v>
      </c>
      <c r="D1483" s="269">
        <v>41989</v>
      </c>
      <c r="E1483" s="270" t="s">
        <v>2859</v>
      </c>
      <c r="F1483" s="384">
        <v>280000</v>
      </c>
      <c r="G1483" s="270">
        <v>100261801</v>
      </c>
      <c r="H1483" s="270"/>
    </row>
    <row r="1484" spans="1:8" x14ac:dyDescent="0.25">
      <c r="A1484" s="257">
        <v>1487</v>
      </c>
      <c r="B1484" s="267">
        <v>1483</v>
      </c>
      <c r="C1484" s="268" t="s">
        <v>173</v>
      </c>
      <c r="D1484" s="269">
        <v>41989</v>
      </c>
      <c r="E1484" s="270" t="s">
        <v>2849</v>
      </c>
      <c r="F1484" s="384">
        <v>870000</v>
      </c>
      <c r="G1484" s="270">
        <v>491031825</v>
      </c>
      <c r="H1484" s="270"/>
    </row>
    <row r="1485" spans="1:8" x14ac:dyDescent="0.25">
      <c r="A1485" s="257">
        <v>1488</v>
      </c>
      <c r="B1485" s="267">
        <v>1484</v>
      </c>
      <c r="C1485" s="268" t="s">
        <v>206</v>
      </c>
      <c r="D1485" s="269">
        <v>41989</v>
      </c>
      <c r="E1485" s="270" t="s">
        <v>3129</v>
      </c>
      <c r="F1485" s="384">
        <v>36000</v>
      </c>
      <c r="G1485" s="270">
        <v>690656275</v>
      </c>
      <c r="H1485" s="270"/>
    </row>
    <row r="1486" spans="1:8" x14ac:dyDescent="0.25">
      <c r="A1486" s="257">
        <v>1489</v>
      </c>
      <c r="B1486" s="267">
        <v>1485</v>
      </c>
      <c r="C1486" s="268" t="s">
        <v>2714</v>
      </c>
      <c r="D1486" s="269">
        <v>41989</v>
      </c>
      <c r="E1486" s="270" t="s">
        <v>891</v>
      </c>
      <c r="F1486" s="384">
        <v>81000</v>
      </c>
      <c r="G1486" s="270">
        <v>190304936</v>
      </c>
      <c r="H1486" s="270"/>
    </row>
    <row r="1487" spans="1:8" x14ac:dyDescent="0.25">
      <c r="A1487" s="257">
        <v>1490</v>
      </c>
      <c r="B1487" s="267">
        <v>1486</v>
      </c>
      <c r="C1487" s="268" t="s">
        <v>452</v>
      </c>
      <c r="D1487" s="269">
        <v>41990</v>
      </c>
      <c r="E1487" s="270" t="s">
        <v>146</v>
      </c>
      <c r="F1487" s="384">
        <v>198000</v>
      </c>
      <c r="G1487" s="270">
        <v>100839215</v>
      </c>
      <c r="H1487" s="270"/>
    </row>
    <row r="1488" spans="1:8" x14ac:dyDescent="0.25">
      <c r="A1488" s="257">
        <v>1491</v>
      </c>
      <c r="B1488" s="267">
        <v>1487</v>
      </c>
      <c r="C1488" s="268" t="s">
        <v>6</v>
      </c>
      <c r="D1488" s="269">
        <v>41990</v>
      </c>
      <c r="E1488" s="270" t="s">
        <v>2641</v>
      </c>
      <c r="F1488" s="384">
        <v>170000</v>
      </c>
      <c r="G1488" s="270">
        <v>130891637</v>
      </c>
      <c r="H1488" s="270"/>
    </row>
    <row r="1489" spans="1:8" x14ac:dyDescent="0.25">
      <c r="A1489" s="257">
        <v>1492</v>
      </c>
      <c r="B1489" s="267">
        <v>1488</v>
      </c>
      <c r="C1489" s="268" t="s">
        <v>1108</v>
      </c>
      <c r="D1489" s="269">
        <v>41990</v>
      </c>
      <c r="E1489" s="270" t="s">
        <v>4193</v>
      </c>
      <c r="F1489" s="384">
        <v>63000</v>
      </c>
      <c r="G1489" s="270">
        <v>100387745</v>
      </c>
      <c r="H1489" s="270"/>
    </row>
    <row r="1490" spans="1:8" x14ac:dyDescent="0.25">
      <c r="A1490" s="257">
        <v>1493</v>
      </c>
      <c r="B1490" s="267">
        <v>1489</v>
      </c>
      <c r="C1490" s="268" t="s">
        <v>912</v>
      </c>
      <c r="D1490" s="269">
        <v>41990</v>
      </c>
      <c r="E1490" s="270" t="s">
        <v>1847</v>
      </c>
      <c r="F1490" s="384">
        <v>198000</v>
      </c>
      <c r="G1490" s="270">
        <v>690608437</v>
      </c>
      <c r="H1490" s="270"/>
    </row>
    <row r="1491" spans="1:8" x14ac:dyDescent="0.25">
      <c r="A1491" s="257">
        <v>1494</v>
      </c>
      <c r="B1491" s="267">
        <v>1490</v>
      </c>
      <c r="C1491" s="268" t="s">
        <v>2620</v>
      </c>
      <c r="D1491" s="269">
        <v>41990</v>
      </c>
      <c r="E1491" s="270" t="s">
        <v>3118</v>
      </c>
      <c r="F1491" s="384">
        <v>280000</v>
      </c>
      <c r="G1491" s="270">
        <v>690619688</v>
      </c>
      <c r="H1491" s="270"/>
    </row>
    <row r="1492" spans="1:8" x14ac:dyDescent="0.25">
      <c r="A1492" s="257">
        <v>1495</v>
      </c>
      <c r="B1492" s="267">
        <v>1491</v>
      </c>
      <c r="C1492" s="268" t="s">
        <v>357</v>
      </c>
      <c r="D1492" s="269">
        <v>41990</v>
      </c>
      <c r="E1492" s="270" t="s">
        <v>3627</v>
      </c>
      <c r="F1492" s="384">
        <v>160000</v>
      </c>
      <c r="G1492" s="270">
        <v>690027166</v>
      </c>
      <c r="H1492" s="270"/>
    </row>
    <row r="1493" spans="1:8" x14ac:dyDescent="0.25">
      <c r="A1493" s="257">
        <v>1496</v>
      </c>
      <c r="B1493" s="267">
        <v>1492</v>
      </c>
      <c r="C1493" s="268" t="s">
        <v>2405</v>
      </c>
      <c r="D1493" s="269">
        <v>41990</v>
      </c>
      <c r="E1493" s="270" t="s">
        <v>1944</v>
      </c>
      <c r="F1493" s="384">
        <v>160000</v>
      </c>
      <c r="G1493" s="270">
        <v>100345799</v>
      </c>
      <c r="H1493" s="270"/>
    </row>
    <row r="1494" spans="1:8" x14ac:dyDescent="0.25">
      <c r="A1494" s="257">
        <v>1497</v>
      </c>
      <c r="B1494" s="267">
        <v>1493</v>
      </c>
      <c r="C1494" s="268" t="s">
        <v>3618</v>
      </c>
      <c r="D1494" s="269">
        <v>41990</v>
      </c>
      <c r="E1494" s="270" t="s">
        <v>163</v>
      </c>
      <c r="F1494" s="384">
        <v>480000</v>
      </c>
      <c r="G1494" s="270">
        <v>100843354</v>
      </c>
      <c r="H1494" s="270"/>
    </row>
    <row r="1495" spans="1:8" x14ac:dyDescent="0.25">
      <c r="A1495" s="257">
        <v>1498</v>
      </c>
      <c r="B1495" s="267">
        <v>1494</v>
      </c>
      <c r="C1495" s="268" t="s">
        <v>3255</v>
      </c>
      <c r="D1495" s="269">
        <v>41990</v>
      </c>
      <c r="E1495" s="270" t="s">
        <v>180</v>
      </c>
      <c r="F1495" s="384">
        <v>198000</v>
      </c>
      <c r="G1495" s="270">
        <v>191300818</v>
      </c>
      <c r="H1495" s="270"/>
    </row>
    <row r="1496" spans="1:8" x14ac:dyDescent="0.25">
      <c r="A1496" s="257">
        <v>1499</v>
      </c>
      <c r="B1496" s="267">
        <v>1495</v>
      </c>
      <c r="C1496" s="268" t="s">
        <v>2632</v>
      </c>
      <c r="D1496" s="269">
        <v>41990</v>
      </c>
      <c r="E1496" s="270" t="s">
        <v>3561</v>
      </c>
      <c r="F1496" s="384">
        <v>340000</v>
      </c>
      <c r="G1496" s="270">
        <v>600194259</v>
      </c>
      <c r="H1496" s="270"/>
    </row>
    <row r="1497" spans="1:8" x14ac:dyDescent="0.25">
      <c r="A1497" s="257">
        <v>1500</v>
      </c>
      <c r="B1497" s="267">
        <v>1496</v>
      </c>
      <c r="C1497" s="268" t="s">
        <v>2645</v>
      </c>
      <c r="D1497" s="269">
        <v>41990</v>
      </c>
      <c r="E1497" s="270" t="s">
        <v>239</v>
      </c>
      <c r="F1497" s="384">
        <v>155000</v>
      </c>
      <c r="G1497" s="270">
        <v>101139097</v>
      </c>
      <c r="H1497" s="270"/>
    </row>
    <row r="1498" spans="1:8" x14ac:dyDescent="0.25">
      <c r="A1498" s="257">
        <v>1501</v>
      </c>
      <c r="B1498" s="267">
        <v>1497</v>
      </c>
      <c r="C1498" s="268" t="s">
        <v>2812</v>
      </c>
      <c r="D1498" s="269">
        <v>41991</v>
      </c>
      <c r="E1498" s="270" t="s">
        <v>990</v>
      </c>
      <c r="F1498" s="384">
        <v>165000</v>
      </c>
      <c r="G1498" s="270">
        <v>0</v>
      </c>
      <c r="H1498" s="270"/>
    </row>
    <row r="1499" spans="1:8" x14ac:dyDescent="0.25">
      <c r="A1499" s="257">
        <v>1502</v>
      </c>
      <c r="B1499" s="267">
        <v>1498</v>
      </c>
      <c r="C1499" s="268" t="s">
        <v>67</v>
      </c>
      <c r="D1499" s="269">
        <v>41991</v>
      </c>
      <c r="E1499" s="270" t="s">
        <v>914</v>
      </c>
      <c r="F1499" s="384">
        <v>155000</v>
      </c>
      <c r="G1499" s="270">
        <v>190114911</v>
      </c>
      <c r="H1499" s="270"/>
    </row>
    <row r="1500" spans="1:8" x14ac:dyDescent="0.25">
      <c r="A1500" s="257">
        <v>1503</v>
      </c>
      <c r="B1500" s="267">
        <v>1499</v>
      </c>
      <c r="C1500" s="268" t="s">
        <v>1643</v>
      </c>
      <c r="D1500" s="269">
        <v>41991</v>
      </c>
      <c r="E1500" s="270" t="s">
        <v>3579</v>
      </c>
      <c r="F1500" s="384">
        <v>397000</v>
      </c>
      <c r="G1500" s="270">
        <v>590975601</v>
      </c>
      <c r="H1500" s="270"/>
    </row>
    <row r="1501" spans="1:8" x14ac:dyDescent="0.25">
      <c r="A1501" s="257">
        <v>1504</v>
      </c>
      <c r="B1501" s="267">
        <v>1500</v>
      </c>
      <c r="C1501" s="268" t="s">
        <v>2604</v>
      </c>
      <c r="D1501" s="269">
        <v>41991</v>
      </c>
      <c r="E1501" s="270" t="s">
        <v>2866</v>
      </c>
      <c r="F1501" s="384">
        <v>63000</v>
      </c>
      <c r="G1501" s="270">
        <v>100080014</v>
      </c>
      <c r="H1501" s="270"/>
    </row>
    <row r="1502" spans="1:8" x14ac:dyDescent="0.25">
      <c r="A1502" s="257">
        <v>1505</v>
      </c>
      <c r="B1502" s="267">
        <v>1501</v>
      </c>
      <c r="C1502" s="268" t="s">
        <v>2861</v>
      </c>
      <c r="D1502" s="269">
        <v>41991</v>
      </c>
      <c r="E1502" s="270" t="s">
        <v>454</v>
      </c>
      <c r="F1502" s="384">
        <v>165000</v>
      </c>
      <c r="G1502" s="270">
        <v>100356266</v>
      </c>
      <c r="H1502" s="270"/>
    </row>
    <row r="1503" spans="1:8" x14ac:dyDescent="0.25">
      <c r="A1503" s="257">
        <v>1506</v>
      </c>
      <c r="B1503" s="267">
        <v>1502</v>
      </c>
      <c r="C1503" s="268" t="s">
        <v>3864</v>
      </c>
      <c r="D1503" s="269">
        <v>41992</v>
      </c>
      <c r="E1503" s="270" t="s">
        <v>906</v>
      </c>
      <c r="F1503" s="384">
        <v>30000</v>
      </c>
      <c r="G1503" s="270">
        <v>100348119</v>
      </c>
      <c r="H1503" s="270"/>
    </row>
    <row r="1504" spans="1:8" x14ac:dyDescent="0.25">
      <c r="A1504" s="257">
        <v>1507</v>
      </c>
      <c r="B1504" s="267">
        <v>1503</v>
      </c>
      <c r="C1504" s="268" t="s">
        <v>1021</v>
      </c>
      <c r="D1504" s="269">
        <v>41992</v>
      </c>
      <c r="E1504" s="270" t="s">
        <v>320</v>
      </c>
      <c r="F1504" s="384">
        <v>240000</v>
      </c>
      <c r="G1504" s="270">
        <v>690831296</v>
      </c>
      <c r="H1504" s="270"/>
    </row>
    <row r="1505" spans="1:8" x14ac:dyDescent="0.25">
      <c r="A1505" s="257">
        <v>1508</v>
      </c>
      <c r="B1505" s="267">
        <v>1504</v>
      </c>
      <c r="C1505" s="268" t="s">
        <v>196</v>
      </c>
      <c r="D1505" s="269">
        <v>41992</v>
      </c>
      <c r="E1505" s="270" t="s">
        <v>2717</v>
      </c>
      <c r="F1505" s="384">
        <v>240000</v>
      </c>
      <c r="G1505" s="270">
        <v>101538513</v>
      </c>
      <c r="H1505" s="270"/>
    </row>
    <row r="1506" spans="1:8" x14ac:dyDescent="0.25">
      <c r="A1506" s="257">
        <v>1509</v>
      </c>
      <c r="B1506" s="267">
        <v>1505</v>
      </c>
      <c r="C1506" s="268" t="s">
        <v>4221</v>
      </c>
      <c r="D1506" s="269">
        <v>41992</v>
      </c>
      <c r="E1506" s="270" t="s">
        <v>3774</v>
      </c>
      <c r="F1506" s="384">
        <v>198000</v>
      </c>
      <c r="G1506" s="270">
        <v>690019524</v>
      </c>
      <c r="H1506" s="270"/>
    </row>
    <row r="1507" spans="1:8" x14ac:dyDescent="0.25">
      <c r="A1507" s="257">
        <v>1510</v>
      </c>
      <c r="B1507" s="267">
        <v>1506</v>
      </c>
      <c r="C1507" s="268" t="s">
        <v>173</v>
      </c>
      <c r="D1507" s="269">
        <v>41992</v>
      </c>
      <c r="E1507" s="270" t="s">
        <v>2849</v>
      </c>
      <c r="F1507" s="384">
        <v>97000</v>
      </c>
      <c r="G1507" s="270">
        <v>491031825</v>
      </c>
      <c r="H1507" s="270"/>
    </row>
    <row r="1508" spans="1:8" x14ac:dyDescent="0.25">
      <c r="A1508" s="257">
        <v>1511</v>
      </c>
      <c r="B1508" s="267">
        <v>1507</v>
      </c>
      <c r="C1508" s="268" t="s">
        <v>22</v>
      </c>
      <c r="D1508" s="269">
        <v>41992</v>
      </c>
      <c r="E1508" s="270" t="s">
        <v>1132</v>
      </c>
      <c r="F1508" s="384">
        <v>870000</v>
      </c>
      <c r="G1508" s="270">
        <v>0</v>
      </c>
      <c r="H1508" s="270"/>
    </row>
    <row r="1509" spans="1:8" x14ac:dyDescent="0.25">
      <c r="A1509" s="257">
        <v>1512</v>
      </c>
      <c r="B1509" s="267">
        <v>1508</v>
      </c>
      <c r="C1509" s="268" t="s">
        <v>3748</v>
      </c>
      <c r="D1509" s="269">
        <v>41995</v>
      </c>
      <c r="E1509" s="270" t="s">
        <v>1788</v>
      </c>
      <c r="F1509" s="384">
        <v>740000</v>
      </c>
      <c r="G1509" s="270">
        <v>800001327</v>
      </c>
      <c r="H1509" s="270"/>
    </row>
    <row r="1510" spans="1:8" x14ac:dyDescent="0.25">
      <c r="A1510" s="257">
        <v>1513</v>
      </c>
      <c r="B1510" s="267">
        <v>1509</v>
      </c>
      <c r="C1510" s="268" t="s">
        <v>1691</v>
      </c>
      <c r="D1510" s="269">
        <v>41995</v>
      </c>
      <c r="E1510" s="270" t="s">
        <v>998</v>
      </c>
      <c r="F1510" s="384">
        <v>160000</v>
      </c>
      <c r="G1510" s="270">
        <v>690820813</v>
      </c>
      <c r="H1510" s="270"/>
    </row>
    <row r="1511" spans="1:8" x14ac:dyDescent="0.25">
      <c r="A1511" s="257">
        <v>1514</v>
      </c>
      <c r="B1511" s="267">
        <v>1510</v>
      </c>
      <c r="C1511" s="268" t="s">
        <v>1547</v>
      </c>
      <c r="D1511" s="269">
        <v>41995</v>
      </c>
      <c r="E1511" s="270" t="s">
        <v>3242</v>
      </c>
      <c r="F1511" s="384">
        <v>198000</v>
      </c>
      <c r="G1511" s="270">
        <v>601072652</v>
      </c>
      <c r="H1511" s="270"/>
    </row>
    <row r="1512" spans="1:8" x14ac:dyDescent="0.25">
      <c r="A1512" s="257">
        <v>1515</v>
      </c>
      <c r="B1512" s="267">
        <v>1511</v>
      </c>
      <c r="C1512" s="268" t="s">
        <v>2446</v>
      </c>
      <c r="D1512" s="269">
        <v>41995</v>
      </c>
      <c r="E1512" s="270" t="s">
        <v>3590</v>
      </c>
      <c r="F1512" s="384">
        <v>594000</v>
      </c>
      <c r="G1512" s="270">
        <v>691571317</v>
      </c>
      <c r="H1512" s="270"/>
    </row>
    <row r="1513" spans="1:8" x14ac:dyDescent="0.25">
      <c r="A1513" s="257">
        <v>1516</v>
      </c>
      <c r="B1513" s="267">
        <v>1512</v>
      </c>
      <c r="C1513" s="268" t="s">
        <v>2446</v>
      </c>
      <c r="D1513" s="269">
        <v>41996</v>
      </c>
      <c r="E1513" s="270" t="s">
        <v>2606</v>
      </c>
      <c r="F1513" s="384">
        <v>240000</v>
      </c>
      <c r="G1513" s="270">
        <v>800016267</v>
      </c>
      <c r="H1513" s="270"/>
    </row>
    <row r="1514" spans="1:8" x14ac:dyDescent="0.25">
      <c r="A1514" s="257">
        <v>1517</v>
      </c>
      <c r="B1514" s="267">
        <v>1513</v>
      </c>
      <c r="C1514" s="268" t="s">
        <v>887</v>
      </c>
      <c r="D1514" s="269">
        <v>41997</v>
      </c>
      <c r="E1514" s="270" t="s">
        <v>2831</v>
      </c>
      <c r="F1514" s="384">
        <v>280000</v>
      </c>
      <c r="G1514" s="270">
        <v>191604225</v>
      </c>
      <c r="H1514" s="270"/>
    </row>
    <row r="1515" spans="1:8" x14ac:dyDescent="0.25">
      <c r="A1515" s="257">
        <v>1518</v>
      </c>
      <c r="B1515" s="267">
        <v>1514</v>
      </c>
      <c r="C1515" s="268" t="s">
        <v>1658</v>
      </c>
      <c r="D1515" s="269">
        <v>41997</v>
      </c>
      <c r="E1515" s="270" t="s">
        <v>825</v>
      </c>
      <c r="F1515" s="384">
        <v>435000</v>
      </c>
      <c r="G1515" s="270">
        <v>100951254</v>
      </c>
      <c r="H1515" s="270"/>
    </row>
    <row r="1516" spans="1:8" x14ac:dyDescent="0.25">
      <c r="A1516" s="257">
        <v>1519</v>
      </c>
      <c r="B1516" s="267">
        <v>1515</v>
      </c>
      <c r="C1516" s="268" t="s">
        <v>1658</v>
      </c>
      <c r="D1516" s="269">
        <v>41997</v>
      </c>
      <c r="E1516" s="270" t="s">
        <v>825</v>
      </c>
      <c r="F1516" s="384">
        <v>435000</v>
      </c>
      <c r="G1516" s="270">
        <v>100951254</v>
      </c>
      <c r="H1516" s="270"/>
    </row>
    <row r="1517" spans="1:8" x14ac:dyDescent="0.25">
      <c r="A1517" s="257">
        <v>1520</v>
      </c>
      <c r="B1517" s="267">
        <v>1516</v>
      </c>
      <c r="C1517" s="268" t="s">
        <v>1658</v>
      </c>
      <c r="D1517" s="269">
        <v>41997</v>
      </c>
      <c r="E1517" s="270" t="s">
        <v>825</v>
      </c>
      <c r="F1517" s="384">
        <v>155000</v>
      </c>
      <c r="G1517" s="270">
        <v>100951254</v>
      </c>
      <c r="H1517" s="270"/>
    </row>
    <row r="1518" spans="1:8" x14ac:dyDescent="0.25">
      <c r="A1518" s="257">
        <v>1521</v>
      </c>
      <c r="B1518" s="267">
        <v>1517</v>
      </c>
      <c r="C1518" s="268" t="s">
        <v>819</v>
      </c>
      <c r="D1518" s="269">
        <v>41997</v>
      </c>
      <c r="E1518" s="270" t="s">
        <v>945</v>
      </c>
      <c r="F1518" s="384">
        <v>317000</v>
      </c>
      <c r="G1518" s="270">
        <v>190489491</v>
      </c>
      <c r="H1518" s="270"/>
    </row>
    <row r="1519" spans="1:8" x14ac:dyDescent="0.25">
      <c r="A1519" s="257">
        <v>1522</v>
      </c>
      <c r="B1519" s="267">
        <v>1518</v>
      </c>
      <c r="C1519" s="268" t="s">
        <v>4221</v>
      </c>
      <c r="D1519" s="269">
        <v>42000</v>
      </c>
      <c r="E1519" s="270" t="s">
        <v>3774</v>
      </c>
      <c r="F1519" s="384">
        <v>30000</v>
      </c>
      <c r="G1519" s="270">
        <v>690019524</v>
      </c>
      <c r="H1519" s="270"/>
    </row>
    <row r="1520" spans="1:8" x14ac:dyDescent="0.25">
      <c r="A1520" s="257">
        <v>1523</v>
      </c>
      <c r="B1520" s="267">
        <v>1519</v>
      </c>
      <c r="C1520" s="268" t="s">
        <v>1819</v>
      </c>
      <c r="D1520" s="269">
        <v>42002</v>
      </c>
      <c r="E1520" s="270" t="s">
        <v>2155</v>
      </c>
      <c r="F1520" s="384">
        <v>280000</v>
      </c>
      <c r="G1520" s="270">
        <v>790610130</v>
      </c>
      <c r="H1520" s="270"/>
    </row>
    <row r="1521" spans="1:8" x14ac:dyDescent="0.25">
      <c r="A1521" s="257">
        <v>1524</v>
      </c>
      <c r="B1521" s="267">
        <v>1520</v>
      </c>
      <c r="C1521" s="268" t="s">
        <v>2835</v>
      </c>
      <c r="D1521" s="269">
        <v>42002</v>
      </c>
      <c r="E1521" s="270" t="s">
        <v>2890</v>
      </c>
      <c r="F1521" s="384">
        <v>31000</v>
      </c>
      <c r="G1521" s="270">
        <v>690367172</v>
      </c>
      <c r="H1521" s="270"/>
    </row>
    <row r="1522" spans="1:8" x14ac:dyDescent="0.25">
      <c r="A1522" s="257">
        <v>1525</v>
      </c>
      <c r="B1522" s="267">
        <v>1521</v>
      </c>
      <c r="C1522" s="268" t="s">
        <v>1928</v>
      </c>
      <c r="D1522" s="269">
        <v>42002</v>
      </c>
      <c r="E1522" s="270" t="s">
        <v>2801</v>
      </c>
      <c r="F1522" s="384">
        <v>280000</v>
      </c>
      <c r="G1522" s="270">
        <v>190334745</v>
      </c>
      <c r="H1522" s="270"/>
    </row>
    <row r="1523" spans="1:8" x14ac:dyDescent="0.25">
      <c r="A1523" s="257">
        <v>1526</v>
      </c>
      <c r="B1523" s="267">
        <v>1522</v>
      </c>
      <c r="C1523" s="268" t="s">
        <v>1928</v>
      </c>
      <c r="D1523" s="269">
        <v>42002</v>
      </c>
      <c r="E1523" s="270" t="s">
        <v>2801</v>
      </c>
      <c r="F1523" s="384">
        <v>280000</v>
      </c>
      <c r="G1523" s="270">
        <v>190334745</v>
      </c>
      <c r="H1523" s="270"/>
    </row>
    <row r="1524" spans="1:8" x14ac:dyDescent="0.25">
      <c r="A1524" s="257">
        <v>1527</v>
      </c>
      <c r="B1524" s="267">
        <v>1523</v>
      </c>
      <c r="C1524" s="268" t="s">
        <v>128</v>
      </c>
      <c r="D1524" s="269">
        <v>42002</v>
      </c>
      <c r="E1524" s="270" t="s">
        <v>3259</v>
      </c>
      <c r="F1524" s="384">
        <v>480000</v>
      </c>
      <c r="G1524" s="270">
        <v>190904186</v>
      </c>
      <c r="H1524" s="270"/>
    </row>
    <row r="1525" spans="1:8" x14ac:dyDescent="0.25">
      <c r="A1525" s="257">
        <v>1528</v>
      </c>
      <c r="B1525" s="267">
        <v>1524</v>
      </c>
      <c r="C1525" s="268" t="s">
        <v>2618</v>
      </c>
      <c r="D1525" s="269">
        <v>42002</v>
      </c>
      <c r="E1525" s="270" t="s">
        <v>1622</v>
      </c>
      <c r="F1525" s="384">
        <v>198000</v>
      </c>
      <c r="G1525" s="270">
        <v>190513098</v>
      </c>
      <c r="H1525" s="270"/>
    </row>
    <row r="1526" spans="1:8" x14ac:dyDescent="0.25">
      <c r="A1526" s="257">
        <v>1529</v>
      </c>
      <c r="B1526" s="267">
        <v>1525</v>
      </c>
      <c r="C1526" s="268" t="s">
        <v>265</v>
      </c>
      <c r="D1526" s="269">
        <v>42003</v>
      </c>
      <c r="E1526" s="270" t="s">
        <v>450</v>
      </c>
      <c r="F1526" s="384">
        <v>435000</v>
      </c>
      <c r="G1526" s="270">
        <v>100468996</v>
      </c>
      <c r="H1526" s="270"/>
    </row>
    <row r="1527" spans="1:8" x14ac:dyDescent="0.25">
      <c r="A1527" s="257">
        <v>1530</v>
      </c>
      <c r="B1527" s="267">
        <v>1526</v>
      </c>
      <c r="C1527" s="268" t="s">
        <v>1928</v>
      </c>
      <c r="D1527" s="269">
        <v>42003</v>
      </c>
      <c r="E1527" s="270" t="s">
        <v>2801</v>
      </c>
      <c r="F1527" s="384">
        <v>180000</v>
      </c>
      <c r="G1527" s="270">
        <v>190334745</v>
      </c>
      <c r="H1527" s="270"/>
    </row>
    <row r="1528" spans="1:8" x14ac:dyDescent="0.25">
      <c r="A1528" s="257">
        <v>1531</v>
      </c>
      <c r="B1528" s="267">
        <v>1527</v>
      </c>
      <c r="C1528" s="268" t="s">
        <v>1610</v>
      </c>
      <c r="D1528" s="269">
        <v>42004</v>
      </c>
      <c r="E1528" s="270" t="s">
        <v>2878</v>
      </c>
      <c r="F1528" s="384">
        <v>198000</v>
      </c>
      <c r="G1528" s="270">
        <v>191883502</v>
      </c>
      <c r="H1528" s="270"/>
    </row>
    <row r="1529" spans="1:8" x14ac:dyDescent="0.25">
      <c r="A1529" s="257">
        <v>1532</v>
      </c>
      <c r="B1529" s="267">
        <v>1528</v>
      </c>
      <c r="C1529" s="268" t="s">
        <v>2812</v>
      </c>
      <c r="D1529" s="269">
        <v>42004</v>
      </c>
      <c r="E1529" s="270" t="s">
        <v>990</v>
      </c>
      <c r="F1529" s="384">
        <v>99000</v>
      </c>
      <c r="G1529" s="270">
        <v>0</v>
      </c>
      <c r="H1529" s="270"/>
    </row>
    <row r="1530" spans="1:8" x14ac:dyDescent="0.25">
      <c r="A1530" s="257">
        <v>1533</v>
      </c>
      <c r="B1530" s="267">
        <v>1529</v>
      </c>
      <c r="C1530" s="268" t="s">
        <v>2104</v>
      </c>
      <c r="D1530" s="269">
        <v>42010</v>
      </c>
      <c r="E1530" s="270" t="s">
        <v>983</v>
      </c>
      <c r="F1530" s="384">
        <v>213000</v>
      </c>
      <c r="G1530" s="270">
        <v>601077958</v>
      </c>
      <c r="H1530" s="270"/>
    </row>
    <row r="1531" spans="1:8" x14ac:dyDescent="0.25">
      <c r="A1531" s="257">
        <v>1534</v>
      </c>
      <c r="B1531" s="267">
        <v>1530</v>
      </c>
      <c r="C1531" s="268" t="s">
        <v>2104</v>
      </c>
      <c r="D1531" s="269">
        <v>42010</v>
      </c>
      <c r="E1531" s="270" t="s">
        <v>983</v>
      </c>
      <c r="F1531" s="384">
        <v>373000</v>
      </c>
      <c r="G1531" s="270">
        <v>601077958</v>
      </c>
      <c r="H1531" s="270"/>
    </row>
    <row r="1532" spans="1:8" x14ac:dyDescent="0.25">
      <c r="A1532" s="257">
        <v>1535</v>
      </c>
      <c r="B1532" s="267">
        <v>1531</v>
      </c>
      <c r="C1532" s="268" t="s">
        <v>897</v>
      </c>
      <c r="D1532" s="269">
        <v>42010</v>
      </c>
      <c r="E1532" s="270" t="s">
        <v>1050</v>
      </c>
      <c r="F1532" s="384">
        <v>165000</v>
      </c>
      <c r="G1532" s="270">
        <v>190780314</v>
      </c>
      <c r="H1532" s="270"/>
    </row>
    <row r="1533" spans="1:8" x14ac:dyDescent="0.25">
      <c r="A1533" s="257">
        <v>1536</v>
      </c>
      <c r="B1533" s="267">
        <v>1532</v>
      </c>
      <c r="C1533" s="268" t="s">
        <v>897</v>
      </c>
      <c r="D1533" s="269">
        <v>42010</v>
      </c>
      <c r="E1533" s="270" t="s">
        <v>1050</v>
      </c>
      <c r="F1533" s="384">
        <v>198000</v>
      </c>
      <c r="G1533" s="270">
        <v>190780314</v>
      </c>
      <c r="H1533" s="270"/>
    </row>
    <row r="1534" spans="1:8" x14ac:dyDescent="0.25">
      <c r="A1534" s="257">
        <v>1537</v>
      </c>
      <c r="B1534" s="267">
        <v>1533</v>
      </c>
      <c r="C1534" s="268" t="s">
        <v>897</v>
      </c>
      <c r="D1534" s="269">
        <v>42010</v>
      </c>
      <c r="E1534" s="270" t="s">
        <v>1050</v>
      </c>
      <c r="F1534" s="384">
        <v>435000</v>
      </c>
      <c r="G1534" s="270">
        <v>190780314</v>
      </c>
      <c r="H1534" s="270"/>
    </row>
    <row r="1535" spans="1:8" x14ac:dyDescent="0.25">
      <c r="A1535" s="257">
        <v>1538</v>
      </c>
      <c r="B1535" s="267">
        <v>1534</v>
      </c>
      <c r="C1535" s="268" t="s">
        <v>2869</v>
      </c>
      <c r="D1535" s="269">
        <v>42010</v>
      </c>
      <c r="E1535" s="270" t="s">
        <v>970</v>
      </c>
      <c r="F1535" s="384">
        <v>560000</v>
      </c>
      <c r="G1535" s="270">
        <v>590779700</v>
      </c>
      <c r="H1535" s="270"/>
    </row>
    <row r="1536" spans="1:8" x14ac:dyDescent="0.25">
      <c r="A1536" s="257">
        <v>1539</v>
      </c>
      <c r="B1536" s="267">
        <v>1535</v>
      </c>
      <c r="C1536" s="268" t="s">
        <v>352</v>
      </c>
      <c r="D1536" s="269">
        <v>42010</v>
      </c>
      <c r="E1536" s="270" t="s">
        <v>2757</v>
      </c>
      <c r="F1536" s="384">
        <v>870000</v>
      </c>
      <c r="G1536" s="270">
        <v>691523351</v>
      </c>
      <c r="H1536" s="270"/>
    </row>
    <row r="1537" spans="1:8" x14ac:dyDescent="0.25">
      <c r="A1537" s="257">
        <v>1540</v>
      </c>
      <c r="B1537" s="267">
        <v>1536</v>
      </c>
      <c r="C1537" s="268" t="s">
        <v>2637</v>
      </c>
      <c r="D1537" s="269">
        <v>42012</v>
      </c>
      <c r="E1537" s="270" t="s">
        <v>2772</v>
      </c>
      <c r="F1537" s="384">
        <v>435000</v>
      </c>
      <c r="G1537" s="270">
        <v>691149841</v>
      </c>
      <c r="H1537" s="270"/>
    </row>
    <row r="1538" spans="1:8" x14ac:dyDescent="0.25">
      <c r="A1538" s="257">
        <v>1541</v>
      </c>
      <c r="B1538" s="267">
        <v>1537</v>
      </c>
      <c r="C1538" s="268" t="s">
        <v>2635</v>
      </c>
      <c r="D1538" s="269">
        <v>42012</v>
      </c>
      <c r="E1538" s="270" t="s">
        <v>700</v>
      </c>
      <c r="F1538" s="384">
        <v>916000</v>
      </c>
      <c r="G1538" s="270">
        <v>691572035</v>
      </c>
      <c r="H1538" s="270"/>
    </row>
    <row r="1539" spans="1:8" x14ac:dyDescent="0.25">
      <c r="A1539" s="257">
        <v>1542</v>
      </c>
      <c r="B1539" s="267">
        <v>1538</v>
      </c>
      <c r="C1539" s="268" t="s">
        <v>352</v>
      </c>
      <c r="D1539" s="269">
        <v>42012</v>
      </c>
      <c r="E1539" s="270" t="s">
        <v>3208</v>
      </c>
      <c r="F1539" s="384">
        <v>198000</v>
      </c>
      <c r="G1539" s="270">
        <v>800013069</v>
      </c>
      <c r="H1539" s="270"/>
    </row>
    <row r="1540" spans="1:8" x14ac:dyDescent="0.25">
      <c r="A1540" s="257">
        <v>1543</v>
      </c>
      <c r="B1540" s="267">
        <v>1539</v>
      </c>
      <c r="C1540" s="268" t="s">
        <v>2363</v>
      </c>
      <c r="D1540" s="269">
        <v>42012</v>
      </c>
      <c r="E1540" s="270" t="s">
        <v>2633</v>
      </c>
      <c r="F1540" s="384">
        <v>2800000</v>
      </c>
      <c r="G1540" s="270">
        <v>100320382</v>
      </c>
      <c r="H1540" s="270"/>
    </row>
    <row r="1541" spans="1:8" x14ac:dyDescent="0.25">
      <c r="A1541" s="257">
        <v>1544</v>
      </c>
      <c r="B1541" s="267">
        <v>1540</v>
      </c>
      <c r="C1541" s="268" t="s">
        <v>721</v>
      </c>
      <c r="D1541" s="269">
        <v>42012</v>
      </c>
      <c r="E1541" s="270" t="s">
        <v>854</v>
      </c>
      <c r="F1541" s="384">
        <v>160000</v>
      </c>
      <c r="G1541" s="270">
        <v>100122726</v>
      </c>
      <c r="H1541" s="270"/>
    </row>
    <row r="1542" spans="1:8" x14ac:dyDescent="0.25">
      <c r="A1542" s="257">
        <v>1545</v>
      </c>
      <c r="B1542" s="267">
        <v>1541</v>
      </c>
      <c r="C1542" s="268" t="s">
        <v>721</v>
      </c>
      <c r="D1542" s="269">
        <v>42012</v>
      </c>
      <c r="E1542" s="270" t="s">
        <v>1840</v>
      </c>
      <c r="F1542" s="384">
        <v>180000</v>
      </c>
      <c r="G1542" s="270">
        <v>600068399</v>
      </c>
      <c r="H1542" s="270"/>
    </row>
    <row r="1543" spans="1:8" x14ac:dyDescent="0.25">
      <c r="A1543" s="257">
        <v>1546</v>
      </c>
      <c r="B1543" s="267">
        <v>1542</v>
      </c>
      <c r="C1543" s="268" t="s">
        <v>2453</v>
      </c>
      <c r="D1543" s="269">
        <v>42012</v>
      </c>
      <c r="E1543" s="270" t="s">
        <v>529</v>
      </c>
      <c r="F1543" s="384">
        <v>160000</v>
      </c>
      <c r="G1543" s="270">
        <v>100139352</v>
      </c>
      <c r="H1543" s="270"/>
    </row>
    <row r="1544" spans="1:8" x14ac:dyDescent="0.25">
      <c r="A1544" s="257">
        <v>1547</v>
      </c>
      <c r="B1544" s="267">
        <v>1543</v>
      </c>
      <c r="C1544" s="268" t="s">
        <v>390</v>
      </c>
      <c r="D1544" s="269">
        <v>42012</v>
      </c>
      <c r="E1544" s="270" t="s">
        <v>3518</v>
      </c>
      <c r="F1544" s="384">
        <v>198000</v>
      </c>
      <c r="G1544" s="270">
        <v>100092100</v>
      </c>
      <c r="H1544" s="270"/>
    </row>
    <row r="1545" spans="1:8" x14ac:dyDescent="0.25">
      <c r="A1545" s="257">
        <v>1548</v>
      </c>
      <c r="B1545" s="267">
        <v>1544</v>
      </c>
      <c r="C1545" s="268" t="s">
        <v>2892</v>
      </c>
      <c r="D1545" s="269">
        <v>42012</v>
      </c>
      <c r="E1545" s="270" t="s">
        <v>2694</v>
      </c>
      <c r="F1545" s="384">
        <v>320000</v>
      </c>
      <c r="G1545" s="270">
        <v>192386501</v>
      </c>
      <c r="H1545" s="270"/>
    </row>
    <row r="1546" spans="1:8" x14ac:dyDescent="0.25">
      <c r="A1546" s="257">
        <v>1549</v>
      </c>
      <c r="B1546" s="267">
        <v>1545</v>
      </c>
      <c r="C1546" s="268" t="s">
        <v>3126</v>
      </c>
      <c r="D1546" s="269">
        <v>42012</v>
      </c>
      <c r="E1546" s="270" t="s">
        <v>2409</v>
      </c>
      <c r="F1546" s="384">
        <v>435000</v>
      </c>
      <c r="G1546" s="270">
        <v>691464441</v>
      </c>
      <c r="H1546" s="270"/>
    </row>
    <row r="1547" spans="1:8" x14ac:dyDescent="0.25">
      <c r="A1547" s="257">
        <v>1550</v>
      </c>
      <c r="B1547" s="267">
        <v>1546</v>
      </c>
      <c r="C1547" s="268" t="s">
        <v>429</v>
      </c>
      <c r="D1547" s="269">
        <v>42013</v>
      </c>
      <c r="E1547" s="270" t="s">
        <v>816</v>
      </c>
      <c r="F1547" s="384">
        <v>440000</v>
      </c>
      <c r="G1547" s="270">
        <v>101225557</v>
      </c>
      <c r="H1547" s="270"/>
    </row>
    <row r="1548" spans="1:8" x14ac:dyDescent="0.25">
      <c r="A1548" s="257">
        <v>1551</v>
      </c>
      <c r="B1548" s="267">
        <v>1547</v>
      </c>
      <c r="C1548" s="268" t="s">
        <v>720</v>
      </c>
      <c r="D1548" s="269">
        <v>42013</v>
      </c>
      <c r="E1548" s="270" t="s">
        <v>2461</v>
      </c>
      <c r="F1548" s="384">
        <v>198000</v>
      </c>
      <c r="G1548" s="270">
        <v>191731388</v>
      </c>
      <c r="H1548" s="270"/>
    </row>
    <row r="1549" spans="1:8" x14ac:dyDescent="0.25">
      <c r="A1549" s="257">
        <v>1552</v>
      </c>
      <c r="B1549" s="267">
        <v>1548</v>
      </c>
      <c r="C1549" s="268" t="s">
        <v>818</v>
      </c>
      <c r="D1549" s="269">
        <v>42013</v>
      </c>
      <c r="E1549" s="270" t="s">
        <v>322</v>
      </c>
      <c r="F1549" s="384">
        <v>198000</v>
      </c>
      <c r="G1549" s="270">
        <v>191731388</v>
      </c>
      <c r="H1549" s="270"/>
    </row>
    <row r="1550" spans="1:8" x14ac:dyDescent="0.25">
      <c r="A1550" s="257">
        <v>1553</v>
      </c>
      <c r="B1550" s="267">
        <v>1549</v>
      </c>
      <c r="C1550" s="268" t="s">
        <v>265</v>
      </c>
      <c r="D1550" s="269">
        <v>42013</v>
      </c>
      <c r="E1550" s="270" t="s">
        <v>450</v>
      </c>
      <c r="F1550" s="384">
        <v>633000</v>
      </c>
      <c r="G1550" s="270">
        <v>100468996</v>
      </c>
      <c r="H1550" s="270"/>
    </row>
    <row r="1551" spans="1:8" x14ac:dyDescent="0.25">
      <c r="A1551" s="257">
        <v>1554</v>
      </c>
      <c r="B1551" s="267">
        <v>1550</v>
      </c>
      <c r="C1551" s="268" t="s">
        <v>3143</v>
      </c>
      <c r="D1551" s="269">
        <v>42013</v>
      </c>
      <c r="E1551" s="270" t="s">
        <v>3635</v>
      </c>
      <c r="F1551" s="384">
        <v>4004000</v>
      </c>
      <c r="G1551" s="270">
        <v>100059044</v>
      </c>
      <c r="H1551" s="270"/>
    </row>
    <row r="1552" spans="1:8" x14ac:dyDescent="0.25">
      <c r="A1552" s="257">
        <v>1555</v>
      </c>
      <c r="B1552" s="267">
        <v>1551</v>
      </c>
      <c r="C1552" s="268" t="s">
        <v>3653</v>
      </c>
      <c r="D1552" s="269">
        <v>42013</v>
      </c>
      <c r="E1552" s="270" t="s">
        <v>360</v>
      </c>
      <c r="F1552" s="384">
        <v>280000</v>
      </c>
      <c r="G1552" s="270">
        <v>600212109</v>
      </c>
      <c r="H1552" s="270"/>
    </row>
    <row r="1553" spans="1:8" x14ac:dyDescent="0.25">
      <c r="A1553" s="257">
        <v>1556</v>
      </c>
      <c r="B1553" s="267">
        <v>1552</v>
      </c>
      <c r="C1553" s="268" t="s">
        <v>3593</v>
      </c>
      <c r="D1553" s="269">
        <v>42013</v>
      </c>
      <c r="E1553" s="270" t="s">
        <v>443</v>
      </c>
      <c r="F1553" s="384">
        <v>280000</v>
      </c>
      <c r="G1553" s="270">
        <v>690281093</v>
      </c>
      <c r="H1553" s="270"/>
    </row>
    <row r="1554" spans="1:8" x14ac:dyDescent="0.25">
      <c r="A1554" s="257">
        <v>1557</v>
      </c>
      <c r="B1554" s="267">
        <v>1553</v>
      </c>
      <c r="C1554" s="268" t="s">
        <v>4201</v>
      </c>
      <c r="D1554" s="269">
        <v>42014</v>
      </c>
      <c r="E1554" s="270" t="s">
        <v>349</v>
      </c>
      <c r="F1554" s="384">
        <v>560000</v>
      </c>
      <c r="G1554" s="270">
        <v>690604750</v>
      </c>
      <c r="H1554" s="270"/>
    </row>
    <row r="1555" spans="1:8" x14ac:dyDescent="0.25">
      <c r="A1555" s="257">
        <v>1558</v>
      </c>
      <c r="B1555" s="267">
        <v>1554</v>
      </c>
      <c r="C1555" s="268" t="s">
        <v>1647</v>
      </c>
      <c r="D1555" s="269">
        <v>42016</v>
      </c>
      <c r="E1555" s="270" t="s">
        <v>1687</v>
      </c>
      <c r="F1555" s="384">
        <v>435000</v>
      </c>
      <c r="G1555" s="270">
        <v>691420821</v>
      </c>
      <c r="H1555" s="270"/>
    </row>
    <row r="1556" spans="1:8" x14ac:dyDescent="0.25">
      <c r="A1556" s="257">
        <v>1559</v>
      </c>
      <c r="B1556" s="267">
        <v>1555</v>
      </c>
      <c r="C1556" s="268" t="s">
        <v>3245</v>
      </c>
      <c r="D1556" s="269">
        <v>42016</v>
      </c>
      <c r="E1556" s="270" t="s">
        <v>1702</v>
      </c>
      <c r="F1556" s="384">
        <v>240000</v>
      </c>
      <c r="G1556" s="270">
        <v>100315395</v>
      </c>
      <c r="H1556" s="270"/>
    </row>
    <row r="1557" spans="1:8" x14ac:dyDescent="0.25">
      <c r="A1557" s="257">
        <v>1560</v>
      </c>
      <c r="B1557" s="267">
        <v>1556</v>
      </c>
      <c r="C1557" s="268" t="s">
        <v>1672</v>
      </c>
      <c r="D1557" s="269">
        <v>42016</v>
      </c>
      <c r="E1557" s="270" t="s">
        <v>2644</v>
      </c>
      <c r="F1557" s="384">
        <v>0</v>
      </c>
      <c r="G1557" s="270">
        <v>191749393</v>
      </c>
      <c r="H1557" s="270"/>
    </row>
    <row r="1558" spans="1:8" x14ac:dyDescent="0.25">
      <c r="A1558" s="257">
        <v>1561</v>
      </c>
      <c r="B1558" s="267">
        <v>1557</v>
      </c>
      <c r="C1558" s="268" t="s">
        <v>1639</v>
      </c>
      <c r="D1558" s="269">
        <v>42016</v>
      </c>
      <c r="E1558" s="270" t="s">
        <v>364</v>
      </c>
      <c r="F1558" s="384">
        <v>165000</v>
      </c>
      <c r="G1558" s="270">
        <v>800011635</v>
      </c>
      <c r="H1558" s="270"/>
    </row>
    <row r="1559" spans="1:8" x14ac:dyDescent="0.25">
      <c r="A1559" s="257">
        <v>1562</v>
      </c>
      <c r="B1559" s="267">
        <v>1558</v>
      </c>
      <c r="C1559" s="268" t="s">
        <v>895</v>
      </c>
      <c r="D1559" s="269">
        <v>42016</v>
      </c>
      <c r="E1559" s="270" t="s">
        <v>2804</v>
      </c>
      <c r="F1559" s="384">
        <v>180000</v>
      </c>
      <c r="G1559" s="270">
        <v>691433174</v>
      </c>
      <c r="H1559" s="270"/>
    </row>
    <row r="1560" spans="1:8" x14ac:dyDescent="0.25">
      <c r="A1560" s="257">
        <v>1563</v>
      </c>
      <c r="B1560" s="267">
        <v>1559</v>
      </c>
      <c r="C1560" s="268" t="s">
        <v>2452</v>
      </c>
      <c r="D1560" s="269">
        <v>42016</v>
      </c>
      <c r="E1560" s="270" t="s">
        <v>358</v>
      </c>
      <c r="F1560" s="384">
        <v>870000</v>
      </c>
      <c r="G1560" s="270">
        <v>690658237</v>
      </c>
      <c r="H1560" s="270"/>
    </row>
    <row r="1561" spans="1:8" x14ac:dyDescent="0.25">
      <c r="A1561" s="257">
        <v>1564</v>
      </c>
      <c r="B1561" s="267">
        <v>1560</v>
      </c>
      <c r="C1561" s="268" t="s">
        <v>802</v>
      </c>
      <c r="D1561" s="269">
        <v>42016</v>
      </c>
      <c r="E1561" s="270" t="s">
        <v>1641</v>
      </c>
      <c r="F1561" s="384">
        <v>5040000</v>
      </c>
      <c r="G1561" s="270">
        <v>100135464</v>
      </c>
      <c r="H1561" s="270"/>
    </row>
    <row r="1562" spans="1:8" x14ac:dyDescent="0.25">
      <c r="A1562" s="257">
        <v>1565</v>
      </c>
      <c r="B1562" s="267">
        <v>1561</v>
      </c>
      <c r="C1562" s="268" t="s">
        <v>2597</v>
      </c>
      <c r="D1562" s="269">
        <v>42016</v>
      </c>
      <c r="E1562" s="270" t="s">
        <v>1640</v>
      </c>
      <c r="F1562" s="384">
        <v>435000</v>
      </c>
      <c r="G1562" s="270">
        <v>100262573</v>
      </c>
      <c r="H1562" s="270"/>
    </row>
    <row r="1563" spans="1:8" x14ac:dyDescent="0.25">
      <c r="A1563" s="257">
        <v>1566</v>
      </c>
      <c r="B1563" s="267">
        <v>1562</v>
      </c>
      <c r="C1563" s="268" t="s">
        <v>1026</v>
      </c>
      <c r="D1563" s="269">
        <v>42017</v>
      </c>
      <c r="E1563" s="270" t="s">
        <v>234</v>
      </c>
      <c r="F1563" s="384">
        <v>396000</v>
      </c>
      <c r="G1563" s="270">
        <v>100736767</v>
      </c>
      <c r="H1563" s="270"/>
    </row>
    <row r="1564" spans="1:8" x14ac:dyDescent="0.25">
      <c r="A1564" s="257">
        <v>1567</v>
      </c>
      <c r="B1564" s="267">
        <v>1563</v>
      </c>
      <c r="C1564" s="268" t="s">
        <v>2366</v>
      </c>
      <c r="D1564" s="269">
        <v>42017</v>
      </c>
      <c r="E1564" s="270" t="s">
        <v>873</v>
      </c>
      <c r="F1564" s="384">
        <v>435000</v>
      </c>
      <c r="G1564" s="270">
        <v>691523415</v>
      </c>
      <c r="H1564" s="270"/>
    </row>
    <row r="1565" spans="1:8" x14ac:dyDescent="0.25">
      <c r="A1565" s="257">
        <v>1568</v>
      </c>
      <c r="B1565" s="267">
        <v>1564</v>
      </c>
      <c r="C1565" s="268" t="s">
        <v>1658</v>
      </c>
      <c r="D1565" s="269">
        <v>42020</v>
      </c>
      <c r="E1565" s="270" t="s">
        <v>825</v>
      </c>
      <c r="F1565" s="384">
        <v>280000</v>
      </c>
      <c r="G1565" s="270">
        <v>100951254</v>
      </c>
      <c r="H1565" s="270"/>
    </row>
    <row r="1566" spans="1:8" x14ac:dyDescent="0.25">
      <c r="A1566" s="257">
        <v>1569</v>
      </c>
      <c r="B1566" s="267">
        <v>1565</v>
      </c>
      <c r="C1566" s="268" t="s">
        <v>2434</v>
      </c>
      <c r="D1566" s="269">
        <v>42020</v>
      </c>
      <c r="E1566" s="270" t="s">
        <v>820</v>
      </c>
      <c r="F1566" s="384">
        <v>63000</v>
      </c>
      <c r="G1566" s="270">
        <v>191301074</v>
      </c>
      <c r="H1566" s="270"/>
    </row>
    <row r="1567" spans="1:8" x14ac:dyDescent="0.25">
      <c r="A1567" s="257">
        <v>1570</v>
      </c>
      <c r="B1567" s="267">
        <v>1566</v>
      </c>
      <c r="C1567" s="268" t="s">
        <v>2448</v>
      </c>
      <c r="D1567" s="269">
        <v>42021</v>
      </c>
      <c r="E1567" s="270" t="s">
        <v>431</v>
      </c>
      <c r="F1567" s="384">
        <v>198000</v>
      </c>
      <c r="G1567" s="270">
        <v>100511893</v>
      </c>
      <c r="H1567" s="270"/>
    </row>
    <row r="1568" spans="1:8" x14ac:dyDescent="0.25">
      <c r="A1568" s="257">
        <v>1571</v>
      </c>
      <c r="B1568" s="267">
        <v>1567</v>
      </c>
      <c r="C1568" s="268" t="s">
        <v>1918</v>
      </c>
      <c r="D1568" s="269">
        <v>42021</v>
      </c>
      <c r="E1568" s="270" t="s">
        <v>1607</v>
      </c>
      <c r="F1568" s="384">
        <v>280000</v>
      </c>
      <c r="G1568" s="270">
        <v>690643672</v>
      </c>
      <c r="H1568" s="270"/>
    </row>
    <row r="1569" spans="1:8" x14ac:dyDescent="0.25">
      <c r="A1569" s="257">
        <v>1572</v>
      </c>
      <c r="B1569" s="267">
        <v>1568</v>
      </c>
      <c r="C1569" s="268" t="s">
        <v>1639</v>
      </c>
      <c r="D1569" s="269">
        <v>42021</v>
      </c>
      <c r="E1569" s="270" t="s">
        <v>3850</v>
      </c>
      <c r="F1569" s="384">
        <v>30000</v>
      </c>
      <c r="G1569" s="270">
        <v>800011635</v>
      </c>
      <c r="H1569" s="270"/>
    </row>
    <row r="1570" spans="1:8" x14ac:dyDescent="0.25">
      <c r="A1570" s="257">
        <v>1573</v>
      </c>
      <c r="B1570" s="267">
        <v>1569</v>
      </c>
      <c r="C1570" s="268" t="s">
        <v>724</v>
      </c>
      <c r="D1570" s="269">
        <v>42023</v>
      </c>
      <c r="E1570" s="270" t="s">
        <v>1000</v>
      </c>
      <c r="F1570" s="384">
        <v>435000</v>
      </c>
      <c r="G1570" s="270">
        <v>808000410</v>
      </c>
      <c r="H1570" s="270"/>
    </row>
    <row r="1571" spans="1:8" x14ac:dyDescent="0.25">
      <c r="A1571" s="257">
        <v>1574</v>
      </c>
      <c r="B1571" s="267">
        <v>1570</v>
      </c>
      <c r="C1571" s="268" t="s">
        <v>2616</v>
      </c>
      <c r="D1571" s="269">
        <v>42023</v>
      </c>
      <c r="E1571" s="270" t="s">
        <v>3623</v>
      </c>
      <c r="F1571" s="384">
        <v>393000</v>
      </c>
      <c r="G1571" s="270">
        <v>100265026</v>
      </c>
      <c r="H1571" s="270"/>
    </row>
    <row r="1572" spans="1:8" x14ac:dyDescent="0.25">
      <c r="A1572" s="257">
        <v>1575</v>
      </c>
      <c r="B1572" s="267">
        <v>1571</v>
      </c>
      <c r="C1572" s="268" t="s">
        <v>2751</v>
      </c>
      <c r="D1572" s="269">
        <v>42023</v>
      </c>
      <c r="E1572" s="270" t="s">
        <v>449</v>
      </c>
      <c r="F1572" s="384">
        <v>155000</v>
      </c>
      <c r="G1572" s="270">
        <v>100025732</v>
      </c>
      <c r="H1572" s="270"/>
    </row>
    <row r="1573" spans="1:8" x14ac:dyDescent="0.25">
      <c r="A1573" s="257">
        <v>1576</v>
      </c>
      <c r="B1573" s="267">
        <v>1572</v>
      </c>
      <c r="C1573" s="268" t="s">
        <v>1826</v>
      </c>
      <c r="D1573" s="269">
        <v>42023</v>
      </c>
      <c r="E1573" s="270" t="s">
        <v>2424</v>
      </c>
      <c r="F1573" s="384">
        <v>435000</v>
      </c>
      <c r="G1573" s="270">
        <v>101326441</v>
      </c>
      <c r="H1573" s="270"/>
    </row>
    <row r="1574" spans="1:8" x14ac:dyDescent="0.25">
      <c r="A1574" s="257">
        <v>1577</v>
      </c>
      <c r="B1574" s="267">
        <v>1573</v>
      </c>
      <c r="C1574" s="268" t="s">
        <v>2648</v>
      </c>
      <c r="D1574" s="269">
        <v>42024</v>
      </c>
      <c r="E1574" s="270" t="s">
        <v>3834</v>
      </c>
      <c r="F1574" s="384">
        <v>165000</v>
      </c>
      <c r="G1574" s="270">
        <v>800005746</v>
      </c>
      <c r="H1574" s="270"/>
    </row>
    <row r="1575" spans="1:8" x14ac:dyDescent="0.25">
      <c r="A1575" s="257">
        <v>1578</v>
      </c>
      <c r="B1575" s="267">
        <v>1574</v>
      </c>
      <c r="C1575" s="268" t="s">
        <v>2602</v>
      </c>
      <c r="D1575" s="269">
        <v>42024</v>
      </c>
      <c r="E1575" s="270" t="s">
        <v>3321</v>
      </c>
      <c r="F1575" s="384">
        <v>435000</v>
      </c>
      <c r="G1575" s="270">
        <v>490492602</v>
      </c>
      <c r="H1575" s="270"/>
    </row>
    <row r="1576" spans="1:8" x14ac:dyDescent="0.25">
      <c r="A1576" s="257">
        <v>1579</v>
      </c>
      <c r="B1576" s="267">
        <v>1575</v>
      </c>
      <c r="C1576" s="268" t="s">
        <v>2889</v>
      </c>
      <c r="D1576" s="269">
        <v>42024</v>
      </c>
      <c r="E1576" s="270" t="s">
        <v>523</v>
      </c>
      <c r="F1576" s="384">
        <v>435000</v>
      </c>
      <c r="G1576" s="270">
        <v>691539111</v>
      </c>
      <c r="H1576" s="270"/>
    </row>
    <row r="1577" spans="1:8" x14ac:dyDescent="0.25">
      <c r="A1577" s="257">
        <v>1580</v>
      </c>
      <c r="B1577" s="267">
        <v>1576</v>
      </c>
      <c r="C1577" s="268" t="s">
        <v>2889</v>
      </c>
      <c r="D1577" s="269">
        <v>42024</v>
      </c>
      <c r="E1577" s="270" t="s">
        <v>523</v>
      </c>
      <c r="F1577" s="384">
        <v>155000</v>
      </c>
      <c r="G1577" s="270">
        <v>691539111</v>
      </c>
      <c r="H1577" s="270"/>
    </row>
    <row r="1578" spans="1:8" x14ac:dyDescent="0.25">
      <c r="A1578" s="257">
        <v>1581</v>
      </c>
      <c r="B1578" s="267">
        <v>1577</v>
      </c>
      <c r="C1578" s="268" t="s">
        <v>1926</v>
      </c>
      <c r="D1578" s="269">
        <v>42024</v>
      </c>
      <c r="E1578" s="270" t="s">
        <v>2888</v>
      </c>
      <c r="F1578" s="384">
        <v>435000</v>
      </c>
      <c r="G1578" s="270">
        <v>691131810</v>
      </c>
      <c r="H1578" s="270"/>
    </row>
    <row r="1579" spans="1:8" x14ac:dyDescent="0.25">
      <c r="A1579" s="257">
        <v>1582</v>
      </c>
      <c r="B1579" s="267">
        <v>1578</v>
      </c>
      <c r="C1579" s="268" t="s">
        <v>3309</v>
      </c>
      <c r="D1579" s="269">
        <v>42024</v>
      </c>
      <c r="E1579" s="270" t="s">
        <v>1692</v>
      </c>
      <c r="F1579" s="384">
        <v>435000</v>
      </c>
      <c r="G1579" s="270">
        <v>600537220</v>
      </c>
      <c r="H1579" s="270"/>
    </row>
    <row r="1580" spans="1:8" x14ac:dyDescent="0.25">
      <c r="A1580" s="257">
        <v>1583</v>
      </c>
      <c r="B1580" s="267">
        <v>1579</v>
      </c>
      <c r="C1580" s="268" t="s">
        <v>3275</v>
      </c>
      <c r="D1580" s="269">
        <v>42024</v>
      </c>
      <c r="E1580" s="270" t="s">
        <v>865</v>
      </c>
      <c r="F1580" s="384">
        <v>280000</v>
      </c>
      <c r="G1580" s="270">
        <v>101482164</v>
      </c>
      <c r="H1580" s="270"/>
    </row>
    <row r="1581" spans="1:8" x14ac:dyDescent="0.25">
      <c r="A1581" s="257">
        <v>1584</v>
      </c>
      <c r="B1581" s="267">
        <v>1580</v>
      </c>
      <c r="C1581" s="268" t="s">
        <v>494</v>
      </c>
      <c r="D1581" s="269">
        <v>42025</v>
      </c>
      <c r="E1581" s="270" t="s">
        <v>339</v>
      </c>
      <c r="F1581" s="384">
        <v>155000</v>
      </c>
      <c r="G1581" s="270">
        <v>690629013</v>
      </c>
      <c r="H1581" s="270"/>
    </row>
    <row r="1582" spans="1:8" x14ac:dyDescent="0.25">
      <c r="A1582" s="257">
        <v>1585</v>
      </c>
      <c r="B1582" s="267">
        <v>1581</v>
      </c>
      <c r="C1582" s="268" t="s">
        <v>2437</v>
      </c>
      <c r="D1582" s="269">
        <v>42025</v>
      </c>
      <c r="E1582" s="270" t="s">
        <v>3584</v>
      </c>
      <c r="F1582" s="384">
        <v>67000</v>
      </c>
      <c r="G1582" s="270">
        <v>100297330</v>
      </c>
      <c r="H1582" s="270"/>
    </row>
    <row r="1583" spans="1:8" x14ac:dyDescent="0.25">
      <c r="A1583" s="257">
        <v>1586</v>
      </c>
      <c r="B1583" s="267">
        <v>1582</v>
      </c>
      <c r="C1583" s="268" t="s">
        <v>948</v>
      </c>
      <c r="D1583" s="269">
        <v>42026</v>
      </c>
      <c r="E1583" s="270" t="s">
        <v>225</v>
      </c>
      <c r="F1583" s="384">
        <v>213000</v>
      </c>
      <c r="G1583" s="270">
        <v>100152060</v>
      </c>
      <c r="H1583" s="270"/>
    </row>
    <row r="1584" spans="1:8" x14ac:dyDescent="0.25">
      <c r="A1584" s="257">
        <v>1587</v>
      </c>
      <c r="B1584" s="267">
        <v>1583</v>
      </c>
      <c r="C1584" s="268" t="s">
        <v>2616</v>
      </c>
      <c r="D1584" s="269">
        <v>42026</v>
      </c>
      <c r="E1584" s="270" t="s">
        <v>3623</v>
      </c>
      <c r="F1584" s="384">
        <v>77000</v>
      </c>
      <c r="G1584" s="270">
        <v>100265026</v>
      </c>
      <c r="H1584" s="270"/>
    </row>
    <row r="1585" spans="1:8" x14ac:dyDescent="0.25">
      <c r="A1585" s="257">
        <v>1588</v>
      </c>
      <c r="B1585" s="267">
        <v>1584</v>
      </c>
      <c r="C1585" s="268" t="s">
        <v>2399</v>
      </c>
      <c r="D1585" s="269">
        <v>42026</v>
      </c>
      <c r="E1585" s="270" t="s">
        <v>400</v>
      </c>
      <c r="F1585" s="384">
        <v>240000</v>
      </c>
      <c r="G1585" s="270">
        <v>191569156</v>
      </c>
      <c r="H1585" s="270"/>
    </row>
    <row r="1586" spans="1:8" x14ac:dyDescent="0.25">
      <c r="A1586" s="257">
        <v>1589</v>
      </c>
      <c r="B1586" s="267">
        <v>1585</v>
      </c>
      <c r="C1586" s="268" t="s">
        <v>845</v>
      </c>
      <c r="D1586" s="269">
        <v>42026</v>
      </c>
      <c r="E1586" s="270" t="s">
        <v>844</v>
      </c>
      <c r="F1586" s="384">
        <v>280000</v>
      </c>
      <c r="G1586" s="270">
        <v>190571928</v>
      </c>
      <c r="H1586" s="270"/>
    </row>
    <row r="1587" spans="1:8" x14ac:dyDescent="0.25">
      <c r="A1587" s="257">
        <v>1590</v>
      </c>
      <c r="B1587" s="267">
        <v>1586</v>
      </c>
      <c r="C1587" s="268" t="s">
        <v>3864</v>
      </c>
      <c r="D1587" s="269">
        <v>42026</v>
      </c>
      <c r="E1587" s="270" t="s">
        <v>906</v>
      </c>
      <c r="F1587" s="384">
        <v>99000</v>
      </c>
      <c r="G1587" s="270">
        <v>100348119</v>
      </c>
      <c r="H1587" s="270"/>
    </row>
    <row r="1588" spans="1:8" x14ac:dyDescent="0.25">
      <c r="A1588" s="257">
        <v>1591</v>
      </c>
      <c r="B1588" s="267">
        <v>1587</v>
      </c>
      <c r="C1588" s="268" t="s">
        <v>978</v>
      </c>
      <c r="D1588" s="269">
        <v>42026</v>
      </c>
      <c r="E1588" s="270" t="s">
        <v>847</v>
      </c>
      <c r="F1588" s="384">
        <v>155000</v>
      </c>
      <c r="G1588" s="270">
        <v>190853326</v>
      </c>
      <c r="H1588" s="270"/>
    </row>
    <row r="1589" spans="1:8" x14ac:dyDescent="0.25">
      <c r="A1589" s="257">
        <v>1592</v>
      </c>
      <c r="B1589" s="267">
        <v>1588</v>
      </c>
      <c r="C1589" s="268" t="s">
        <v>1826</v>
      </c>
      <c r="D1589" s="269">
        <v>42026</v>
      </c>
      <c r="E1589" s="270" t="s">
        <v>2424</v>
      </c>
      <c r="F1589" s="384">
        <v>1025000</v>
      </c>
      <c r="G1589" s="270">
        <v>101326441</v>
      </c>
      <c r="H1589" s="270"/>
    </row>
    <row r="1590" spans="1:8" x14ac:dyDescent="0.25">
      <c r="A1590" s="257">
        <v>1593</v>
      </c>
      <c r="B1590" s="267">
        <v>1589</v>
      </c>
      <c r="C1590" s="268" t="s">
        <v>252</v>
      </c>
      <c r="D1590" s="269">
        <v>42026</v>
      </c>
      <c r="E1590" s="270" t="s">
        <v>3582</v>
      </c>
      <c r="F1590" s="384">
        <v>160000</v>
      </c>
      <c r="G1590" s="270">
        <v>100338635</v>
      </c>
      <c r="H1590" s="270"/>
    </row>
    <row r="1591" spans="1:8" x14ac:dyDescent="0.25">
      <c r="A1591" s="257">
        <v>1594</v>
      </c>
      <c r="B1591" s="267">
        <v>1590</v>
      </c>
      <c r="C1591" s="268" t="s">
        <v>3757</v>
      </c>
      <c r="D1591" s="269">
        <v>42027</v>
      </c>
      <c r="E1591" s="270" t="s">
        <v>235</v>
      </c>
      <c r="F1591" s="384">
        <v>1150000</v>
      </c>
      <c r="G1591" s="270">
        <v>190080211</v>
      </c>
      <c r="H1591" s="270"/>
    </row>
    <row r="1592" spans="1:8" x14ac:dyDescent="0.25">
      <c r="A1592" s="257">
        <v>1595</v>
      </c>
      <c r="B1592" s="267">
        <v>1591</v>
      </c>
      <c r="C1592" s="268" t="s">
        <v>2434</v>
      </c>
      <c r="D1592" s="269">
        <v>42030</v>
      </c>
      <c r="E1592" s="270" t="s">
        <v>820</v>
      </c>
      <c r="F1592" s="384">
        <v>435000</v>
      </c>
      <c r="G1592" s="270">
        <v>191301074</v>
      </c>
      <c r="H1592" s="270"/>
    </row>
    <row r="1593" spans="1:8" x14ac:dyDescent="0.25">
      <c r="A1593" s="257">
        <v>1596</v>
      </c>
      <c r="B1593" s="267">
        <v>1592</v>
      </c>
      <c r="C1593" s="268" t="s">
        <v>265</v>
      </c>
      <c r="D1593" s="269">
        <v>42030</v>
      </c>
      <c r="E1593" s="270" t="s">
        <v>450</v>
      </c>
      <c r="F1593" s="384">
        <v>870000</v>
      </c>
      <c r="G1593" s="270">
        <v>100468996</v>
      </c>
      <c r="H1593" s="270"/>
    </row>
    <row r="1594" spans="1:8" x14ac:dyDescent="0.25">
      <c r="A1594" s="257">
        <v>1597</v>
      </c>
      <c r="B1594" s="267">
        <v>1593</v>
      </c>
      <c r="C1594" s="268" t="s">
        <v>452</v>
      </c>
      <c r="D1594" s="269">
        <v>42030</v>
      </c>
      <c r="E1594" s="270" t="s">
        <v>146</v>
      </c>
      <c r="F1594" s="384">
        <v>198000</v>
      </c>
      <c r="G1594" s="270">
        <v>100839215</v>
      </c>
      <c r="H1594" s="270"/>
    </row>
    <row r="1595" spans="1:8" x14ac:dyDescent="0.25">
      <c r="A1595" s="257">
        <v>1598</v>
      </c>
      <c r="B1595" s="267">
        <v>1594</v>
      </c>
      <c r="C1595" s="268" t="s">
        <v>3837</v>
      </c>
      <c r="D1595" s="269">
        <v>42030</v>
      </c>
      <c r="E1595" s="270" t="s">
        <v>2748</v>
      </c>
      <c r="F1595" s="384">
        <v>640000</v>
      </c>
      <c r="G1595" s="270">
        <v>191683833</v>
      </c>
      <c r="H1595" s="270"/>
    </row>
    <row r="1596" spans="1:8" x14ac:dyDescent="0.25">
      <c r="A1596" s="257">
        <v>1599</v>
      </c>
      <c r="B1596" s="267">
        <v>1595</v>
      </c>
      <c r="C1596" s="268" t="s">
        <v>724</v>
      </c>
      <c r="D1596" s="269">
        <v>42030</v>
      </c>
      <c r="E1596" s="270" t="s">
        <v>1000</v>
      </c>
      <c r="F1596" s="384">
        <v>63000</v>
      </c>
      <c r="G1596" s="270">
        <v>808000410</v>
      </c>
      <c r="H1596" s="270"/>
    </row>
    <row r="1597" spans="1:8" x14ac:dyDescent="0.25">
      <c r="A1597" s="257">
        <v>1600</v>
      </c>
      <c r="B1597" s="267">
        <v>1596</v>
      </c>
      <c r="C1597" s="268" t="s">
        <v>3729</v>
      </c>
      <c r="D1597" s="269">
        <v>42031</v>
      </c>
      <c r="E1597" s="270" t="s">
        <v>2164</v>
      </c>
      <c r="F1597" s="384">
        <v>198000</v>
      </c>
      <c r="G1597" s="270">
        <v>100987897</v>
      </c>
      <c r="H1597" s="270"/>
    </row>
    <row r="1598" spans="1:8" x14ac:dyDescent="0.25">
      <c r="A1598" s="257">
        <v>1601</v>
      </c>
      <c r="B1598" s="267">
        <v>1597</v>
      </c>
      <c r="C1598" s="268" t="s">
        <v>2143</v>
      </c>
      <c r="D1598" s="269">
        <v>42031</v>
      </c>
      <c r="E1598" s="270" t="s">
        <v>1927</v>
      </c>
      <c r="F1598" s="384">
        <v>950000</v>
      </c>
      <c r="G1598" s="270">
        <v>190032958</v>
      </c>
      <c r="H1598" s="270"/>
    </row>
    <row r="1599" spans="1:8" x14ac:dyDescent="0.25">
      <c r="A1599" s="257">
        <v>1602</v>
      </c>
      <c r="B1599" s="267">
        <v>1598</v>
      </c>
      <c r="C1599" s="268" t="s">
        <v>190</v>
      </c>
      <c r="D1599" s="269">
        <v>42031</v>
      </c>
      <c r="E1599" s="270" t="s">
        <v>188</v>
      </c>
      <c r="F1599" s="384">
        <v>638000</v>
      </c>
      <c r="G1599" s="270">
        <v>190270596</v>
      </c>
      <c r="H1599" s="270"/>
    </row>
    <row r="1600" spans="1:8" x14ac:dyDescent="0.25">
      <c r="A1600" s="257">
        <v>1603</v>
      </c>
      <c r="B1600" s="267">
        <v>1599</v>
      </c>
      <c r="C1600" s="268" t="s">
        <v>2835</v>
      </c>
      <c r="D1600" s="269">
        <v>42031</v>
      </c>
      <c r="E1600" s="270" t="s">
        <v>2890</v>
      </c>
      <c r="F1600" s="384">
        <v>300000</v>
      </c>
      <c r="G1600" s="270">
        <v>690367172</v>
      </c>
      <c r="H1600" s="270"/>
    </row>
    <row r="1601" spans="1:8" x14ac:dyDescent="0.25">
      <c r="A1601" s="257">
        <v>1604</v>
      </c>
      <c r="B1601" s="267">
        <v>1600</v>
      </c>
      <c r="C1601" s="268" t="s">
        <v>1119</v>
      </c>
      <c r="D1601" s="269">
        <v>42031</v>
      </c>
      <c r="E1601" s="270" t="s">
        <v>392</v>
      </c>
      <c r="F1601" s="384">
        <v>330000</v>
      </c>
      <c r="G1601" s="270">
        <v>190611338</v>
      </c>
      <c r="H1601" s="270"/>
    </row>
    <row r="1602" spans="1:8" x14ac:dyDescent="0.25">
      <c r="A1602" s="257">
        <v>1605</v>
      </c>
      <c r="B1602" s="267">
        <v>1601</v>
      </c>
      <c r="C1602" s="268" t="s">
        <v>420</v>
      </c>
      <c r="D1602" s="269">
        <v>42031</v>
      </c>
      <c r="E1602" s="270" t="s">
        <v>242</v>
      </c>
      <c r="F1602" s="384">
        <v>198000</v>
      </c>
      <c r="G1602" s="270">
        <v>100009627</v>
      </c>
      <c r="H1602" s="270"/>
    </row>
    <row r="1603" spans="1:8" x14ac:dyDescent="0.25">
      <c r="A1603" s="257">
        <v>1606</v>
      </c>
      <c r="B1603" s="267">
        <v>1602</v>
      </c>
      <c r="C1603" s="268" t="s">
        <v>2095</v>
      </c>
      <c r="D1603" s="269">
        <v>42031</v>
      </c>
      <c r="E1603" s="270" t="s">
        <v>2859</v>
      </c>
      <c r="F1603" s="384">
        <v>956000</v>
      </c>
      <c r="G1603" s="270">
        <v>100261801</v>
      </c>
      <c r="H1603" s="270"/>
    </row>
    <row r="1604" spans="1:8" x14ac:dyDescent="0.25">
      <c r="A1604" s="257">
        <v>1607</v>
      </c>
      <c r="B1604" s="267">
        <v>1603</v>
      </c>
      <c r="C1604" s="268" t="s">
        <v>2869</v>
      </c>
      <c r="D1604" s="269">
        <v>42031</v>
      </c>
      <c r="E1604" s="270" t="s">
        <v>970</v>
      </c>
      <c r="F1604" s="384">
        <v>310000</v>
      </c>
      <c r="G1604" s="270">
        <v>590779700</v>
      </c>
      <c r="H1604" s="270"/>
    </row>
    <row r="1605" spans="1:8" x14ac:dyDescent="0.25">
      <c r="A1605" s="257">
        <v>1608</v>
      </c>
      <c r="B1605" s="267">
        <v>1604</v>
      </c>
      <c r="C1605" s="268" t="s">
        <v>3748</v>
      </c>
      <c r="D1605" s="269">
        <v>42031</v>
      </c>
      <c r="E1605" s="270" t="s">
        <v>1788</v>
      </c>
      <c r="F1605" s="384">
        <v>560000</v>
      </c>
      <c r="G1605" s="270">
        <v>800001327</v>
      </c>
      <c r="H1605" s="270"/>
    </row>
    <row r="1606" spans="1:8" x14ac:dyDescent="0.25">
      <c r="A1606" s="257">
        <v>1609</v>
      </c>
      <c r="B1606" s="267">
        <v>1605</v>
      </c>
      <c r="C1606" s="268" t="s">
        <v>256</v>
      </c>
      <c r="D1606" s="269">
        <v>42031</v>
      </c>
      <c r="E1606" s="270" t="s">
        <v>2967</v>
      </c>
      <c r="F1606" s="384">
        <v>240000</v>
      </c>
      <c r="G1606" s="270">
        <v>100875153</v>
      </c>
      <c r="H1606" s="270"/>
    </row>
    <row r="1607" spans="1:8" x14ac:dyDescent="0.25">
      <c r="A1607" s="257">
        <v>1610</v>
      </c>
      <c r="B1607" s="267">
        <v>1606</v>
      </c>
      <c r="C1607" s="268" t="s">
        <v>1049</v>
      </c>
      <c r="D1607" s="269">
        <v>42032</v>
      </c>
      <c r="E1607" s="270" t="s">
        <v>3581</v>
      </c>
      <c r="F1607" s="384">
        <v>198000</v>
      </c>
      <c r="G1607" s="270">
        <v>190571479</v>
      </c>
      <c r="H1607" s="270"/>
    </row>
    <row r="1608" spans="1:8" x14ac:dyDescent="0.25">
      <c r="A1608" s="257">
        <v>1611</v>
      </c>
      <c r="B1608" s="267">
        <v>1607</v>
      </c>
      <c r="C1608" s="268" t="s">
        <v>3658</v>
      </c>
      <c r="D1608" s="269">
        <v>42032</v>
      </c>
      <c r="E1608" s="270" t="s">
        <v>3552</v>
      </c>
      <c r="F1608" s="384">
        <v>435000</v>
      </c>
      <c r="G1608" s="270">
        <v>191569368</v>
      </c>
      <c r="H1608" s="270"/>
    </row>
    <row r="1609" spans="1:8" x14ac:dyDescent="0.25">
      <c r="A1609" s="257">
        <v>1612</v>
      </c>
      <c r="B1609" s="267">
        <v>1608</v>
      </c>
      <c r="C1609" s="268" t="s">
        <v>2963</v>
      </c>
      <c r="D1609" s="269">
        <v>42034</v>
      </c>
      <c r="E1609" s="270" t="s">
        <v>220</v>
      </c>
      <c r="F1609" s="384">
        <v>822000</v>
      </c>
      <c r="G1609" s="270">
        <v>100230496</v>
      </c>
      <c r="H1609" s="270"/>
    </row>
    <row r="1610" spans="1:8" x14ac:dyDescent="0.25">
      <c r="A1610" s="257">
        <v>1613</v>
      </c>
      <c r="B1610" s="267">
        <v>1609</v>
      </c>
      <c r="C1610" s="268" t="s">
        <v>4221</v>
      </c>
      <c r="D1610" s="269">
        <v>42034</v>
      </c>
      <c r="E1610" s="270" t="s">
        <v>3774</v>
      </c>
      <c r="F1610" s="384">
        <v>160000</v>
      </c>
      <c r="G1610" s="270">
        <v>690019524</v>
      </c>
      <c r="H1610" s="270"/>
    </row>
    <row r="1611" spans="1:8" x14ac:dyDescent="0.25">
      <c r="A1611" s="257">
        <v>1614</v>
      </c>
      <c r="B1611" s="267">
        <v>1610</v>
      </c>
      <c r="C1611" s="268" t="s">
        <v>3757</v>
      </c>
      <c r="D1611" s="269">
        <v>42034</v>
      </c>
      <c r="E1611" s="270" t="s">
        <v>235</v>
      </c>
      <c r="F1611" s="384">
        <v>435000</v>
      </c>
      <c r="G1611" s="270">
        <v>190080211</v>
      </c>
      <c r="H1611" s="270"/>
    </row>
    <row r="1612" spans="1:8" x14ac:dyDescent="0.25">
      <c r="A1612" s="257">
        <v>1615</v>
      </c>
      <c r="B1612" s="267">
        <v>1611</v>
      </c>
      <c r="C1612" s="268" t="s">
        <v>190</v>
      </c>
      <c r="D1612" s="269">
        <v>42034</v>
      </c>
      <c r="E1612" s="270" t="s">
        <v>188</v>
      </c>
      <c r="F1612" s="384">
        <v>560000</v>
      </c>
      <c r="G1612" s="270">
        <v>190270596</v>
      </c>
      <c r="H1612" s="270"/>
    </row>
    <row r="1613" spans="1:8" x14ac:dyDescent="0.25">
      <c r="A1613" s="257">
        <v>1616</v>
      </c>
      <c r="B1613" s="267">
        <v>1612</v>
      </c>
      <c r="C1613" s="268" t="s">
        <v>3133</v>
      </c>
      <c r="D1613" s="269">
        <v>42034</v>
      </c>
      <c r="E1613" s="270" t="s">
        <v>3587</v>
      </c>
      <c r="F1613" s="384">
        <v>1509000</v>
      </c>
      <c r="G1613" s="270">
        <v>101254783</v>
      </c>
      <c r="H1613" s="270"/>
    </row>
    <row r="1614" spans="1:8" x14ac:dyDescent="0.25">
      <c r="A1614" s="257">
        <v>1617</v>
      </c>
      <c r="B1614" s="267">
        <v>1613</v>
      </c>
      <c r="C1614" s="268" t="s">
        <v>2458</v>
      </c>
      <c r="D1614" s="269">
        <v>42034</v>
      </c>
      <c r="E1614" s="270" t="s">
        <v>3845</v>
      </c>
      <c r="F1614" s="384">
        <v>240000</v>
      </c>
      <c r="G1614" s="270">
        <v>190571716</v>
      </c>
      <c r="H1614" s="270"/>
    </row>
    <row r="1615" spans="1:8" x14ac:dyDescent="0.25">
      <c r="A1615" s="257">
        <v>1618</v>
      </c>
      <c r="B1615" s="267">
        <v>1614</v>
      </c>
      <c r="C1615" s="268" t="s">
        <v>3757</v>
      </c>
      <c r="D1615" s="269">
        <v>42034</v>
      </c>
      <c r="E1615" s="270" t="s">
        <v>235</v>
      </c>
      <c r="F1615" s="384">
        <v>435000</v>
      </c>
      <c r="G1615" s="270">
        <v>190080211</v>
      </c>
      <c r="H1615" s="270"/>
    </row>
    <row r="1616" spans="1:8" x14ac:dyDescent="0.25">
      <c r="A1616" s="257">
        <v>1619</v>
      </c>
      <c r="B1616" s="267">
        <v>1615</v>
      </c>
      <c r="C1616" s="268" t="s">
        <v>437</v>
      </c>
      <c r="D1616" s="269">
        <v>42034</v>
      </c>
      <c r="E1616" s="270" t="s">
        <v>714</v>
      </c>
      <c r="F1616" s="384">
        <v>435000</v>
      </c>
      <c r="G1616" s="270">
        <v>1917757349</v>
      </c>
      <c r="H1616" s="270"/>
    </row>
    <row r="1617" spans="1:8" x14ac:dyDescent="0.25">
      <c r="A1617" s="257">
        <v>1620</v>
      </c>
      <c r="B1617" s="267">
        <v>1616</v>
      </c>
      <c r="C1617" s="268" t="s">
        <v>1672</v>
      </c>
      <c r="D1617" s="269">
        <v>42034</v>
      </c>
      <c r="E1617" s="270" t="s">
        <v>2644</v>
      </c>
      <c r="F1617" s="384">
        <v>63000</v>
      </c>
      <c r="G1617" s="270">
        <v>191749393</v>
      </c>
      <c r="H1617" s="270"/>
    </row>
    <row r="1618" spans="1:8" x14ac:dyDescent="0.25">
      <c r="A1618" s="257">
        <v>1621</v>
      </c>
      <c r="B1618" s="267">
        <v>1617</v>
      </c>
      <c r="C1618" s="268" t="s">
        <v>3757</v>
      </c>
      <c r="D1618" s="269">
        <v>42035</v>
      </c>
      <c r="E1618" s="270" t="s">
        <v>235</v>
      </c>
      <c r="F1618" s="384">
        <v>155000</v>
      </c>
      <c r="G1618" s="270">
        <v>190080211</v>
      </c>
      <c r="H1618" s="270"/>
    </row>
    <row r="1619" spans="1:8" x14ac:dyDescent="0.25">
      <c r="A1619" s="257">
        <v>1622</v>
      </c>
      <c r="B1619" s="267">
        <v>1618</v>
      </c>
      <c r="C1619" s="268" t="s">
        <v>3757</v>
      </c>
      <c r="D1619" s="269">
        <v>42037</v>
      </c>
      <c r="E1619" s="270" t="s">
        <v>235</v>
      </c>
      <c r="F1619" s="384">
        <v>870000</v>
      </c>
      <c r="G1619" s="270">
        <v>190080211</v>
      </c>
      <c r="H1619" s="270"/>
    </row>
    <row r="1620" spans="1:8" x14ac:dyDescent="0.25">
      <c r="A1620" s="257">
        <v>1623</v>
      </c>
      <c r="B1620" s="267">
        <v>1619</v>
      </c>
      <c r="C1620" s="268" t="s">
        <v>462</v>
      </c>
      <c r="D1620" s="269">
        <v>42037</v>
      </c>
      <c r="E1620" s="270" t="s">
        <v>183</v>
      </c>
      <c r="F1620" s="384">
        <v>155000</v>
      </c>
      <c r="G1620" s="270">
        <v>190905167</v>
      </c>
      <c r="H1620" s="270"/>
    </row>
    <row r="1621" spans="1:8" x14ac:dyDescent="0.25">
      <c r="A1621" s="257">
        <v>1624</v>
      </c>
      <c r="B1621" s="267">
        <v>1620</v>
      </c>
      <c r="C1621" s="268" t="s">
        <v>3757</v>
      </c>
      <c r="D1621" s="269">
        <v>42037</v>
      </c>
      <c r="E1621" s="270" t="s">
        <v>235</v>
      </c>
      <c r="F1621" s="384">
        <v>67000</v>
      </c>
      <c r="G1621" s="270">
        <v>190080211</v>
      </c>
      <c r="H1621" s="270"/>
    </row>
    <row r="1622" spans="1:8" x14ac:dyDescent="0.25">
      <c r="A1622" s="257">
        <v>1625</v>
      </c>
      <c r="B1622" s="267">
        <v>1621</v>
      </c>
      <c r="C1622" s="268" t="s">
        <v>3757</v>
      </c>
      <c r="D1622" s="269">
        <v>42037</v>
      </c>
      <c r="E1622" s="270" t="s">
        <v>235</v>
      </c>
      <c r="F1622" s="384">
        <v>1740000</v>
      </c>
      <c r="G1622" s="270">
        <v>190080211</v>
      </c>
      <c r="H1622" s="270"/>
    </row>
    <row r="1623" spans="1:8" x14ac:dyDescent="0.25">
      <c r="A1623" s="257">
        <v>1626</v>
      </c>
      <c r="B1623" s="267">
        <v>1622</v>
      </c>
      <c r="C1623" s="268" t="s">
        <v>3658</v>
      </c>
      <c r="D1623" s="269">
        <v>42037</v>
      </c>
      <c r="E1623" s="270" t="s">
        <v>3552</v>
      </c>
      <c r="F1623" s="384">
        <v>435000</v>
      </c>
      <c r="G1623" s="270">
        <v>191569368</v>
      </c>
      <c r="H1623" s="270"/>
    </row>
    <row r="1624" spans="1:8" x14ac:dyDescent="0.25">
      <c r="A1624" s="257">
        <v>1627</v>
      </c>
      <c r="B1624" s="267">
        <v>1623</v>
      </c>
      <c r="C1624" s="268" t="s">
        <v>3253</v>
      </c>
      <c r="D1624" s="269">
        <v>42037</v>
      </c>
      <c r="E1624" s="270" t="s">
        <v>3631</v>
      </c>
      <c r="F1624" s="384">
        <v>155000</v>
      </c>
      <c r="G1624" s="270">
        <v>691380883</v>
      </c>
      <c r="H1624" s="270"/>
    </row>
    <row r="1625" spans="1:8" x14ac:dyDescent="0.25">
      <c r="A1625" s="257">
        <v>1628</v>
      </c>
      <c r="B1625" s="267">
        <v>1624</v>
      </c>
      <c r="C1625" s="268" t="s">
        <v>2143</v>
      </c>
      <c r="D1625" s="269">
        <v>42038</v>
      </c>
      <c r="E1625" s="270" t="s">
        <v>1927</v>
      </c>
      <c r="F1625" s="384">
        <v>165000</v>
      </c>
      <c r="G1625" s="270">
        <v>190032958</v>
      </c>
      <c r="H1625" s="270"/>
    </row>
    <row r="1626" spans="1:8" x14ac:dyDescent="0.25">
      <c r="A1626" s="257">
        <v>1629</v>
      </c>
      <c r="B1626" s="267">
        <v>1625</v>
      </c>
      <c r="C1626" s="268" t="s">
        <v>1910</v>
      </c>
      <c r="D1626" s="269">
        <v>42038</v>
      </c>
      <c r="E1626" s="270" t="s">
        <v>2609</v>
      </c>
      <c r="F1626" s="384">
        <v>170000</v>
      </c>
      <c r="G1626" s="270">
        <v>190549048</v>
      </c>
      <c r="H1626" s="270"/>
    </row>
    <row r="1627" spans="1:8" x14ac:dyDescent="0.25">
      <c r="A1627" s="257">
        <v>1630</v>
      </c>
      <c r="B1627" s="267">
        <v>1626</v>
      </c>
      <c r="C1627" s="268" t="s">
        <v>252</v>
      </c>
      <c r="D1627" s="269">
        <v>42038</v>
      </c>
      <c r="E1627" s="270" t="s">
        <v>3582</v>
      </c>
      <c r="F1627" s="384">
        <v>240000</v>
      </c>
      <c r="G1627" s="270">
        <v>100338635</v>
      </c>
      <c r="H1627" s="270"/>
    </row>
    <row r="1628" spans="1:8" x14ac:dyDescent="0.25">
      <c r="A1628" s="257">
        <v>1631</v>
      </c>
      <c r="B1628" s="267">
        <v>1627</v>
      </c>
      <c r="C1628" s="268" t="s">
        <v>334</v>
      </c>
      <c r="D1628" s="269">
        <v>42038</v>
      </c>
      <c r="E1628" s="270" t="s">
        <v>1694</v>
      </c>
      <c r="F1628" s="384">
        <v>160000</v>
      </c>
      <c r="G1628" s="270">
        <v>101392173</v>
      </c>
      <c r="H1628" s="270"/>
    </row>
    <row r="1629" spans="1:8" x14ac:dyDescent="0.25">
      <c r="A1629" s="257">
        <v>1632</v>
      </c>
      <c r="B1629" s="267">
        <v>1628</v>
      </c>
      <c r="C1629" s="268" t="s">
        <v>3280</v>
      </c>
      <c r="D1629" s="269">
        <v>42038</v>
      </c>
      <c r="E1629" s="270" t="s">
        <v>439</v>
      </c>
      <c r="F1629" s="384">
        <v>160000</v>
      </c>
      <c r="G1629" s="270">
        <v>190531017</v>
      </c>
      <c r="H1629" s="270"/>
    </row>
    <row r="1630" spans="1:8" x14ac:dyDescent="0.25">
      <c r="A1630" s="257">
        <v>1633</v>
      </c>
      <c r="B1630" s="267">
        <v>1629</v>
      </c>
      <c r="C1630" s="268" t="s">
        <v>2784</v>
      </c>
      <c r="D1630" s="269">
        <v>42038</v>
      </c>
      <c r="E1630" s="270" t="s">
        <v>810</v>
      </c>
      <c r="F1630" s="384">
        <v>165000</v>
      </c>
      <c r="G1630" s="270">
        <v>190761996</v>
      </c>
      <c r="H1630" s="270"/>
    </row>
    <row r="1631" spans="1:8" x14ac:dyDescent="0.25">
      <c r="A1631" s="257">
        <v>1634</v>
      </c>
      <c r="B1631" s="267">
        <v>1630</v>
      </c>
      <c r="C1631" s="268" t="s">
        <v>2784</v>
      </c>
      <c r="D1631" s="269">
        <v>42038</v>
      </c>
      <c r="E1631" s="270" t="s">
        <v>810</v>
      </c>
      <c r="F1631" s="384">
        <v>240000</v>
      </c>
      <c r="G1631" s="270">
        <v>190761996</v>
      </c>
      <c r="H1631" s="270"/>
    </row>
    <row r="1632" spans="1:8" x14ac:dyDescent="0.25">
      <c r="A1632" s="257">
        <v>1635</v>
      </c>
      <c r="B1632" s="267">
        <v>1631</v>
      </c>
      <c r="C1632" s="268" t="s">
        <v>3734</v>
      </c>
      <c r="D1632" s="269">
        <v>42038</v>
      </c>
      <c r="E1632" s="270" t="s">
        <v>2358</v>
      </c>
      <c r="F1632" s="384">
        <v>280000</v>
      </c>
      <c r="G1632" s="270">
        <v>800008903</v>
      </c>
      <c r="H1632" s="270"/>
    </row>
    <row r="1633" spans="1:8" x14ac:dyDescent="0.25">
      <c r="A1633" s="257">
        <v>1636</v>
      </c>
      <c r="B1633" s="267">
        <v>1632</v>
      </c>
      <c r="C1633" s="268" t="s">
        <v>1672</v>
      </c>
      <c r="D1633" s="269">
        <v>42038</v>
      </c>
      <c r="E1633" s="270" t="s">
        <v>2644</v>
      </c>
      <c r="F1633" s="384">
        <v>63000</v>
      </c>
      <c r="G1633" s="270">
        <v>191749393</v>
      </c>
      <c r="H1633" s="270"/>
    </row>
    <row r="1634" spans="1:8" x14ac:dyDescent="0.25">
      <c r="A1634" s="257">
        <v>1637</v>
      </c>
      <c r="B1634" s="267">
        <v>1633</v>
      </c>
      <c r="C1634" s="268" t="s">
        <v>846</v>
      </c>
      <c r="D1634" s="269">
        <v>42038</v>
      </c>
      <c r="E1634" s="270" t="s">
        <v>500</v>
      </c>
      <c r="F1634" s="384">
        <v>280000</v>
      </c>
      <c r="G1634" s="270">
        <v>690631984</v>
      </c>
      <c r="H1634" s="270"/>
    </row>
    <row r="1635" spans="1:8" x14ac:dyDescent="0.25">
      <c r="A1635" s="257">
        <v>1638</v>
      </c>
      <c r="B1635" s="267">
        <v>1634</v>
      </c>
      <c r="C1635" s="268" t="s">
        <v>67</v>
      </c>
      <c r="D1635" s="269">
        <v>42038</v>
      </c>
      <c r="E1635" s="270" t="s">
        <v>914</v>
      </c>
      <c r="F1635" s="384">
        <v>675000</v>
      </c>
      <c r="G1635" s="270">
        <v>190114911</v>
      </c>
      <c r="H1635" s="270"/>
    </row>
    <row r="1636" spans="1:8" x14ac:dyDescent="0.25">
      <c r="A1636" s="257">
        <v>1639</v>
      </c>
      <c r="B1636" s="267">
        <v>1635</v>
      </c>
      <c r="C1636" s="268" t="s">
        <v>2166</v>
      </c>
      <c r="D1636" s="269">
        <v>42039</v>
      </c>
      <c r="E1636" s="270" t="s">
        <v>1685</v>
      </c>
      <c r="F1636" s="384">
        <v>645000</v>
      </c>
      <c r="G1636" s="270">
        <v>100315326</v>
      </c>
      <c r="H1636" s="270"/>
    </row>
    <row r="1637" spans="1:8" x14ac:dyDescent="0.25">
      <c r="A1637" s="257">
        <v>1640</v>
      </c>
      <c r="B1637" s="267">
        <v>1636</v>
      </c>
      <c r="C1637" s="268" t="s">
        <v>3864</v>
      </c>
      <c r="D1637" s="269">
        <v>42039</v>
      </c>
      <c r="E1637" s="270" t="s">
        <v>906</v>
      </c>
      <c r="F1637" s="384">
        <v>63000</v>
      </c>
      <c r="G1637" s="270">
        <v>100348119</v>
      </c>
      <c r="H1637" s="270"/>
    </row>
    <row r="1638" spans="1:8" x14ac:dyDescent="0.25">
      <c r="A1638" s="257">
        <v>1641</v>
      </c>
      <c r="B1638" s="267">
        <v>1637</v>
      </c>
      <c r="C1638" s="268" t="s">
        <v>1650</v>
      </c>
      <c r="D1638" s="269">
        <v>42039</v>
      </c>
      <c r="E1638" s="270" t="s">
        <v>863</v>
      </c>
      <c r="F1638" s="384">
        <v>870000</v>
      </c>
      <c r="G1638" s="270">
        <v>690849523</v>
      </c>
      <c r="H1638" s="270"/>
    </row>
    <row r="1639" spans="1:8" x14ac:dyDescent="0.25">
      <c r="A1639" s="257">
        <v>1642</v>
      </c>
      <c r="B1639" s="267">
        <v>1638</v>
      </c>
      <c r="C1639" s="268" t="s">
        <v>2674</v>
      </c>
      <c r="D1639" s="269">
        <v>42039</v>
      </c>
      <c r="E1639" s="270" t="s">
        <v>2072</v>
      </c>
      <c r="F1639" s="384">
        <v>198000</v>
      </c>
      <c r="G1639" s="270">
        <v>191251634</v>
      </c>
      <c r="H1639" s="270"/>
    </row>
    <row r="1640" spans="1:8" x14ac:dyDescent="0.25">
      <c r="A1640" s="257">
        <v>1643</v>
      </c>
      <c r="B1640" s="267">
        <v>1639</v>
      </c>
      <c r="C1640" s="268" t="s">
        <v>3660</v>
      </c>
      <c r="D1640" s="269">
        <v>42039</v>
      </c>
      <c r="E1640" s="270" t="s">
        <v>156</v>
      </c>
      <c r="F1640" s="384">
        <v>280000</v>
      </c>
      <c r="G1640" s="270">
        <v>690559664</v>
      </c>
      <c r="H1640" s="270"/>
    </row>
    <row r="1641" spans="1:8" x14ac:dyDescent="0.25">
      <c r="A1641" s="257">
        <v>1644</v>
      </c>
      <c r="B1641" s="267">
        <v>1640</v>
      </c>
      <c r="C1641" s="268" t="s">
        <v>1774</v>
      </c>
      <c r="D1641" s="269">
        <v>42040</v>
      </c>
      <c r="E1641" s="270" t="s">
        <v>442</v>
      </c>
      <c r="F1641" s="384">
        <v>180000</v>
      </c>
      <c r="G1641" s="270">
        <v>190149628</v>
      </c>
      <c r="H1641" s="270"/>
    </row>
    <row r="1642" spans="1:8" x14ac:dyDescent="0.25">
      <c r="A1642" s="257">
        <v>1645</v>
      </c>
      <c r="B1642" s="267">
        <v>1641</v>
      </c>
      <c r="C1642" s="268" t="s">
        <v>1787</v>
      </c>
      <c r="D1642" s="269">
        <v>42040</v>
      </c>
      <c r="E1642" s="270" t="s">
        <v>1937</v>
      </c>
      <c r="F1642" s="384">
        <v>240000</v>
      </c>
      <c r="G1642" s="270">
        <v>808001218</v>
      </c>
      <c r="H1642" s="270"/>
    </row>
    <row r="1643" spans="1:8" x14ac:dyDescent="0.25">
      <c r="A1643" s="257">
        <v>1646</v>
      </c>
      <c r="B1643" s="267">
        <v>1642</v>
      </c>
      <c r="C1643" s="268" t="s">
        <v>3109</v>
      </c>
      <c r="D1643" s="269">
        <v>42040</v>
      </c>
      <c r="E1643" s="270" t="s">
        <v>254</v>
      </c>
      <c r="F1643" s="384">
        <v>435000</v>
      </c>
      <c r="G1643" s="270">
        <v>690825394</v>
      </c>
      <c r="H1643" s="270"/>
    </row>
    <row r="1644" spans="1:8" x14ac:dyDescent="0.25">
      <c r="A1644" s="257">
        <v>1647</v>
      </c>
      <c r="B1644" s="267">
        <v>1643</v>
      </c>
      <c r="C1644" s="268" t="s">
        <v>2675</v>
      </c>
      <c r="D1644" s="269">
        <v>42040</v>
      </c>
      <c r="E1644" s="270" t="s">
        <v>837</v>
      </c>
      <c r="F1644" s="384">
        <v>1120000</v>
      </c>
      <c r="G1644" s="270">
        <v>101449345</v>
      </c>
      <c r="H1644" s="270"/>
    </row>
    <row r="1645" spans="1:8" x14ac:dyDescent="0.25">
      <c r="A1645" s="257">
        <v>1648</v>
      </c>
      <c r="B1645" s="267">
        <v>1644</v>
      </c>
      <c r="C1645" s="268" t="s">
        <v>2675</v>
      </c>
      <c r="D1645" s="269">
        <v>42040</v>
      </c>
      <c r="E1645" s="270" t="s">
        <v>837</v>
      </c>
      <c r="F1645" s="384">
        <v>1120000</v>
      </c>
      <c r="G1645" s="270">
        <v>101449345</v>
      </c>
      <c r="H1645" s="270"/>
    </row>
    <row r="1646" spans="1:8" x14ac:dyDescent="0.25">
      <c r="A1646" s="257">
        <v>1649</v>
      </c>
      <c r="B1646" s="267">
        <v>1645</v>
      </c>
      <c r="C1646" s="268" t="s">
        <v>206</v>
      </c>
      <c r="D1646" s="269">
        <v>42040</v>
      </c>
      <c r="E1646" s="270" t="s">
        <v>3129</v>
      </c>
      <c r="F1646" s="384">
        <v>650000</v>
      </c>
      <c r="G1646" s="270">
        <v>690656275</v>
      </c>
      <c r="H1646" s="270"/>
    </row>
    <row r="1647" spans="1:8" x14ac:dyDescent="0.25">
      <c r="A1647" s="257">
        <v>1650</v>
      </c>
      <c r="B1647" s="267">
        <v>1646</v>
      </c>
      <c r="C1647" s="268" t="s">
        <v>2779</v>
      </c>
      <c r="D1647" s="269">
        <v>42041</v>
      </c>
      <c r="E1647" s="270" t="s">
        <v>2159</v>
      </c>
      <c r="F1647" s="384">
        <v>1400000</v>
      </c>
      <c r="G1647" s="270">
        <v>100345786</v>
      </c>
      <c r="H1647" s="270"/>
    </row>
    <row r="1648" spans="1:8" x14ac:dyDescent="0.25">
      <c r="A1648" s="257">
        <v>1651</v>
      </c>
      <c r="B1648" s="267">
        <v>1647</v>
      </c>
      <c r="C1648" s="268" t="s">
        <v>1910</v>
      </c>
      <c r="D1648" s="269">
        <v>42041</v>
      </c>
      <c r="E1648" s="270" t="s">
        <v>2609</v>
      </c>
      <c r="F1648" s="384">
        <v>63000</v>
      </c>
      <c r="G1648" s="270">
        <v>190549048</v>
      </c>
      <c r="H1648" s="270"/>
    </row>
    <row r="1649" spans="1:8" x14ac:dyDescent="0.25">
      <c r="A1649" s="257">
        <v>1652</v>
      </c>
      <c r="B1649" s="267">
        <v>1648</v>
      </c>
      <c r="C1649" s="268" t="s">
        <v>3094</v>
      </c>
      <c r="D1649" s="269">
        <v>42041</v>
      </c>
      <c r="E1649" s="270" t="s">
        <v>13</v>
      </c>
      <c r="F1649" s="384">
        <v>240000</v>
      </c>
      <c r="G1649" s="270">
        <v>100347020</v>
      </c>
      <c r="H1649" s="270"/>
    </row>
    <row r="1650" spans="1:8" x14ac:dyDescent="0.25">
      <c r="A1650" s="257">
        <v>1653</v>
      </c>
      <c r="B1650" s="267">
        <v>1649</v>
      </c>
      <c r="C1650" s="268" t="s">
        <v>386</v>
      </c>
      <c r="D1650" s="269">
        <v>42042</v>
      </c>
      <c r="E1650" s="270" t="s">
        <v>1951</v>
      </c>
      <c r="F1650" s="384">
        <v>300000</v>
      </c>
      <c r="G1650" s="270">
        <v>400424686</v>
      </c>
      <c r="H1650" s="270"/>
    </row>
    <row r="1651" spans="1:8" x14ac:dyDescent="0.25">
      <c r="A1651" s="257">
        <v>1654</v>
      </c>
      <c r="B1651" s="267">
        <v>1650</v>
      </c>
      <c r="C1651" s="268" t="s">
        <v>3757</v>
      </c>
      <c r="D1651" s="269">
        <v>42042</v>
      </c>
      <c r="E1651" s="270" t="s">
        <v>235</v>
      </c>
      <c r="F1651" s="384">
        <v>97000</v>
      </c>
      <c r="G1651" s="270">
        <v>190080211</v>
      </c>
      <c r="H1651" s="270"/>
    </row>
    <row r="1652" spans="1:8" x14ac:dyDescent="0.25">
      <c r="A1652" s="257">
        <v>1655</v>
      </c>
      <c r="B1652" s="267">
        <v>1651</v>
      </c>
      <c r="C1652" s="268" t="s">
        <v>3757</v>
      </c>
      <c r="D1652" s="269">
        <v>42043</v>
      </c>
      <c r="E1652" s="270" t="s">
        <v>235</v>
      </c>
      <c r="F1652" s="384">
        <v>63000</v>
      </c>
      <c r="G1652" s="270">
        <v>190080211</v>
      </c>
      <c r="H1652" s="270"/>
    </row>
    <row r="1653" spans="1:8" x14ac:dyDescent="0.25">
      <c r="A1653" s="257">
        <v>1656</v>
      </c>
      <c r="B1653" s="267">
        <v>1652</v>
      </c>
      <c r="C1653" s="268" t="s">
        <v>159</v>
      </c>
      <c r="D1653" s="269">
        <v>42044</v>
      </c>
      <c r="E1653" s="270" t="s">
        <v>1684</v>
      </c>
      <c r="F1653" s="384">
        <v>1200000</v>
      </c>
      <c r="G1653" s="270">
        <v>100819821</v>
      </c>
      <c r="H1653" s="270"/>
    </row>
    <row r="1654" spans="1:8" x14ac:dyDescent="0.25">
      <c r="A1654" s="257">
        <v>1657</v>
      </c>
      <c r="B1654" s="267">
        <v>1653</v>
      </c>
      <c r="C1654" s="268" t="s">
        <v>910</v>
      </c>
      <c r="D1654" s="269">
        <v>42046</v>
      </c>
      <c r="E1654" s="270" t="s">
        <v>1656</v>
      </c>
      <c r="F1654" s="384">
        <v>198000</v>
      </c>
      <c r="G1654" s="270">
        <v>101439397</v>
      </c>
      <c r="H1654" s="270"/>
    </row>
    <row r="1655" spans="1:8" x14ac:dyDescent="0.25">
      <c r="A1655" s="257">
        <v>1658</v>
      </c>
      <c r="B1655" s="267">
        <v>1654</v>
      </c>
      <c r="C1655" s="268" t="s">
        <v>3589</v>
      </c>
      <c r="D1655" s="269">
        <v>42046</v>
      </c>
      <c r="E1655" s="270" t="s">
        <v>3756</v>
      </c>
      <c r="F1655" s="384">
        <v>170000</v>
      </c>
      <c r="G1655" s="270">
        <v>191270723</v>
      </c>
      <c r="H1655" s="270"/>
    </row>
    <row r="1656" spans="1:8" x14ac:dyDescent="0.25">
      <c r="A1656" s="257">
        <v>1659</v>
      </c>
      <c r="B1656" s="267">
        <v>1655</v>
      </c>
      <c r="C1656" s="268" t="s">
        <v>3589</v>
      </c>
      <c r="D1656" s="269">
        <v>42047</v>
      </c>
      <c r="E1656" s="270" t="s">
        <v>1922</v>
      </c>
      <c r="F1656" s="384">
        <v>870000</v>
      </c>
      <c r="G1656" s="270">
        <v>191574978</v>
      </c>
      <c r="H1656" s="270"/>
    </row>
    <row r="1657" spans="1:8" x14ac:dyDescent="0.25">
      <c r="A1657" s="257">
        <v>1660</v>
      </c>
      <c r="B1657" s="267">
        <v>1656</v>
      </c>
      <c r="C1657" s="268" t="s">
        <v>1787</v>
      </c>
      <c r="D1657" s="269">
        <v>42047</v>
      </c>
      <c r="E1657" s="270" t="s">
        <v>1541</v>
      </c>
      <c r="F1657" s="384">
        <v>130000</v>
      </c>
      <c r="G1657" s="270">
        <v>808001218</v>
      </c>
      <c r="H1657" s="270"/>
    </row>
    <row r="1658" spans="1:8" x14ac:dyDescent="0.25">
      <c r="A1658" s="257">
        <v>1661</v>
      </c>
      <c r="B1658" s="267">
        <v>1657</v>
      </c>
      <c r="C1658" s="268" t="s">
        <v>3734</v>
      </c>
      <c r="D1658" s="269">
        <v>42047</v>
      </c>
      <c r="E1658" s="270" t="s">
        <v>2358</v>
      </c>
      <c r="F1658" s="384">
        <v>155000</v>
      </c>
      <c r="G1658" s="270">
        <v>800008903</v>
      </c>
      <c r="H1658" s="270"/>
    </row>
    <row r="1659" spans="1:8" x14ac:dyDescent="0.25">
      <c r="A1659" s="257">
        <v>1662</v>
      </c>
      <c r="B1659" s="267">
        <v>1658</v>
      </c>
      <c r="C1659" s="268" t="s">
        <v>1785</v>
      </c>
      <c r="D1659" s="269">
        <v>42047</v>
      </c>
      <c r="E1659" s="270" t="s">
        <v>991</v>
      </c>
      <c r="F1659" s="384">
        <v>198000</v>
      </c>
      <c r="G1659" s="270">
        <v>190591258</v>
      </c>
      <c r="H1659" s="270"/>
    </row>
    <row r="1660" spans="1:8" x14ac:dyDescent="0.25">
      <c r="A1660" s="257">
        <v>1663</v>
      </c>
      <c r="B1660" s="267">
        <v>1659</v>
      </c>
      <c r="C1660" s="268" t="s">
        <v>3734</v>
      </c>
      <c r="D1660" s="269">
        <v>42047</v>
      </c>
      <c r="E1660" s="270" t="s">
        <v>2358</v>
      </c>
      <c r="F1660" s="384">
        <v>435000</v>
      </c>
      <c r="G1660" s="270">
        <v>800008903</v>
      </c>
      <c r="H1660" s="270"/>
    </row>
    <row r="1661" spans="1:8" x14ac:dyDescent="0.25">
      <c r="A1661" s="257">
        <v>1664</v>
      </c>
      <c r="B1661" s="267">
        <v>1660</v>
      </c>
      <c r="C1661" s="268" t="s">
        <v>3589</v>
      </c>
      <c r="D1661" s="269">
        <v>42047</v>
      </c>
      <c r="E1661" s="270" t="s">
        <v>3756</v>
      </c>
      <c r="F1661" s="384">
        <v>63000</v>
      </c>
      <c r="G1661" s="270">
        <v>191270723</v>
      </c>
      <c r="H1661" s="270"/>
    </row>
    <row r="1662" spans="1:8" x14ac:dyDescent="0.25">
      <c r="A1662" s="257">
        <v>1665</v>
      </c>
      <c r="B1662" s="267">
        <v>1661</v>
      </c>
      <c r="C1662" s="268" t="s">
        <v>3618</v>
      </c>
      <c r="D1662" s="269">
        <v>42048</v>
      </c>
      <c r="E1662" s="270" t="s">
        <v>163</v>
      </c>
      <c r="F1662" s="384">
        <v>198000</v>
      </c>
      <c r="G1662" s="270">
        <v>100843354</v>
      </c>
      <c r="H1662" s="270"/>
    </row>
    <row r="1663" spans="1:8" x14ac:dyDescent="0.25">
      <c r="A1663" s="257">
        <v>1666</v>
      </c>
      <c r="B1663" s="267">
        <v>1662</v>
      </c>
      <c r="C1663" s="268" t="s">
        <v>313</v>
      </c>
      <c r="D1663" s="269">
        <v>42048</v>
      </c>
      <c r="E1663" s="270" t="s">
        <v>3778</v>
      </c>
      <c r="F1663" s="384">
        <v>180000</v>
      </c>
      <c r="G1663" s="270">
        <v>191486288</v>
      </c>
      <c r="H1663" s="270"/>
    </row>
    <row r="1664" spans="1:8" x14ac:dyDescent="0.25">
      <c r="A1664" s="257">
        <v>1667</v>
      </c>
      <c r="B1664" s="267">
        <v>1663</v>
      </c>
      <c r="C1664" s="268" t="s">
        <v>3741</v>
      </c>
      <c r="D1664" s="269">
        <v>42048</v>
      </c>
      <c r="E1664" s="270" t="s">
        <v>981</v>
      </c>
      <c r="F1664" s="384">
        <v>165000</v>
      </c>
      <c r="G1664" s="270">
        <v>101366890</v>
      </c>
      <c r="H1664" s="270"/>
    </row>
    <row r="1665" spans="1:8" x14ac:dyDescent="0.25">
      <c r="A1665" s="257">
        <v>1668</v>
      </c>
      <c r="B1665" s="267">
        <v>1664</v>
      </c>
      <c r="C1665" s="268" t="s">
        <v>3734</v>
      </c>
      <c r="D1665" s="269">
        <v>42048</v>
      </c>
      <c r="E1665" s="270" t="s">
        <v>2358</v>
      </c>
      <c r="F1665" s="384">
        <v>31000</v>
      </c>
      <c r="G1665" s="270">
        <v>800008903</v>
      </c>
      <c r="H1665" s="270"/>
    </row>
    <row r="1666" spans="1:8" x14ac:dyDescent="0.25">
      <c r="A1666" s="257">
        <v>1669</v>
      </c>
      <c r="B1666" s="267">
        <v>1665</v>
      </c>
      <c r="C1666" s="268" t="s">
        <v>3618</v>
      </c>
      <c r="D1666" s="269">
        <v>42051</v>
      </c>
      <c r="E1666" s="270" t="s">
        <v>163</v>
      </c>
      <c r="F1666" s="384">
        <v>63000</v>
      </c>
      <c r="G1666" s="270">
        <v>100843354</v>
      </c>
      <c r="H1666" s="270"/>
    </row>
    <row r="1667" spans="1:8" x14ac:dyDescent="0.25">
      <c r="A1667" s="257">
        <v>1670</v>
      </c>
      <c r="B1667" s="267">
        <v>1666</v>
      </c>
      <c r="C1667" s="268" t="s">
        <v>313</v>
      </c>
      <c r="D1667" s="269">
        <v>42051</v>
      </c>
      <c r="E1667" s="270" t="s">
        <v>3778</v>
      </c>
      <c r="F1667" s="384">
        <v>198000</v>
      </c>
      <c r="G1667" s="270">
        <v>191486288</v>
      </c>
      <c r="H1667" s="270"/>
    </row>
    <row r="1668" spans="1:8" x14ac:dyDescent="0.25">
      <c r="A1668" s="257">
        <v>1671</v>
      </c>
      <c r="B1668" s="267">
        <v>1667</v>
      </c>
      <c r="C1668" s="268" t="s">
        <v>1784</v>
      </c>
      <c r="D1668" s="269">
        <v>42051</v>
      </c>
      <c r="E1668" s="270" t="s">
        <v>739</v>
      </c>
      <c r="F1668" s="384">
        <v>395000</v>
      </c>
      <c r="G1668" s="270">
        <v>190345942</v>
      </c>
      <c r="H1668" s="270"/>
    </row>
    <row r="1669" spans="1:8" x14ac:dyDescent="0.25">
      <c r="A1669" s="257">
        <v>1672</v>
      </c>
      <c r="B1669" s="267">
        <v>1668</v>
      </c>
      <c r="C1669" s="268" t="s">
        <v>2714</v>
      </c>
      <c r="D1669" s="269">
        <v>42051</v>
      </c>
      <c r="E1669" s="270" t="s">
        <v>891</v>
      </c>
      <c r="F1669" s="384">
        <v>240000</v>
      </c>
      <c r="G1669" s="270">
        <v>190304936</v>
      </c>
      <c r="H1669" s="270"/>
    </row>
    <row r="1670" spans="1:8" x14ac:dyDescent="0.25">
      <c r="A1670" s="257">
        <v>1673</v>
      </c>
      <c r="B1670" s="348">
        <v>1669</v>
      </c>
      <c r="C1670" s="349" t="s">
        <v>3848</v>
      </c>
      <c r="D1670" s="350">
        <v>42051</v>
      </c>
      <c r="E1670" s="351" t="s">
        <v>3559</v>
      </c>
      <c r="F1670" s="385">
        <v>257000</v>
      </c>
      <c r="G1670" s="351">
        <v>191134093</v>
      </c>
      <c r="H1670" s="270"/>
    </row>
    <row r="1671" spans="1:8" x14ac:dyDescent="0.25">
      <c r="A1671" s="257">
        <v>1674</v>
      </c>
      <c r="B1671" s="267">
        <v>1670</v>
      </c>
      <c r="C1671" s="268" t="s">
        <v>2645</v>
      </c>
      <c r="D1671" s="269">
        <v>42052</v>
      </c>
      <c r="E1671" s="270" t="s">
        <v>239</v>
      </c>
      <c r="F1671" s="384">
        <v>435000</v>
      </c>
      <c r="G1671" s="270">
        <v>101139097</v>
      </c>
      <c r="H1671" s="270"/>
    </row>
    <row r="1672" spans="1:8" x14ac:dyDescent="0.25">
      <c r="A1672" s="257">
        <v>1675</v>
      </c>
      <c r="B1672" s="267">
        <v>1671</v>
      </c>
      <c r="C1672" s="268" t="s">
        <v>2963</v>
      </c>
      <c r="D1672" s="269">
        <v>42053</v>
      </c>
      <c r="E1672" s="270" t="s">
        <v>220</v>
      </c>
      <c r="F1672" s="384">
        <v>1647000</v>
      </c>
      <c r="G1672" s="270">
        <v>100230496</v>
      </c>
      <c r="H1672" s="270"/>
    </row>
    <row r="1673" spans="1:8" x14ac:dyDescent="0.25">
      <c r="A1673" s="257">
        <v>1676</v>
      </c>
      <c r="B1673" s="267">
        <v>1672</v>
      </c>
      <c r="C1673" s="268" t="s">
        <v>4213</v>
      </c>
      <c r="D1673" s="269">
        <v>42053</v>
      </c>
      <c r="E1673" s="270" t="s">
        <v>3605</v>
      </c>
      <c r="F1673" s="384">
        <v>165000</v>
      </c>
      <c r="G1673" s="270">
        <v>190398861</v>
      </c>
      <c r="H1673" s="270"/>
    </row>
    <row r="1674" spans="1:8" x14ac:dyDescent="0.25">
      <c r="A1674" s="257">
        <v>1677</v>
      </c>
      <c r="B1674" s="267">
        <v>1673</v>
      </c>
      <c r="C1674" s="268" t="s">
        <v>2645</v>
      </c>
      <c r="D1674" s="269">
        <v>42053</v>
      </c>
      <c r="E1674" s="270" t="s">
        <v>239</v>
      </c>
      <c r="F1674" s="384">
        <v>435000</v>
      </c>
      <c r="G1674" s="270">
        <v>101139097</v>
      </c>
      <c r="H1674" s="270"/>
    </row>
    <row r="1675" spans="1:8" x14ac:dyDescent="0.25">
      <c r="A1675" s="257">
        <v>1678</v>
      </c>
      <c r="B1675" s="267">
        <v>1674</v>
      </c>
      <c r="C1675" s="268" t="s">
        <v>2444</v>
      </c>
      <c r="D1675" s="269">
        <v>42054</v>
      </c>
      <c r="E1675" s="270" t="s">
        <v>2631</v>
      </c>
      <c r="F1675" s="384">
        <v>396000</v>
      </c>
      <c r="G1675" s="270">
        <v>100008077</v>
      </c>
      <c r="H1675" s="270"/>
    </row>
    <row r="1676" spans="1:8" x14ac:dyDescent="0.25">
      <c r="A1676" s="257">
        <v>1679</v>
      </c>
      <c r="B1676" s="267">
        <v>1675</v>
      </c>
      <c r="C1676" s="268" t="s">
        <v>3657</v>
      </c>
      <c r="D1676" s="269">
        <v>42054</v>
      </c>
      <c r="E1676" s="270" t="s">
        <v>362</v>
      </c>
      <c r="F1676" s="384">
        <v>1400000</v>
      </c>
      <c r="G1676" s="270">
        <v>100099082</v>
      </c>
      <c r="H1676" s="270"/>
    </row>
    <row r="1677" spans="1:8" x14ac:dyDescent="0.25">
      <c r="A1677" s="257">
        <v>1680</v>
      </c>
      <c r="B1677" s="267">
        <v>1676</v>
      </c>
      <c r="C1677" s="268" t="s">
        <v>680</v>
      </c>
      <c r="D1677" s="269">
        <v>42054</v>
      </c>
      <c r="E1677" s="270" t="s">
        <v>3598</v>
      </c>
      <c r="F1677" s="384">
        <v>280000</v>
      </c>
      <c r="G1677" s="270">
        <v>190221603</v>
      </c>
      <c r="H1677" s="270"/>
    </row>
    <row r="1678" spans="1:8" x14ac:dyDescent="0.25">
      <c r="A1678" s="257">
        <v>1681</v>
      </c>
      <c r="B1678" s="267">
        <v>1677</v>
      </c>
      <c r="C1678" s="268" t="s">
        <v>870</v>
      </c>
      <c r="D1678" s="269">
        <v>42055</v>
      </c>
      <c r="E1678" s="270" t="s">
        <v>428</v>
      </c>
      <c r="F1678" s="384">
        <v>240000</v>
      </c>
      <c r="G1678" s="270">
        <v>100783448</v>
      </c>
      <c r="H1678" s="270"/>
    </row>
    <row r="1679" spans="1:8" x14ac:dyDescent="0.25">
      <c r="A1679" s="257">
        <v>1682</v>
      </c>
      <c r="B1679" s="267">
        <v>1678</v>
      </c>
      <c r="C1679" s="268" t="s">
        <v>2602</v>
      </c>
      <c r="D1679" s="269">
        <v>42055</v>
      </c>
      <c r="E1679" s="270" t="s">
        <v>3321</v>
      </c>
      <c r="F1679" s="384">
        <v>435000</v>
      </c>
      <c r="G1679" s="270">
        <v>490492602</v>
      </c>
      <c r="H1679" s="270"/>
    </row>
    <row r="1680" spans="1:8" x14ac:dyDescent="0.25">
      <c r="A1680" s="257">
        <v>1683</v>
      </c>
      <c r="B1680" s="267">
        <v>1679</v>
      </c>
      <c r="C1680" s="268" t="s">
        <v>3729</v>
      </c>
      <c r="D1680" s="269">
        <v>42055</v>
      </c>
      <c r="E1680" s="270" t="s">
        <v>2164</v>
      </c>
      <c r="F1680" s="384">
        <v>61000</v>
      </c>
      <c r="G1680" s="270">
        <v>100987897</v>
      </c>
      <c r="H1680" s="270"/>
    </row>
    <row r="1681" spans="1:8" x14ac:dyDescent="0.25">
      <c r="A1681" s="257">
        <v>1684</v>
      </c>
      <c r="B1681" s="267">
        <v>1680</v>
      </c>
      <c r="C1681" s="268" t="s">
        <v>319</v>
      </c>
      <c r="D1681" s="269">
        <v>42055</v>
      </c>
      <c r="E1681" s="270" t="s">
        <v>3564</v>
      </c>
      <c r="F1681" s="384">
        <v>198000</v>
      </c>
      <c r="G1681" s="270">
        <v>690654706</v>
      </c>
      <c r="H1681" s="270"/>
    </row>
    <row r="1682" spans="1:8" x14ac:dyDescent="0.25">
      <c r="A1682" s="257">
        <v>1685</v>
      </c>
      <c r="B1682" s="267">
        <v>1681</v>
      </c>
      <c r="C1682" s="268" t="s">
        <v>3848</v>
      </c>
      <c r="D1682" s="269">
        <v>42055</v>
      </c>
      <c r="E1682" s="270" t="s">
        <v>3559</v>
      </c>
      <c r="F1682" s="384">
        <v>36000</v>
      </c>
      <c r="G1682" s="270">
        <v>191134093</v>
      </c>
      <c r="H1682" s="270"/>
    </row>
    <row r="1683" spans="1:8" x14ac:dyDescent="0.25">
      <c r="A1683" s="257">
        <v>1686</v>
      </c>
      <c r="B1683" s="267">
        <v>1682</v>
      </c>
      <c r="C1683" s="268" t="s">
        <v>159</v>
      </c>
      <c r="D1683" s="269">
        <v>42058</v>
      </c>
      <c r="E1683" s="270" t="s">
        <v>1684</v>
      </c>
      <c r="F1683" s="384">
        <v>1200000</v>
      </c>
      <c r="G1683" s="270">
        <v>100819821</v>
      </c>
      <c r="H1683" s="270"/>
    </row>
    <row r="1684" spans="1:8" x14ac:dyDescent="0.25">
      <c r="A1684" s="257">
        <v>1687</v>
      </c>
      <c r="B1684" s="267">
        <v>1683</v>
      </c>
      <c r="C1684" s="268" t="s">
        <v>4222</v>
      </c>
      <c r="D1684" s="269">
        <v>42058</v>
      </c>
      <c r="E1684" s="270" t="s">
        <v>1825</v>
      </c>
      <c r="F1684" s="384">
        <v>317000</v>
      </c>
      <c r="G1684" s="270">
        <v>190922876</v>
      </c>
      <c r="H1684" s="270"/>
    </row>
    <row r="1685" spans="1:8" x14ac:dyDescent="0.25">
      <c r="A1685" s="257">
        <v>1688</v>
      </c>
      <c r="B1685" s="267">
        <v>1684</v>
      </c>
      <c r="C1685" s="268" t="s">
        <v>4222</v>
      </c>
      <c r="D1685" s="269">
        <v>42058</v>
      </c>
      <c r="E1685" s="270" t="s">
        <v>1825</v>
      </c>
      <c r="F1685" s="384">
        <v>240000</v>
      </c>
      <c r="G1685" s="270">
        <v>190922876</v>
      </c>
      <c r="H1685" s="270"/>
    </row>
    <row r="1686" spans="1:8" x14ac:dyDescent="0.25">
      <c r="A1686" s="257">
        <v>1689</v>
      </c>
      <c r="B1686" s="267">
        <v>1685</v>
      </c>
      <c r="C1686" s="268" t="s">
        <v>3102</v>
      </c>
      <c r="D1686" s="269">
        <v>42058</v>
      </c>
      <c r="E1686" s="270" t="s">
        <v>2825</v>
      </c>
      <c r="F1686" s="384">
        <v>240000</v>
      </c>
      <c r="G1686" s="270">
        <v>500011238</v>
      </c>
      <c r="H1686" s="270"/>
    </row>
    <row r="1687" spans="1:8" x14ac:dyDescent="0.25">
      <c r="A1687" s="257">
        <v>1690</v>
      </c>
      <c r="B1687" s="267">
        <v>1686</v>
      </c>
      <c r="C1687" s="268" t="s">
        <v>1639</v>
      </c>
      <c r="D1687" s="269">
        <v>42058</v>
      </c>
      <c r="E1687" s="270" t="s">
        <v>3850</v>
      </c>
      <c r="F1687" s="384">
        <v>165000</v>
      </c>
      <c r="G1687" s="270">
        <v>800011635</v>
      </c>
      <c r="H1687" s="270"/>
    </row>
    <row r="1688" spans="1:8" x14ac:dyDescent="0.25">
      <c r="A1688" s="257">
        <v>1691</v>
      </c>
      <c r="B1688" s="267">
        <v>1687</v>
      </c>
      <c r="C1688" s="268" t="s">
        <v>2166</v>
      </c>
      <c r="D1688" s="269">
        <v>42059</v>
      </c>
      <c r="E1688" s="270" t="s">
        <v>1685</v>
      </c>
      <c r="F1688" s="384">
        <v>198000</v>
      </c>
      <c r="G1688" s="270">
        <v>100315326</v>
      </c>
      <c r="H1688" s="270"/>
    </row>
    <row r="1689" spans="1:8" x14ac:dyDescent="0.25">
      <c r="A1689" s="257">
        <v>1692</v>
      </c>
      <c r="B1689" s="267">
        <v>1688</v>
      </c>
      <c r="C1689" s="268" t="s">
        <v>2963</v>
      </c>
      <c r="D1689" s="269">
        <v>42059</v>
      </c>
      <c r="E1689" s="270" t="s">
        <v>2666</v>
      </c>
      <c r="F1689" s="384">
        <v>160000</v>
      </c>
      <c r="G1689" s="270">
        <v>691314513</v>
      </c>
      <c r="H1689" s="270"/>
    </row>
    <row r="1690" spans="1:8" x14ac:dyDescent="0.25">
      <c r="A1690" s="257">
        <v>1693</v>
      </c>
      <c r="B1690" s="267">
        <v>1689</v>
      </c>
      <c r="C1690" s="268" t="s">
        <v>494</v>
      </c>
      <c r="D1690" s="269">
        <v>42059</v>
      </c>
      <c r="E1690" s="270" t="s">
        <v>339</v>
      </c>
      <c r="F1690" s="384">
        <v>435000</v>
      </c>
      <c r="G1690" s="270">
        <v>690629013</v>
      </c>
      <c r="H1690" s="270"/>
    </row>
    <row r="1691" spans="1:8" x14ac:dyDescent="0.25">
      <c r="A1691" s="257">
        <v>1694</v>
      </c>
      <c r="B1691" s="267">
        <v>1690</v>
      </c>
      <c r="C1691" s="268" t="s">
        <v>1841</v>
      </c>
      <c r="D1691" s="269">
        <v>42059</v>
      </c>
      <c r="E1691" s="270" t="s">
        <v>2767</v>
      </c>
      <c r="F1691" s="384">
        <v>275000</v>
      </c>
      <c r="G1691" s="270">
        <v>100030122</v>
      </c>
      <c r="H1691" s="270"/>
    </row>
    <row r="1692" spans="1:8" x14ac:dyDescent="0.25">
      <c r="A1692" s="257">
        <v>1695</v>
      </c>
      <c r="B1692" s="267">
        <v>1691</v>
      </c>
      <c r="C1692" s="268" t="s">
        <v>262</v>
      </c>
      <c r="D1692" s="269">
        <v>42059</v>
      </c>
      <c r="E1692" s="270" t="s">
        <v>927</v>
      </c>
      <c r="F1692" s="384">
        <v>160000</v>
      </c>
      <c r="G1692" s="270">
        <v>190454318</v>
      </c>
      <c r="H1692" s="270"/>
    </row>
    <row r="1693" spans="1:8" x14ac:dyDescent="0.25">
      <c r="A1693" s="257">
        <v>1696</v>
      </c>
      <c r="B1693" s="267">
        <v>1692</v>
      </c>
      <c r="C1693" s="268" t="s">
        <v>386</v>
      </c>
      <c r="D1693" s="269">
        <v>42060</v>
      </c>
      <c r="E1693" s="270" t="s">
        <v>1951</v>
      </c>
      <c r="F1693" s="384">
        <v>80000</v>
      </c>
      <c r="G1693" s="270">
        <v>400424686</v>
      </c>
      <c r="H1693" s="270"/>
    </row>
    <row r="1694" spans="1:8" x14ac:dyDescent="0.25">
      <c r="A1694" s="257">
        <v>1697</v>
      </c>
      <c r="B1694" s="267">
        <v>1693</v>
      </c>
      <c r="C1694" s="268" t="s">
        <v>3545</v>
      </c>
      <c r="D1694" s="269">
        <v>42060</v>
      </c>
      <c r="E1694" s="270" t="s">
        <v>4192</v>
      </c>
      <c r="F1694" s="384">
        <v>480000</v>
      </c>
      <c r="G1694" s="270">
        <v>190063577</v>
      </c>
      <c r="H1694" s="270"/>
    </row>
    <row r="1695" spans="1:8" x14ac:dyDescent="0.25">
      <c r="A1695" s="257">
        <v>1698</v>
      </c>
      <c r="B1695" s="267">
        <v>1694</v>
      </c>
      <c r="C1695" s="268" t="s">
        <v>953</v>
      </c>
      <c r="D1695" s="269">
        <v>42060</v>
      </c>
      <c r="E1695" s="270" t="s">
        <v>2419</v>
      </c>
      <c r="F1695" s="384">
        <v>435000</v>
      </c>
      <c r="G1695" s="270">
        <v>691317709</v>
      </c>
      <c r="H1695" s="270"/>
    </row>
    <row r="1696" spans="1:8" x14ac:dyDescent="0.25">
      <c r="A1696" s="257">
        <v>1699</v>
      </c>
      <c r="B1696" s="267">
        <v>1695</v>
      </c>
      <c r="C1696" s="268" t="s">
        <v>2405</v>
      </c>
      <c r="D1696" s="269">
        <v>42060</v>
      </c>
      <c r="E1696" s="270" t="s">
        <v>1944</v>
      </c>
      <c r="F1696" s="384">
        <v>240000</v>
      </c>
      <c r="G1696" s="270">
        <v>100345799</v>
      </c>
      <c r="H1696" s="270"/>
    </row>
    <row r="1697" spans="1:8" x14ac:dyDescent="0.25">
      <c r="A1697" s="257">
        <v>1700</v>
      </c>
      <c r="B1697" s="267">
        <v>1696</v>
      </c>
      <c r="C1697" s="268" t="s">
        <v>175</v>
      </c>
      <c r="D1697" s="269">
        <v>42061</v>
      </c>
      <c r="E1697" s="270" t="s">
        <v>2603</v>
      </c>
      <c r="F1697" s="384">
        <v>240000</v>
      </c>
      <c r="G1697" s="270">
        <v>190074151</v>
      </c>
      <c r="H1697" s="270"/>
    </row>
    <row r="1698" spans="1:8" x14ac:dyDescent="0.25">
      <c r="A1698" s="257">
        <v>1701</v>
      </c>
      <c r="B1698" s="267">
        <v>1697</v>
      </c>
      <c r="C1698" s="268" t="s">
        <v>1837</v>
      </c>
      <c r="D1698" s="269">
        <v>42061</v>
      </c>
      <c r="E1698" s="270" t="s">
        <v>2402</v>
      </c>
      <c r="F1698" s="384">
        <v>155000</v>
      </c>
      <c r="G1698" s="270">
        <v>190481036</v>
      </c>
      <c r="H1698" s="270"/>
    </row>
    <row r="1699" spans="1:8" x14ac:dyDescent="0.25">
      <c r="A1699" s="257">
        <v>1702</v>
      </c>
      <c r="B1699" s="267">
        <v>1698</v>
      </c>
      <c r="C1699" s="268" t="s">
        <v>2369</v>
      </c>
      <c r="D1699" s="269">
        <v>42062</v>
      </c>
      <c r="E1699" s="270" t="s">
        <v>515</v>
      </c>
      <c r="F1699" s="384">
        <v>155000</v>
      </c>
      <c r="G1699" s="270">
        <v>690387347</v>
      </c>
      <c r="H1699" s="270"/>
    </row>
    <row r="1700" spans="1:8" x14ac:dyDescent="0.25">
      <c r="A1700" s="257">
        <v>1703</v>
      </c>
      <c r="B1700" s="267">
        <v>1699</v>
      </c>
      <c r="C1700" s="268" t="s">
        <v>494</v>
      </c>
      <c r="D1700" s="269">
        <v>42062</v>
      </c>
      <c r="E1700" s="270" t="s">
        <v>339</v>
      </c>
      <c r="F1700" s="384">
        <v>280000</v>
      </c>
      <c r="G1700" s="270">
        <v>690629013</v>
      </c>
      <c r="H1700" s="270"/>
    </row>
    <row r="1701" spans="1:8" x14ac:dyDescent="0.25">
      <c r="A1701" s="257">
        <v>1704</v>
      </c>
      <c r="B1701" s="267">
        <v>1700</v>
      </c>
      <c r="C1701" s="268" t="s">
        <v>1124</v>
      </c>
      <c r="D1701" s="269">
        <v>42062</v>
      </c>
      <c r="E1701" s="270" t="s">
        <v>226</v>
      </c>
      <c r="F1701" s="384">
        <v>915000</v>
      </c>
      <c r="G1701" s="270">
        <v>190654467</v>
      </c>
      <c r="H1701" s="270"/>
    </row>
    <row r="1702" spans="1:8" x14ac:dyDescent="0.25">
      <c r="A1702" s="257">
        <v>1705</v>
      </c>
      <c r="B1702" s="267">
        <v>1701</v>
      </c>
      <c r="C1702" s="268" t="s">
        <v>1696</v>
      </c>
      <c r="D1702" s="269">
        <v>42062</v>
      </c>
      <c r="E1702" s="270" t="s">
        <v>1768</v>
      </c>
      <c r="F1702" s="384">
        <v>1433000</v>
      </c>
      <c r="G1702" s="270">
        <v>100104712</v>
      </c>
      <c r="H1702" s="270"/>
    </row>
    <row r="1703" spans="1:8" x14ac:dyDescent="0.25">
      <c r="A1703" s="257">
        <v>1706</v>
      </c>
      <c r="B1703" s="267">
        <v>1702</v>
      </c>
      <c r="C1703" s="268" t="s">
        <v>265</v>
      </c>
      <c r="D1703" s="269">
        <v>42062</v>
      </c>
      <c r="E1703" s="270" t="s">
        <v>450</v>
      </c>
      <c r="F1703" s="384">
        <v>280000</v>
      </c>
      <c r="G1703" s="270">
        <v>100468996</v>
      </c>
      <c r="H1703" s="270"/>
    </row>
    <row r="1704" spans="1:8" x14ac:dyDescent="0.25">
      <c r="A1704" s="257">
        <v>1707</v>
      </c>
      <c r="B1704" s="267">
        <v>1703</v>
      </c>
      <c r="C1704" s="268" t="s">
        <v>2835</v>
      </c>
      <c r="D1704" s="269">
        <v>42066</v>
      </c>
      <c r="E1704" s="270" t="s">
        <v>2890</v>
      </c>
      <c r="F1704" s="384">
        <v>234000</v>
      </c>
      <c r="G1704" s="270">
        <v>690367172</v>
      </c>
      <c r="H1704" s="270"/>
    </row>
    <row r="1705" spans="1:8" x14ac:dyDescent="0.25">
      <c r="A1705" s="257">
        <v>1708</v>
      </c>
      <c r="B1705" s="267">
        <v>1704</v>
      </c>
      <c r="C1705" s="268" t="s">
        <v>3216</v>
      </c>
      <c r="D1705" s="269">
        <v>42066</v>
      </c>
      <c r="E1705" s="270" t="s">
        <v>1644</v>
      </c>
      <c r="F1705" s="384">
        <v>1400000</v>
      </c>
      <c r="G1705" s="270">
        <v>100315288</v>
      </c>
      <c r="H1705" s="270"/>
    </row>
    <row r="1706" spans="1:8" x14ac:dyDescent="0.25">
      <c r="A1706" s="257">
        <v>1709</v>
      </c>
      <c r="B1706" s="267">
        <v>1705</v>
      </c>
      <c r="C1706" s="268" t="s">
        <v>1672</v>
      </c>
      <c r="D1706" s="269">
        <v>42066</v>
      </c>
      <c r="E1706" s="270" t="s">
        <v>2644</v>
      </c>
      <c r="F1706" s="384">
        <v>31000</v>
      </c>
      <c r="G1706" s="270">
        <v>191749393</v>
      </c>
      <c r="H1706" s="270"/>
    </row>
    <row r="1707" spans="1:8" x14ac:dyDescent="0.25">
      <c r="A1707" s="257">
        <v>1710</v>
      </c>
      <c r="B1707" s="267">
        <v>1706</v>
      </c>
      <c r="C1707" s="268" t="s">
        <v>190</v>
      </c>
      <c r="D1707" s="269">
        <v>42066</v>
      </c>
      <c r="E1707" s="270" t="s">
        <v>188</v>
      </c>
      <c r="F1707" s="384">
        <v>280000</v>
      </c>
      <c r="G1707" s="270">
        <v>190270596</v>
      </c>
      <c r="H1707" s="270"/>
    </row>
    <row r="1708" spans="1:8" x14ac:dyDescent="0.25">
      <c r="A1708" s="257">
        <v>1711</v>
      </c>
      <c r="B1708" s="267">
        <v>1707</v>
      </c>
      <c r="C1708" s="268" t="s">
        <v>2959</v>
      </c>
      <c r="D1708" s="269">
        <v>42066</v>
      </c>
      <c r="E1708" s="270" t="s">
        <v>726</v>
      </c>
      <c r="F1708" s="384">
        <v>280000</v>
      </c>
      <c r="G1708" s="270">
        <v>100211261</v>
      </c>
      <c r="H1708" s="270"/>
    </row>
    <row r="1709" spans="1:8" x14ac:dyDescent="0.25">
      <c r="A1709" s="257">
        <v>1712</v>
      </c>
      <c r="B1709" s="267">
        <v>1708</v>
      </c>
      <c r="C1709" s="268" t="s">
        <v>23</v>
      </c>
      <c r="D1709" s="269">
        <v>42066</v>
      </c>
      <c r="E1709" s="270" t="s">
        <v>24</v>
      </c>
      <c r="F1709" s="384">
        <v>160000</v>
      </c>
      <c r="G1709" s="270">
        <v>190882019</v>
      </c>
      <c r="H1709" s="270"/>
    </row>
    <row r="1710" spans="1:8" x14ac:dyDescent="0.25">
      <c r="A1710" s="257">
        <v>1713</v>
      </c>
      <c r="B1710" s="267">
        <v>1709</v>
      </c>
      <c r="C1710" s="268" t="s">
        <v>3209</v>
      </c>
      <c r="D1710" s="269">
        <v>42066</v>
      </c>
      <c r="E1710" s="270" t="s">
        <v>309</v>
      </c>
      <c r="F1710" s="384">
        <v>480000</v>
      </c>
      <c r="G1710" s="270">
        <v>691072211</v>
      </c>
      <c r="H1710" s="270"/>
    </row>
    <row r="1711" spans="1:8" x14ac:dyDescent="0.25">
      <c r="A1711" s="257">
        <v>1714</v>
      </c>
      <c r="B1711" s="267">
        <v>1710</v>
      </c>
      <c r="C1711" s="268" t="s">
        <v>949</v>
      </c>
      <c r="D1711" s="269">
        <v>42066</v>
      </c>
      <c r="E1711" s="270" t="s">
        <v>3772</v>
      </c>
      <c r="F1711" s="384">
        <v>435000</v>
      </c>
      <c r="G1711" s="270">
        <v>601070251</v>
      </c>
      <c r="H1711" s="270"/>
    </row>
    <row r="1712" spans="1:8" x14ac:dyDescent="0.25">
      <c r="A1712" s="257">
        <v>1715</v>
      </c>
      <c r="B1712" s="267">
        <v>1711</v>
      </c>
      <c r="C1712" s="268" t="s">
        <v>458</v>
      </c>
      <c r="D1712" s="269">
        <v>42067</v>
      </c>
      <c r="E1712" s="270" t="s">
        <v>687</v>
      </c>
      <c r="F1712" s="384">
        <v>676000</v>
      </c>
      <c r="G1712" s="270">
        <v>690699297</v>
      </c>
      <c r="H1712" s="270"/>
    </row>
    <row r="1713" spans="1:8" x14ac:dyDescent="0.25">
      <c r="A1713" s="257">
        <v>1716</v>
      </c>
      <c r="B1713" s="267">
        <v>1712</v>
      </c>
      <c r="C1713" s="268" t="s">
        <v>3111</v>
      </c>
      <c r="D1713" s="269">
        <v>42067</v>
      </c>
      <c r="E1713" s="270" t="s">
        <v>1948</v>
      </c>
      <c r="F1713" s="384">
        <v>160000</v>
      </c>
      <c r="G1713" s="270">
        <v>808000755</v>
      </c>
      <c r="H1713" s="270"/>
    </row>
    <row r="1714" spans="1:8" x14ac:dyDescent="0.25">
      <c r="A1714" s="257">
        <v>1717</v>
      </c>
      <c r="B1714" s="267">
        <v>1713</v>
      </c>
      <c r="C1714" s="268" t="s">
        <v>367</v>
      </c>
      <c r="D1714" s="269">
        <v>42067</v>
      </c>
      <c r="E1714" s="270" t="s">
        <v>839</v>
      </c>
      <c r="F1714" s="384">
        <v>198000</v>
      </c>
      <c r="G1714" s="270">
        <v>101166741</v>
      </c>
      <c r="H1714" s="270"/>
    </row>
    <row r="1715" spans="1:8" x14ac:dyDescent="0.25">
      <c r="A1715" s="257">
        <v>1718</v>
      </c>
      <c r="B1715" s="267">
        <v>1714</v>
      </c>
      <c r="C1715" s="268" t="s">
        <v>458</v>
      </c>
      <c r="D1715" s="269">
        <v>42067</v>
      </c>
      <c r="E1715" s="270" t="s">
        <v>687</v>
      </c>
      <c r="F1715" s="384">
        <v>718000</v>
      </c>
      <c r="G1715" s="270">
        <v>690699297</v>
      </c>
      <c r="H1715" s="270"/>
    </row>
    <row r="1716" spans="1:8" x14ac:dyDescent="0.25">
      <c r="A1716" s="257">
        <v>1719</v>
      </c>
      <c r="B1716" s="267">
        <v>1715</v>
      </c>
      <c r="C1716" s="268" t="s">
        <v>3</v>
      </c>
      <c r="D1716" s="269">
        <v>42067</v>
      </c>
      <c r="E1716" s="270" t="s">
        <v>1916</v>
      </c>
      <c r="F1716" s="384">
        <v>435000</v>
      </c>
      <c r="G1716" s="270">
        <v>190153542</v>
      </c>
      <c r="H1716" s="270"/>
    </row>
    <row r="1717" spans="1:8" x14ac:dyDescent="0.25">
      <c r="A1717" s="257">
        <v>1720</v>
      </c>
      <c r="B1717" s="267">
        <v>1716</v>
      </c>
      <c r="C1717" s="268" t="s">
        <v>2602</v>
      </c>
      <c r="D1717" s="269">
        <v>42067</v>
      </c>
      <c r="E1717" s="270" t="s">
        <v>3321</v>
      </c>
      <c r="F1717" s="384">
        <v>435000</v>
      </c>
      <c r="G1717" s="270">
        <v>490492602</v>
      </c>
      <c r="H1717" s="270"/>
    </row>
    <row r="1718" spans="1:8" x14ac:dyDescent="0.25">
      <c r="A1718" s="257">
        <v>1721</v>
      </c>
      <c r="B1718" s="267">
        <v>1717</v>
      </c>
      <c r="C1718" s="268" t="s">
        <v>2833</v>
      </c>
      <c r="D1718" s="269">
        <v>42067</v>
      </c>
      <c r="E1718" s="270" t="s">
        <v>2403</v>
      </c>
      <c r="F1718" s="384">
        <v>160000</v>
      </c>
      <c r="G1718" s="270">
        <v>600049547</v>
      </c>
      <c r="H1718" s="270"/>
    </row>
    <row r="1719" spans="1:8" x14ac:dyDescent="0.25">
      <c r="A1719" s="257">
        <v>1722</v>
      </c>
      <c r="B1719" s="267">
        <v>1718</v>
      </c>
      <c r="C1719" s="268" t="s">
        <v>1918</v>
      </c>
      <c r="D1719" s="269">
        <v>42067</v>
      </c>
      <c r="E1719" s="270" t="s">
        <v>1607</v>
      </c>
      <c r="F1719" s="384">
        <v>435000</v>
      </c>
      <c r="G1719" s="270">
        <v>690643672</v>
      </c>
      <c r="H1719" s="270"/>
    </row>
    <row r="1720" spans="1:8" x14ac:dyDescent="0.25">
      <c r="A1720" s="257">
        <v>1723</v>
      </c>
      <c r="B1720" s="267">
        <v>1719</v>
      </c>
      <c r="C1720" s="268" t="s">
        <v>3326</v>
      </c>
      <c r="D1720" s="269">
        <v>42067</v>
      </c>
      <c r="E1720" s="270" t="s">
        <v>164</v>
      </c>
      <c r="F1720" s="384">
        <v>7000000</v>
      </c>
      <c r="G1720" s="270">
        <v>100534485</v>
      </c>
      <c r="H1720" s="270"/>
    </row>
    <row r="1721" spans="1:8" x14ac:dyDescent="0.25">
      <c r="A1721" s="257">
        <v>1724</v>
      </c>
      <c r="B1721" s="267">
        <v>1720</v>
      </c>
      <c r="C1721" s="268" t="s">
        <v>3298</v>
      </c>
      <c r="D1721" s="269">
        <v>42067</v>
      </c>
      <c r="E1721" s="270" t="s">
        <v>980</v>
      </c>
      <c r="F1721" s="384">
        <v>198000</v>
      </c>
      <c r="G1721" s="270">
        <v>100015784</v>
      </c>
      <c r="H1721" s="270"/>
    </row>
    <row r="1722" spans="1:8" x14ac:dyDescent="0.25">
      <c r="A1722" s="257">
        <v>1725</v>
      </c>
      <c r="B1722" s="267">
        <v>1721</v>
      </c>
      <c r="C1722" s="268" t="s">
        <v>1124</v>
      </c>
      <c r="D1722" s="269">
        <v>42067</v>
      </c>
      <c r="E1722" s="270" t="s">
        <v>226</v>
      </c>
      <c r="F1722" s="384">
        <v>760000</v>
      </c>
      <c r="G1722" s="270">
        <v>190654467</v>
      </c>
      <c r="H1722" s="270"/>
    </row>
    <row r="1723" spans="1:8" x14ac:dyDescent="0.25">
      <c r="A1723" s="257">
        <v>1726</v>
      </c>
      <c r="B1723" s="267">
        <v>1722</v>
      </c>
      <c r="C1723" s="268" t="s">
        <v>159</v>
      </c>
      <c r="D1723" s="269">
        <v>42067</v>
      </c>
      <c r="E1723" s="270" t="s">
        <v>1684</v>
      </c>
      <c r="F1723" s="384">
        <v>36000</v>
      </c>
      <c r="G1723" s="270">
        <v>100819821</v>
      </c>
      <c r="H1723" s="270"/>
    </row>
    <row r="1724" spans="1:8" x14ac:dyDescent="0.25">
      <c r="A1724" s="257">
        <v>1727</v>
      </c>
      <c r="B1724" s="267">
        <v>1723</v>
      </c>
      <c r="C1724" s="268" t="s">
        <v>2779</v>
      </c>
      <c r="D1724" s="269">
        <v>42067</v>
      </c>
      <c r="E1724" s="270" t="s">
        <v>2159</v>
      </c>
      <c r="F1724" s="384">
        <v>1680000</v>
      </c>
      <c r="G1724" s="270">
        <v>100345786</v>
      </c>
      <c r="H1724" s="270"/>
    </row>
    <row r="1725" spans="1:8" x14ac:dyDescent="0.25">
      <c r="A1725" s="257">
        <v>1728</v>
      </c>
      <c r="B1725" s="267">
        <v>1724</v>
      </c>
      <c r="C1725" s="268" t="s">
        <v>2645</v>
      </c>
      <c r="D1725" s="269">
        <v>42067</v>
      </c>
      <c r="E1725" s="270" t="s">
        <v>239</v>
      </c>
      <c r="F1725" s="384">
        <v>435000</v>
      </c>
      <c r="G1725" s="270">
        <v>101139097</v>
      </c>
      <c r="H1725" s="270"/>
    </row>
    <row r="1726" spans="1:8" x14ac:dyDescent="0.25">
      <c r="A1726" s="257">
        <v>1729</v>
      </c>
      <c r="B1726" s="267">
        <v>1725</v>
      </c>
      <c r="C1726" s="268" t="s">
        <v>2645</v>
      </c>
      <c r="D1726" s="269">
        <v>42067</v>
      </c>
      <c r="E1726" s="270" t="s">
        <v>239</v>
      </c>
      <c r="F1726" s="384">
        <v>155000</v>
      </c>
      <c r="G1726" s="270">
        <v>101139097</v>
      </c>
      <c r="H1726" s="270"/>
    </row>
    <row r="1727" spans="1:8" x14ac:dyDescent="0.25">
      <c r="A1727" s="257">
        <v>1730</v>
      </c>
      <c r="B1727" s="267">
        <v>1726</v>
      </c>
      <c r="C1727" s="268" t="s">
        <v>52</v>
      </c>
      <c r="D1727" s="269">
        <v>42068</v>
      </c>
      <c r="E1727" s="270" t="s">
        <v>2659</v>
      </c>
      <c r="F1727" s="384">
        <v>280000</v>
      </c>
      <c r="G1727" s="270">
        <v>190747005</v>
      </c>
      <c r="H1727" s="270"/>
    </row>
    <row r="1728" spans="1:8" x14ac:dyDescent="0.25">
      <c r="A1728" s="257">
        <v>1731</v>
      </c>
      <c r="B1728" s="267">
        <v>1727</v>
      </c>
      <c r="C1728" s="268" t="s">
        <v>3207</v>
      </c>
      <c r="D1728" s="269">
        <v>42068</v>
      </c>
      <c r="E1728" s="270" t="s">
        <v>2785</v>
      </c>
      <c r="F1728" s="384">
        <v>63000</v>
      </c>
      <c r="G1728" s="270">
        <v>190902091</v>
      </c>
      <c r="H1728" s="270"/>
    </row>
    <row r="1729" spans="1:8" x14ac:dyDescent="0.25">
      <c r="A1729" s="257">
        <v>1732</v>
      </c>
      <c r="B1729" s="267">
        <v>1728</v>
      </c>
      <c r="C1729" s="268" t="s">
        <v>52</v>
      </c>
      <c r="D1729" s="269">
        <v>42068</v>
      </c>
      <c r="E1729" s="270" t="s">
        <v>2659</v>
      </c>
      <c r="F1729" s="384">
        <v>240000</v>
      </c>
      <c r="G1729" s="270">
        <v>190747005</v>
      </c>
      <c r="H1729" s="270"/>
    </row>
    <row r="1730" spans="1:8" x14ac:dyDescent="0.25">
      <c r="A1730" s="257">
        <v>1733</v>
      </c>
      <c r="B1730" s="267">
        <v>1729</v>
      </c>
      <c r="C1730" s="268" t="s">
        <v>333</v>
      </c>
      <c r="D1730" s="269">
        <v>42068</v>
      </c>
      <c r="E1730" s="270" t="s">
        <v>209</v>
      </c>
      <c r="F1730" s="384">
        <v>198000</v>
      </c>
      <c r="G1730" s="270">
        <v>191118996</v>
      </c>
      <c r="H1730" s="270"/>
    </row>
    <row r="1731" spans="1:8" x14ac:dyDescent="0.25">
      <c r="A1731" s="257">
        <v>1734</v>
      </c>
      <c r="B1731" s="267">
        <v>1730</v>
      </c>
      <c r="C1731" s="268" t="s">
        <v>1608</v>
      </c>
      <c r="D1731" s="269">
        <v>42068</v>
      </c>
      <c r="E1731" s="270" t="s">
        <v>2743</v>
      </c>
      <c r="F1731" s="384">
        <v>838000</v>
      </c>
      <c r="G1731" s="270">
        <v>600052544</v>
      </c>
      <c r="H1731" s="270"/>
    </row>
    <row r="1732" spans="1:8" x14ac:dyDescent="0.25">
      <c r="A1732" s="257">
        <v>1735</v>
      </c>
      <c r="B1732" s="267">
        <v>1731</v>
      </c>
      <c r="C1732" s="268" t="s">
        <v>3528</v>
      </c>
      <c r="D1732" s="269">
        <v>42068</v>
      </c>
      <c r="E1732" s="270" t="s">
        <v>733</v>
      </c>
      <c r="F1732" s="384">
        <v>170000</v>
      </c>
      <c r="G1732" s="270">
        <v>190770035</v>
      </c>
      <c r="H1732" s="270"/>
    </row>
    <row r="1733" spans="1:8" x14ac:dyDescent="0.25">
      <c r="A1733" s="257">
        <v>1736</v>
      </c>
      <c r="B1733" s="267">
        <v>1732</v>
      </c>
      <c r="C1733" s="268" t="s">
        <v>1658</v>
      </c>
      <c r="D1733" s="269">
        <v>42068</v>
      </c>
      <c r="E1733" s="270" t="s">
        <v>825</v>
      </c>
      <c r="F1733" s="384">
        <v>435000</v>
      </c>
      <c r="G1733" s="270">
        <v>100951254</v>
      </c>
      <c r="H1733" s="270"/>
    </row>
    <row r="1734" spans="1:8" x14ac:dyDescent="0.25">
      <c r="A1734" s="257">
        <v>1737</v>
      </c>
      <c r="B1734" s="267">
        <v>1733</v>
      </c>
      <c r="C1734" s="268" t="s">
        <v>2613</v>
      </c>
      <c r="D1734" s="269">
        <v>42068</v>
      </c>
      <c r="E1734" s="270" t="s">
        <v>916</v>
      </c>
      <c r="F1734" s="384">
        <v>1656000</v>
      </c>
      <c r="G1734" s="270">
        <v>101553117</v>
      </c>
      <c r="H1734" s="270"/>
    </row>
    <row r="1735" spans="1:8" x14ac:dyDescent="0.25">
      <c r="A1735" s="257">
        <v>1738</v>
      </c>
      <c r="B1735" s="267">
        <v>1734</v>
      </c>
      <c r="C1735" s="268" t="s">
        <v>252</v>
      </c>
      <c r="D1735" s="269">
        <v>42069</v>
      </c>
      <c r="E1735" s="270" t="s">
        <v>3582</v>
      </c>
      <c r="F1735" s="384">
        <v>280000</v>
      </c>
      <c r="G1735" s="270">
        <v>100338635</v>
      </c>
      <c r="H1735" s="270"/>
    </row>
    <row r="1736" spans="1:8" x14ac:dyDescent="0.25">
      <c r="A1736" s="257">
        <v>1739</v>
      </c>
      <c r="B1736" s="267">
        <v>1735</v>
      </c>
      <c r="C1736" s="268" t="s">
        <v>1004</v>
      </c>
      <c r="D1736" s="269">
        <v>42072</v>
      </c>
      <c r="E1736" s="270" t="s">
        <v>2383</v>
      </c>
      <c r="F1736" s="384">
        <v>198000</v>
      </c>
      <c r="G1736" s="270">
        <v>690655317</v>
      </c>
      <c r="H1736" s="270"/>
    </row>
    <row r="1737" spans="1:8" x14ac:dyDescent="0.25">
      <c r="A1737" s="257">
        <v>1740</v>
      </c>
      <c r="B1737" s="267">
        <v>1736</v>
      </c>
      <c r="C1737" s="268" t="s">
        <v>67</v>
      </c>
      <c r="D1737" s="269">
        <v>42072</v>
      </c>
      <c r="E1737" s="270" t="s">
        <v>914</v>
      </c>
      <c r="F1737" s="384">
        <v>155000</v>
      </c>
      <c r="G1737" s="270">
        <v>190114911</v>
      </c>
      <c r="H1737" s="270"/>
    </row>
    <row r="1738" spans="1:8" x14ac:dyDescent="0.25">
      <c r="A1738" s="257">
        <v>1741</v>
      </c>
      <c r="B1738" s="267">
        <v>1737</v>
      </c>
      <c r="C1738" s="268" t="s">
        <v>1609</v>
      </c>
      <c r="D1738" s="269">
        <v>42072</v>
      </c>
      <c r="E1738" s="270" t="s">
        <v>966</v>
      </c>
      <c r="F1738" s="384">
        <v>165000</v>
      </c>
      <c r="G1738" s="270">
        <v>191767578</v>
      </c>
      <c r="H1738" s="270"/>
    </row>
    <row r="1739" spans="1:8" x14ac:dyDescent="0.25">
      <c r="A1739" s="257">
        <v>1742</v>
      </c>
      <c r="B1739" s="267">
        <v>1738</v>
      </c>
      <c r="C1739" s="268" t="s">
        <v>205</v>
      </c>
      <c r="D1739" s="269">
        <v>42072</v>
      </c>
      <c r="E1739" s="270" t="s">
        <v>25</v>
      </c>
      <c r="F1739" s="384">
        <v>480000</v>
      </c>
      <c r="G1739" s="270">
        <v>100099465</v>
      </c>
      <c r="H1739" s="270"/>
    </row>
    <row r="1740" spans="1:8" x14ac:dyDescent="0.25">
      <c r="A1740" s="257">
        <v>1743</v>
      </c>
      <c r="B1740" s="267">
        <v>1739</v>
      </c>
      <c r="C1740" s="268" t="s">
        <v>1928</v>
      </c>
      <c r="D1740" s="269">
        <v>42072</v>
      </c>
      <c r="E1740" s="270" t="s">
        <v>2801</v>
      </c>
      <c r="F1740" s="384">
        <v>240000</v>
      </c>
      <c r="G1740" s="270">
        <v>190334745</v>
      </c>
      <c r="H1740" s="270"/>
    </row>
    <row r="1741" spans="1:8" x14ac:dyDescent="0.25">
      <c r="A1741" s="257">
        <v>1744</v>
      </c>
      <c r="B1741" s="267">
        <v>1740</v>
      </c>
      <c r="C1741" s="268" t="s">
        <v>4209</v>
      </c>
      <c r="D1741" s="269">
        <v>42073</v>
      </c>
      <c r="E1741" s="270" t="s">
        <v>3777</v>
      </c>
      <c r="F1741" s="384">
        <v>14355000</v>
      </c>
      <c r="G1741" s="270">
        <v>690551607</v>
      </c>
      <c r="H1741" s="270"/>
    </row>
    <row r="1742" spans="1:8" x14ac:dyDescent="0.25">
      <c r="A1742" s="257">
        <v>1745</v>
      </c>
      <c r="B1742" s="267">
        <v>1741</v>
      </c>
      <c r="C1742" s="268" t="s">
        <v>1546</v>
      </c>
      <c r="D1742" s="269">
        <v>42073</v>
      </c>
      <c r="E1742" s="270" t="s">
        <v>3761</v>
      </c>
      <c r="F1742" s="384">
        <v>198000</v>
      </c>
      <c r="G1742" s="270">
        <v>190539789</v>
      </c>
      <c r="H1742" s="270"/>
    </row>
    <row r="1743" spans="1:8" x14ac:dyDescent="0.25">
      <c r="A1743" s="257">
        <v>1746</v>
      </c>
      <c r="B1743" s="267">
        <v>1742</v>
      </c>
      <c r="C1743" s="268" t="s">
        <v>3241</v>
      </c>
      <c r="D1743" s="269">
        <v>42073</v>
      </c>
      <c r="E1743" s="270" t="s">
        <v>3842</v>
      </c>
      <c r="F1743" s="384">
        <v>2145000</v>
      </c>
      <c r="G1743" s="270">
        <v>600124705</v>
      </c>
      <c r="H1743" s="270"/>
    </row>
    <row r="1744" spans="1:8" x14ac:dyDescent="0.25">
      <c r="A1744" s="257">
        <v>1747</v>
      </c>
      <c r="B1744" s="267">
        <v>1743</v>
      </c>
      <c r="C1744" s="268" t="s">
        <v>2773</v>
      </c>
      <c r="D1744" s="269">
        <v>42073</v>
      </c>
      <c r="E1744" s="270" t="s">
        <v>682</v>
      </c>
      <c r="F1744" s="384">
        <v>435000</v>
      </c>
      <c r="G1744" s="270">
        <v>191430862</v>
      </c>
      <c r="H1744" s="270"/>
    </row>
    <row r="1745" spans="1:8" x14ac:dyDescent="0.25">
      <c r="A1745" s="257">
        <v>1748</v>
      </c>
      <c r="B1745" s="267">
        <v>1744</v>
      </c>
      <c r="C1745" s="268" t="s">
        <v>1842</v>
      </c>
      <c r="D1745" s="269">
        <v>42074</v>
      </c>
      <c r="E1745" s="270" t="s">
        <v>1942</v>
      </c>
      <c r="F1745" s="384">
        <v>480000</v>
      </c>
      <c r="G1745" s="270">
        <v>600431321</v>
      </c>
      <c r="H1745" s="270"/>
    </row>
    <row r="1746" spans="1:8" x14ac:dyDescent="0.25">
      <c r="A1746" s="257">
        <v>1749</v>
      </c>
      <c r="B1746" s="267">
        <v>1745</v>
      </c>
      <c r="C1746" s="268" t="s">
        <v>3734</v>
      </c>
      <c r="D1746" s="269">
        <v>42074</v>
      </c>
      <c r="E1746" s="270" t="s">
        <v>2358</v>
      </c>
      <c r="F1746" s="384">
        <v>435000</v>
      </c>
      <c r="G1746" s="270">
        <v>800008903</v>
      </c>
      <c r="H1746" s="270"/>
    </row>
    <row r="1747" spans="1:8" x14ac:dyDescent="0.25">
      <c r="A1747" s="257">
        <v>1750</v>
      </c>
      <c r="B1747" s="267">
        <v>1746</v>
      </c>
      <c r="C1747" s="268" t="s">
        <v>2864</v>
      </c>
      <c r="D1747" s="269">
        <v>42074</v>
      </c>
      <c r="E1747" s="270" t="s">
        <v>2456</v>
      </c>
      <c r="F1747" s="384">
        <v>280000</v>
      </c>
      <c r="G1747" s="270">
        <v>100039768</v>
      </c>
      <c r="H1747" s="270"/>
    </row>
    <row r="1748" spans="1:8" x14ac:dyDescent="0.25">
      <c r="A1748" s="257">
        <v>1751</v>
      </c>
      <c r="B1748" s="267">
        <v>1747</v>
      </c>
      <c r="C1748" s="268" t="s">
        <v>1842</v>
      </c>
      <c r="D1748" s="269">
        <v>42074</v>
      </c>
      <c r="E1748" s="270" t="s">
        <v>1942</v>
      </c>
      <c r="F1748" s="384">
        <v>560000</v>
      </c>
      <c r="G1748" s="270">
        <v>600431321</v>
      </c>
      <c r="H1748" s="270"/>
    </row>
    <row r="1749" spans="1:8" x14ac:dyDescent="0.25">
      <c r="A1749" s="257">
        <v>1752</v>
      </c>
      <c r="B1749" s="267">
        <v>1748</v>
      </c>
      <c r="C1749" s="268" t="s">
        <v>265</v>
      </c>
      <c r="D1749" s="269">
        <v>42075</v>
      </c>
      <c r="E1749" s="270" t="s">
        <v>450</v>
      </c>
      <c r="F1749" s="384">
        <v>155000</v>
      </c>
      <c r="G1749" s="270">
        <v>100468996</v>
      </c>
      <c r="H1749" s="270"/>
    </row>
    <row r="1750" spans="1:8" x14ac:dyDescent="0.25">
      <c r="A1750" s="257">
        <v>1753</v>
      </c>
      <c r="B1750" s="267">
        <v>1749</v>
      </c>
      <c r="C1750" s="268" t="s">
        <v>3757</v>
      </c>
      <c r="D1750" s="269">
        <v>42075</v>
      </c>
      <c r="E1750" s="270" t="s">
        <v>235</v>
      </c>
      <c r="F1750" s="384">
        <v>2235000</v>
      </c>
      <c r="G1750" s="270">
        <v>190080211</v>
      </c>
      <c r="H1750" s="270"/>
    </row>
    <row r="1751" spans="1:8" x14ac:dyDescent="0.25">
      <c r="A1751" s="257">
        <v>1754</v>
      </c>
      <c r="B1751" s="267">
        <v>1750</v>
      </c>
      <c r="C1751" s="268" t="s">
        <v>3311</v>
      </c>
      <c r="D1751" s="269">
        <v>42075</v>
      </c>
      <c r="E1751" s="270" t="s">
        <v>1612</v>
      </c>
      <c r="F1751" s="384">
        <v>240000</v>
      </c>
      <c r="G1751" s="270">
        <v>100320487</v>
      </c>
      <c r="H1751" s="270"/>
    </row>
    <row r="1752" spans="1:8" x14ac:dyDescent="0.25">
      <c r="A1752" s="257">
        <v>1755</v>
      </c>
      <c r="B1752" s="267">
        <v>1751</v>
      </c>
      <c r="C1752" s="268" t="s">
        <v>52</v>
      </c>
      <c r="D1752" s="269">
        <v>42075</v>
      </c>
      <c r="E1752" s="270" t="s">
        <v>2659</v>
      </c>
      <c r="F1752" s="384">
        <v>36000</v>
      </c>
      <c r="G1752" s="270">
        <v>190747005</v>
      </c>
      <c r="H1752" s="270"/>
    </row>
    <row r="1753" spans="1:8" x14ac:dyDescent="0.25">
      <c r="A1753" s="257">
        <v>1756</v>
      </c>
      <c r="B1753" s="267">
        <v>1752</v>
      </c>
      <c r="C1753" s="268" t="s">
        <v>3536</v>
      </c>
      <c r="D1753" s="269">
        <v>42075</v>
      </c>
      <c r="E1753" s="270" t="s">
        <v>2035</v>
      </c>
      <c r="F1753" s="384">
        <v>840000</v>
      </c>
      <c r="G1753" s="270">
        <v>691529865</v>
      </c>
      <c r="H1753" s="270"/>
    </row>
    <row r="1754" spans="1:8" x14ac:dyDescent="0.25">
      <c r="A1754" s="257">
        <v>1757</v>
      </c>
      <c r="B1754" s="267">
        <v>1753</v>
      </c>
      <c r="C1754" s="268" t="s">
        <v>850</v>
      </c>
      <c r="D1754" s="269">
        <v>42075</v>
      </c>
      <c r="E1754" s="270" t="s">
        <v>3260</v>
      </c>
      <c r="F1754" s="384">
        <v>155000</v>
      </c>
      <c r="G1754" s="270">
        <v>690606064</v>
      </c>
      <c r="H1754" s="270"/>
    </row>
    <row r="1755" spans="1:8" x14ac:dyDescent="0.25">
      <c r="A1755" s="257">
        <v>1758</v>
      </c>
      <c r="B1755" s="267">
        <v>1754</v>
      </c>
      <c r="C1755" s="268" t="s">
        <v>7</v>
      </c>
      <c r="D1755" s="269">
        <v>42075</v>
      </c>
      <c r="E1755" s="270" t="s">
        <v>2101</v>
      </c>
      <c r="F1755" s="384">
        <v>560000</v>
      </c>
      <c r="G1755" s="270">
        <v>691527701</v>
      </c>
      <c r="H1755" s="270"/>
    </row>
    <row r="1756" spans="1:8" x14ac:dyDescent="0.25">
      <c r="A1756" s="257">
        <v>1759</v>
      </c>
      <c r="B1756" s="267">
        <v>1755</v>
      </c>
      <c r="C1756" s="268" t="s">
        <v>949</v>
      </c>
      <c r="D1756" s="269">
        <v>42075</v>
      </c>
      <c r="E1756" s="270" t="s">
        <v>3772</v>
      </c>
      <c r="F1756" s="384">
        <v>36000</v>
      </c>
      <c r="G1756" s="270">
        <v>601070251</v>
      </c>
      <c r="H1756" s="270"/>
    </row>
    <row r="1757" spans="1:8" x14ac:dyDescent="0.25">
      <c r="A1757" s="257">
        <v>1760</v>
      </c>
      <c r="B1757" s="267">
        <v>1756</v>
      </c>
      <c r="C1757" s="268" t="s">
        <v>1610</v>
      </c>
      <c r="D1757" s="269">
        <v>42075</v>
      </c>
      <c r="E1757" s="270" t="s">
        <v>2878</v>
      </c>
      <c r="F1757" s="384">
        <v>435000</v>
      </c>
      <c r="G1757" s="270">
        <v>191883502</v>
      </c>
      <c r="H1757" s="270"/>
    </row>
    <row r="1758" spans="1:8" x14ac:dyDescent="0.25">
      <c r="A1758" s="257">
        <v>1761</v>
      </c>
      <c r="B1758" s="267">
        <v>1757</v>
      </c>
      <c r="C1758" s="268" t="s">
        <v>2835</v>
      </c>
      <c r="D1758" s="269">
        <v>42076</v>
      </c>
      <c r="E1758" s="270" t="s">
        <v>2890</v>
      </c>
      <c r="F1758" s="384">
        <v>116000</v>
      </c>
      <c r="G1758" s="270">
        <v>690367172</v>
      </c>
      <c r="H1758" s="270"/>
    </row>
    <row r="1759" spans="1:8" x14ac:dyDescent="0.25">
      <c r="A1759" s="257">
        <v>1762</v>
      </c>
      <c r="B1759" s="267">
        <v>1758</v>
      </c>
      <c r="C1759" s="268" t="s">
        <v>2835</v>
      </c>
      <c r="D1759" s="269">
        <v>42076</v>
      </c>
      <c r="E1759" s="270" t="s">
        <v>2890</v>
      </c>
      <c r="F1759" s="384">
        <v>129000</v>
      </c>
      <c r="G1759" s="270">
        <v>690367172</v>
      </c>
      <c r="H1759" s="270"/>
    </row>
    <row r="1760" spans="1:8" x14ac:dyDescent="0.25">
      <c r="A1760" s="257">
        <v>1763</v>
      </c>
      <c r="B1760" s="267">
        <v>1759</v>
      </c>
      <c r="C1760" s="268" t="s">
        <v>866</v>
      </c>
      <c r="D1760" s="269">
        <v>42076</v>
      </c>
      <c r="E1760" s="270" t="s">
        <v>1912</v>
      </c>
      <c r="F1760" s="384">
        <v>280000</v>
      </c>
      <c r="G1760" s="270">
        <v>690633402</v>
      </c>
      <c r="H1760" s="270"/>
    </row>
    <row r="1761" spans="1:8" x14ac:dyDescent="0.25">
      <c r="A1761" s="257">
        <v>1764</v>
      </c>
      <c r="B1761" s="267">
        <v>1760</v>
      </c>
      <c r="C1761" s="268" t="s">
        <v>327</v>
      </c>
      <c r="D1761" s="269">
        <v>42076</v>
      </c>
      <c r="E1761" s="270" t="s">
        <v>516</v>
      </c>
      <c r="F1761" s="384">
        <v>870000</v>
      </c>
      <c r="G1761" s="270">
        <v>691591762</v>
      </c>
      <c r="H1761" s="270"/>
    </row>
    <row r="1762" spans="1:8" x14ac:dyDescent="0.25">
      <c r="A1762" s="257">
        <v>1765</v>
      </c>
      <c r="B1762" s="267">
        <v>1761</v>
      </c>
      <c r="C1762" s="268" t="s">
        <v>963</v>
      </c>
      <c r="D1762" s="269">
        <v>42076</v>
      </c>
      <c r="E1762" s="270" t="s">
        <v>890</v>
      </c>
      <c r="F1762" s="384">
        <v>63000</v>
      </c>
      <c r="G1762" s="270">
        <v>190774241</v>
      </c>
      <c r="H1762" s="270"/>
    </row>
    <row r="1763" spans="1:8" x14ac:dyDescent="0.25">
      <c r="A1763" s="257">
        <v>1766</v>
      </c>
      <c r="B1763" s="267">
        <v>1762</v>
      </c>
      <c r="C1763" s="268" t="s">
        <v>1842</v>
      </c>
      <c r="D1763" s="269">
        <v>42076</v>
      </c>
      <c r="E1763" s="270" t="s">
        <v>1942</v>
      </c>
      <c r="F1763" s="384">
        <v>67000</v>
      </c>
      <c r="G1763" s="270">
        <v>600431321</v>
      </c>
      <c r="H1763" s="270"/>
    </row>
    <row r="1764" spans="1:8" x14ac:dyDescent="0.25">
      <c r="A1764" s="257">
        <v>1767</v>
      </c>
      <c r="B1764" s="267">
        <v>1763</v>
      </c>
      <c r="C1764" s="268" t="s">
        <v>2835</v>
      </c>
      <c r="D1764" s="269">
        <v>42076</v>
      </c>
      <c r="E1764" s="270" t="s">
        <v>2890</v>
      </c>
      <c r="F1764" s="384">
        <v>63000</v>
      </c>
      <c r="G1764" s="270">
        <v>690367172</v>
      </c>
      <c r="H1764" s="270"/>
    </row>
    <row r="1765" spans="1:8" x14ac:dyDescent="0.25">
      <c r="A1765" s="257">
        <v>1768</v>
      </c>
      <c r="B1765" s="267">
        <v>1764</v>
      </c>
      <c r="C1765" s="268" t="s">
        <v>315</v>
      </c>
      <c r="D1765" s="269">
        <v>42079</v>
      </c>
      <c r="E1765" s="270" t="s">
        <v>3862</v>
      </c>
      <c r="F1765" s="384">
        <v>198000</v>
      </c>
      <c r="G1765" s="270">
        <v>601058802</v>
      </c>
      <c r="H1765" s="270"/>
    </row>
    <row r="1766" spans="1:8" x14ac:dyDescent="0.25">
      <c r="A1766" s="257">
        <v>1769</v>
      </c>
      <c r="B1766" s="267">
        <v>1765</v>
      </c>
      <c r="C1766" s="268" t="s">
        <v>3568</v>
      </c>
      <c r="D1766" s="269">
        <v>42079</v>
      </c>
      <c r="E1766" s="270" t="s">
        <v>3548</v>
      </c>
      <c r="F1766" s="384">
        <v>280000</v>
      </c>
      <c r="G1766" s="270">
        <v>100192928</v>
      </c>
      <c r="H1766" s="270"/>
    </row>
    <row r="1767" spans="1:8" x14ac:dyDescent="0.25">
      <c r="A1767" s="257">
        <v>1770</v>
      </c>
      <c r="B1767" s="267">
        <v>1766</v>
      </c>
      <c r="C1767" s="268" t="s">
        <v>1021</v>
      </c>
      <c r="D1767" s="269">
        <v>42080</v>
      </c>
      <c r="E1767" s="270" t="s">
        <v>320</v>
      </c>
      <c r="F1767" s="384">
        <v>280000</v>
      </c>
      <c r="G1767" s="270">
        <v>690831296</v>
      </c>
      <c r="H1767" s="270"/>
    </row>
    <row r="1768" spans="1:8" x14ac:dyDescent="0.25">
      <c r="A1768" s="257">
        <v>1771</v>
      </c>
      <c r="B1768" s="267">
        <v>1767</v>
      </c>
      <c r="C1768" s="268" t="s">
        <v>2835</v>
      </c>
      <c r="D1768" s="269">
        <v>42080</v>
      </c>
      <c r="E1768" s="270" t="s">
        <v>2890</v>
      </c>
      <c r="F1768" s="384">
        <v>63000</v>
      </c>
      <c r="G1768" s="270">
        <v>690367172</v>
      </c>
      <c r="H1768" s="270"/>
    </row>
    <row r="1769" spans="1:8" x14ac:dyDescent="0.25">
      <c r="A1769" s="257">
        <v>1772</v>
      </c>
      <c r="B1769" s="267">
        <v>1768</v>
      </c>
      <c r="C1769" s="268" t="s">
        <v>3734</v>
      </c>
      <c r="D1769" s="269">
        <v>42080</v>
      </c>
      <c r="E1769" s="270" t="s">
        <v>2358</v>
      </c>
      <c r="F1769" s="384">
        <v>280000</v>
      </c>
      <c r="G1769" s="270">
        <v>800008903</v>
      </c>
      <c r="H1769" s="270"/>
    </row>
    <row r="1770" spans="1:8" x14ac:dyDescent="0.25">
      <c r="A1770" s="257">
        <v>1773</v>
      </c>
      <c r="B1770" s="267">
        <v>1769</v>
      </c>
      <c r="C1770" s="268" t="s">
        <v>3286</v>
      </c>
      <c r="D1770" s="269">
        <v>42081</v>
      </c>
      <c r="E1770" s="270" t="s">
        <v>2732</v>
      </c>
      <c r="F1770" s="384">
        <v>155000</v>
      </c>
      <c r="G1770" s="270">
        <v>600364254</v>
      </c>
      <c r="H1770" s="270"/>
    </row>
    <row r="1771" spans="1:8" x14ac:dyDescent="0.25">
      <c r="A1771" s="257">
        <v>1774</v>
      </c>
      <c r="B1771" s="267">
        <v>1770</v>
      </c>
      <c r="C1771" s="268" t="s">
        <v>833</v>
      </c>
      <c r="D1771" s="269">
        <v>42081</v>
      </c>
      <c r="E1771" s="270" t="s">
        <v>703</v>
      </c>
      <c r="F1771" s="384">
        <v>280000</v>
      </c>
      <c r="G1771" s="270">
        <v>690616622</v>
      </c>
      <c r="H1771" s="270"/>
    </row>
    <row r="1772" spans="1:8" x14ac:dyDescent="0.25">
      <c r="A1772" s="257">
        <v>1775</v>
      </c>
      <c r="B1772" s="267">
        <v>1771</v>
      </c>
      <c r="C1772" s="268" t="s">
        <v>850</v>
      </c>
      <c r="D1772" s="269">
        <v>42081</v>
      </c>
      <c r="E1772" s="270" t="s">
        <v>3260</v>
      </c>
      <c r="F1772" s="384">
        <v>155000</v>
      </c>
      <c r="G1772" s="270">
        <v>690606064</v>
      </c>
      <c r="H1772" s="270"/>
    </row>
    <row r="1773" spans="1:8" x14ac:dyDescent="0.25">
      <c r="A1773" s="257">
        <v>1776</v>
      </c>
      <c r="B1773" s="267">
        <v>1772</v>
      </c>
      <c r="C1773" s="268" t="s">
        <v>451</v>
      </c>
      <c r="D1773" s="269">
        <v>42081</v>
      </c>
      <c r="E1773" s="270" t="s">
        <v>527</v>
      </c>
      <c r="F1773" s="384">
        <v>240000</v>
      </c>
      <c r="G1773" s="270">
        <v>100626241</v>
      </c>
      <c r="H1773" s="270"/>
    </row>
    <row r="1774" spans="1:8" x14ac:dyDescent="0.25">
      <c r="A1774" s="257">
        <v>1777</v>
      </c>
      <c r="B1774" s="267">
        <v>1773</v>
      </c>
      <c r="C1774" s="268" t="s">
        <v>3302</v>
      </c>
      <c r="D1774" s="269">
        <v>42082</v>
      </c>
      <c r="E1774" s="270" t="s">
        <v>1529</v>
      </c>
      <c r="F1774" s="384">
        <v>280000</v>
      </c>
      <c r="G1774" s="270">
        <v>600125079</v>
      </c>
      <c r="H1774" s="270"/>
    </row>
    <row r="1775" spans="1:8" x14ac:dyDescent="0.25">
      <c r="A1775" s="257">
        <v>1778</v>
      </c>
      <c r="B1775" s="267">
        <v>1774</v>
      </c>
      <c r="C1775" s="268" t="s">
        <v>2867</v>
      </c>
      <c r="D1775" s="269">
        <v>42082</v>
      </c>
      <c r="E1775" s="270" t="s">
        <v>3318</v>
      </c>
      <c r="F1775" s="384">
        <v>435000</v>
      </c>
      <c r="G1775" s="270">
        <v>190583578</v>
      </c>
      <c r="H1775" s="270"/>
    </row>
    <row r="1776" spans="1:8" x14ac:dyDescent="0.25">
      <c r="A1776" s="257">
        <v>1779</v>
      </c>
      <c r="B1776" s="267">
        <v>1775</v>
      </c>
      <c r="C1776" s="268" t="s">
        <v>947</v>
      </c>
      <c r="D1776" s="269">
        <v>42082</v>
      </c>
      <c r="E1776" s="270" t="s">
        <v>3747</v>
      </c>
      <c r="F1776" s="384">
        <v>280000</v>
      </c>
      <c r="G1776" s="270">
        <v>100071593</v>
      </c>
      <c r="H1776" s="270"/>
    </row>
    <row r="1777" spans="1:8" x14ac:dyDescent="0.25">
      <c r="A1777" s="257">
        <v>1780</v>
      </c>
      <c r="B1777" s="267">
        <v>1776</v>
      </c>
      <c r="C1777" s="268" t="s">
        <v>2835</v>
      </c>
      <c r="D1777" s="269">
        <v>42082</v>
      </c>
      <c r="E1777" s="270" t="s">
        <v>2890</v>
      </c>
      <c r="F1777" s="384">
        <v>160000</v>
      </c>
      <c r="G1777" s="270">
        <v>690367172</v>
      </c>
      <c r="H1777" s="270"/>
    </row>
    <row r="1778" spans="1:8" x14ac:dyDescent="0.25">
      <c r="A1778" s="257">
        <v>1781</v>
      </c>
      <c r="B1778" s="267">
        <v>1777</v>
      </c>
      <c r="C1778" s="268" t="s">
        <v>135</v>
      </c>
      <c r="D1778" s="269">
        <v>42082</v>
      </c>
      <c r="E1778" s="270" t="s">
        <v>4183</v>
      </c>
      <c r="F1778" s="384">
        <v>435000</v>
      </c>
      <c r="G1778" s="270">
        <v>691061027</v>
      </c>
      <c r="H1778" s="270"/>
    </row>
    <row r="1779" spans="1:8" x14ac:dyDescent="0.25">
      <c r="A1779" s="257">
        <v>1782</v>
      </c>
      <c r="B1779" s="267">
        <v>1778</v>
      </c>
      <c r="C1779" s="268" t="s">
        <v>3658</v>
      </c>
      <c r="D1779" s="269">
        <v>42083</v>
      </c>
      <c r="E1779" s="270" t="s">
        <v>3552</v>
      </c>
      <c r="F1779" s="384">
        <v>280000</v>
      </c>
      <c r="G1779" s="270">
        <v>191569368</v>
      </c>
      <c r="H1779" s="270"/>
    </row>
    <row r="1780" spans="1:8" x14ac:dyDescent="0.25">
      <c r="A1780" s="257">
        <v>1783</v>
      </c>
      <c r="B1780" s="267">
        <v>1779</v>
      </c>
      <c r="C1780" s="268" t="s">
        <v>3658</v>
      </c>
      <c r="D1780" s="269">
        <v>42083</v>
      </c>
      <c r="E1780" s="270" t="s">
        <v>3552</v>
      </c>
      <c r="F1780" s="384">
        <v>280000</v>
      </c>
      <c r="G1780" s="270">
        <v>191569368</v>
      </c>
      <c r="H1780" s="270"/>
    </row>
    <row r="1781" spans="1:8" x14ac:dyDescent="0.25">
      <c r="A1781" s="257">
        <v>1784</v>
      </c>
      <c r="B1781" s="267">
        <v>1780</v>
      </c>
      <c r="C1781" s="268" t="s">
        <v>3636</v>
      </c>
      <c r="D1781" s="269">
        <v>42083</v>
      </c>
      <c r="E1781" s="270" t="s">
        <v>3650</v>
      </c>
      <c r="F1781" s="384">
        <v>160000</v>
      </c>
      <c r="G1781" s="270">
        <v>600204179</v>
      </c>
      <c r="H1781" s="270"/>
    </row>
    <row r="1782" spans="1:8" x14ac:dyDescent="0.25">
      <c r="A1782" s="257">
        <v>1785</v>
      </c>
      <c r="B1782" s="267">
        <v>1781</v>
      </c>
      <c r="C1782" s="268" t="s">
        <v>2812</v>
      </c>
      <c r="D1782" s="269">
        <v>42085</v>
      </c>
      <c r="E1782" s="270" t="s">
        <v>990</v>
      </c>
      <c r="F1782" s="384">
        <v>165000</v>
      </c>
      <c r="G1782" s="270">
        <v>0</v>
      </c>
      <c r="H1782" s="270"/>
    </row>
    <row r="1783" spans="1:8" x14ac:dyDescent="0.25">
      <c r="A1783" s="257">
        <v>1786</v>
      </c>
      <c r="B1783" s="267">
        <v>1782</v>
      </c>
      <c r="C1783" s="268" t="s">
        <v>2714</v>
      </c>
      <c r="D1783" s="269">
        <v>42086</v>
      </c>
      <c r="E1783" s="270" t="s">
        <v>3228</v>
      </c>
      <c r="F1783" s="384">
        <v>590000</v>
      </c>
      <c r="G1783" s="270">
        <v>100025653</v>
      </c>
      <c r="H1783" s="270"/>
    </row>
    <row r="1784" spans="1:8" x14ac:dyDescent="0.25">
      <c r="A1784" s="257">
        <v>1787</v>
      </c>
      <c r="B1784" s="267">
        <v>1783</v>
      </c>
      <c r="C1784" s="268" t="s">
        <v>2645</v>
      </c>
      <c r="D1784" s="269">
        <v>42086</v>
      </c>
      <c r="E1784" s="270" t="s">
        <v>239</v>
      </c>
      <c r="F1784" s="384">
        <v>1305000</v>
      </c>
      <c r="G1784" s="270">
        <v>101139097</v>
      </c>
      <c r="H1784" s="270"/>
    </row>
    <row r="1785" spans="1:8" x14ac:dyDescent="0.25">
      <c r="A1785" s="257">
        <v>1788</v>
      </c>
      <c r="B1785" s="267">
        <v>1784</v>
      </c>
      <c r="C1785" s="268" t="s">
        <v>3126</v>
      </c>
      <c r="D1785" s="269">
        <v>42086</v>
      </c>
      <c r="E1785" s="270" t="s">
        <v>2409</v>
      </c>
      <c r="F1785" s="384">
        <v>155000</v>
      </c>
      <c r="G1785" s="270">
        <v>691464441</v>
      </c>
      <c r="H1785" s="270"/>
    </row>
    <row r="1786" spans="1:8" x14ac:dyDescent="0.25">
      <c r="A1786" s="257">
        <v>1789</v>
      </c>
      <c r="B1786" s="267">
        <v>1785</v>
      </c>
      <c r="C1786" s="268" t="s">
        <v>3773</v>
      </c>
      <c r="D1786" s="269">
        <v>42086</v>
      </c>
      <c r="E1786" s="270" t="s">
        <v>2415</v>
      </c>
      <c r="F1786" s="384">
        <v>435000</v>
      </c>
      <c r="G1786" s="270">
        <v>100315341</v>
      </c>
      <c r="H1786" s="270"/>
    </row>
    <row r="1787" spans="1:8" x14ac:dyDescent="0.25">
      <c r="A1787" s="257">
        <v>1790</v>
      </c>
      <c r="B1787" s="267">
        <v>1786</v>
      </c>
      <c r="C1787" s="268" t="s">
        <v>2146</v>
      </c>
      <c r="D1787" s="269">
        <v>42086</v>
      </c>
      <c r="E1787" s="270" t="s">
        <v>1614</v>
      </c>
      <c r="F1787" s="384">
        <v>165000</v>
      </c>
      <c r="G1787" s="270">
        <v>192140505</v>
      </c>
      <c r="H1787" s="270"/>
    </row>
    <row r="1788" spans="1:8" x14ac:dyDescent="0.25">
      <c r="A1788" s="257">
        <v>1791</v>
      </c>
      <c r="B1788" s="267">
        <v>1787</v>
      </c>
      <c r="C1788" s="268" t="s">
        <v>802</v>
      </c>
      <c r="D1788" s="269">
        <v>42086</v>
      </c>
      <c r="E1788" s="270" t="s">
        <v>1641</v>
      </c>
      <c r="F1788" s="384">
        <v>4965000</v>
      </c>
      <c r="G1788" s="270">
        <v>100135464</v>
      </c>
      <c r="H1788" s="270"/>
    </row>
    <row r="1789" spans="1:8" x14ac:dyDescent="0.25">
      <c r="A1789" s="257">
        <v>1792</v>
      </c>
      <c r="B1789" s="267">
        <v>1788</v>
      </c>
      <c r="C1789" s="268" t="s">
        <v>2684</v>
      </c>
      <c r="D1789" s="269">
        <v>42086</v>
      </c>
      <c r="E1789" s="270" t="s">
        <v>2805</v>
      </c>
      <c r="F1789" s="384">
        <v>198000</v>
      </c>
      <c r="G1789" s="270">
        <v>101107946</v>
      </c>
      <c r="H1789" s="270"/>
    </row>
    <row r="1790" spans="1:8" x14ac:dyDescent="0.25">
      <c r="A1790" s="257">
        <v>1793</v>
      </c>
      <c r="B1790" s="267">
        <v>1789</v>
      </c>
      <c r="C1790" s="268" t="s">
        <v>2835</v>
      </c>
      <c r="D1790" s="269">
        <v>42086</v>
      </c>
      <c r="E1790" s="270" t="s">
        <v>2890</v>
      </c>
      <c r="F1790" s="384">
        <v>63000</v>
      </c>
      <c r="G1790" s="270">
        <v>690367172</v>
      </c>
      <c r="H1790" s="270"/>
    </row>
    <row r="1791" spans="1:8" x14ac:dyDescent="0.25">
      <c r="A1791" s="257">
        <v>1794</v>
      </c>
      <c r="B1791" s="267">
        <v>1790</v>
      </c>
      <c r="C1791" s="268" t="s">
        <v>354</v>
      </c>
      <c r="D1791" s="269">
        <v>42086</v>
      </c>
      <c r="E1791" s="270" t="s">
        <v>3497</v>
      </c>
      <c r="F1791" s="384">
        <v>213000</v>
      </c>
      <c r="G1791" s="270">
        <v>691389732</v>
      </c>
      <c r="H1791" s="270"/>
    </row>
    <row r="1792" spans="1:8" x14ac:dyDescent="0.25">
      <c r="A1792" s="257">
        <v>1795</v>
      </c>
      <c r="B1792" s="267">
        <v>1791</v>
      </c>
      <c r="C1792" s="268" t="s">
        <v>2869</v>
      </c>
      <c r="D1792" s="269">
        <v>42086</v>
      </c>
      <c r="E1792" s="270" t="s">
        <v>970</v>
      </c>
      <c r="F1792" s="384">
        <v>465000</v>
      </c>
      <c r="G1792" s="270">
        <v>590779700</v>
      </c>
      <c r="H1792" s="270"/>
    </row>
    <row r="1793" spans="1:8" x14ac:dyDescent="0.25">
      <c r="A1793" s="257">
        <v>1796</v>
      </c>
      <c r="B1793" s="267">
        <v>1792</v>
      </c>
      <c r="C1793" s="268" t="s">
        <v>3138</v>
      </c>
      <c r="D1793" s="269">
        <v>42087</v>
      </c>
      <c r="E1793" s="270" t="s">
        <v>3775</v>
      </c>
      <c r="F1793" s="384">
        <v>533000</v>
      </c>
      <c r="G1793" s="270">
        <v>191694219</v>
      </c>
      <c r="H1793" s="270"/>
    </row>
    <row r="1794" spans="1:8" x14ac:dyDescent="0.25">
      <c r="A1794" s="257">
        <v>1797</v>
      </c>
      <c r="B1794" s="267">
        <v>1793</v>
      </c>
      <c r="C1794" s="268" t="s">
        <v>1909</v>
      </c>
      <c r="D1794" s="269">
        <v>42087</v>
      </c>
      <c r="E1794" s="270" t="s">
        <v>2759</v>
      </c>
      <c r="F1794" s="384">
        <v>67000</v>
      </c>
      <c r="G1794" s="270">
        <v>691784176</v>
      </c>
      <c r="H1794" s="270"/>
    </row>
    <row r="1795" spans="1:8" x14ac:dyDescent="0.25">
      <c r="A1795" s="257">
        <v>1798</v>
      </c>
      <c r="B1795" s="267">
        <v>1794</v>
      </c>
      <c r="C1795" s="268" t="s">
        <v>2406</v>
      </c>
      <c r="D1795" s="269">
        <v>42088</v>
      </c>
      <c r="E1795" s="270" t="s">
        <v>687</v>
      </c>
      <c r="F1795" s="384">
        <v>280000</v>
      </c>
      <c r="G1795" s="270">
        <v>690699297</v>
      </c>
      <c r="H1795" s="270"/>
    </row>
    <row r="1796" spans="1:8" x14ac:dyDescent="0.25">
      <c r="A1796" s="257">
        <v>1799</v>
      </c>
      <c r="B1796" s="267">
        <v>1795</v>
      </c>
      <c r="C1796" s="268" t="s">
        <v>2864</v>
      </c>
      <c r="D1796" s="269">
        <v>42088</v>
      </c>
      <c r="E1796" s="270" t="s">
        <v>2456</v>
      </c>
      <c r="F1796" s="384">
        <v>198000</v>
      </c>
      <c r="G1796" s="270">
        <v>100039768</v>
      </c>
      <c r="H1796" s="270"/>
    </row>
    <row r="1797" spans="1:8" x14ac:dyDescent="0.25">
      <c r="A1797" s="257">
        <v>1800</v>
      </c>
      <c r="B1797" s="267">
        <v>1796</v>
      </c>
      <c r="C1797" s="268" t="s">
        <v>318</v>
      </c>
      <c r="D1797" s="269">
        <v>42088</v>
      </c>
      <c r="E1797" s="270" t="s">
        <v>4226</v>
      </c>
      <c r="F1797" s="384">
        <v>198000</v>
      </c>
      <c r="G1797" s="270">
        <v>191112043</v>
      </c>
      <c r="H1797" s="270"/>
    </row>
    <row r="1798" spans="1:8" x14ac:dyDescent="0.25">
      <c r="A1798" s="257">
        <v>1801</v>
      </c>
      <c r="B1798" s="267">
        <v>1797</v>
      </c>
      <c r="C1798" s="268" t="s">
        <v>458</v>
      </c>
      <c r="D1798" s="269">
        <v>42088</v>
      </c>
      <c r="E1798" s="270" t="s">
        <v>687</v>
      </c>
      <c r="F1798" s="384">
        <v>31000</v>
      </c>
      <c r="G1798" s="270">
        <v>690699297</v>
      </c>
      <c r="H1798" s="270"/>
    </row>
    <row r="1799" spans="1:8" x14ac:dyDescent="0.25">
      <c r="A1799" s="257">
        <v>1802</v>
      </c>
      <c r="B1799" s="267">
        <v>1798</v>
      </c>
      <c r="C1799" s="268" t="s">
        <v>1525</v>
      </c>
      <c r="D1799" s="269">
        <v>42088</v>
      </c>
      <c r="E1799" s="270" t="s">
        <v>1005</v>
      </c>
      <c r="F1799" s="384">
        <v>300000</v>
      </c>
      <c r="G1799" s="270">
        <v>101116081</v>
      </c>
      <c r="H1799" s="270"/>
    </row>
    <row r="1800" spans="1:8" x14ac:dyDescent="0.25">
      <c r="A1800" s="257">
        <v>1803</v>
      </c>
      <c r="B1800" s="267">
        <v>1799</v>
      </c>
      <c r="C1800" s="268" t="s">
        <v>850</v>
      </c>
      <c r="D1800" s="269">
        <v>42088</v>
      </c>
      <c r="E1800" s="270" t="s">
        <v>3260</v>
      </c>
      <c r="F1800" s="384">
        <v>155000</v>
      </c>
      <c r="G1800" s="270">
        <v>690606064</v>
      </c>
      <c r="H1800" s="270"/>
    </row>
    <row r="1801" spans="1:8" x14ac:dyDescent="0.25">
      <c r="A1801" s="257">
        <v>1804</v>
      </c>
      <c r="B1801" s="267">
        <v>1800</v>
      </c>
      <c r="C1801" s="268" t="s">
        <v>1928</v>
      </c>
      <c r="D1801" s="269">
        <v>42088</v>
      </c>
      <c r="E1801" s="270" t="s">
        <v>2801</v>
      </c>
      <c r="F1801" s="384">
        <v>160000</v>
      </c>
      <c r="G1801" s="270">
        <v>190334745</v>
      </c>
      <c r="H1801" s="270"/>
    </row>
    <row r="1802" spans="1:8" x14ac:dyDescent="0.25">
      <c r="A1802" s="257">
        <v>1805</v>
      </c>
      <c r="B1802" s="267">
        <v>1801</v>
      </c>
      <c r="C1802" s="268" t="s">
        <v>2963</v>
      </c>
      <c r="D1802" s="269">
        <v>42089</v>
      </c>
      <c r="E1802" s="270" t="s">
        <v>220</v>
      </c>
      <c r="F1802" s="384">
        <v>478000</v>
      </c>
      <c r="G1802" s="270">
        <v>100230496</v>
      </c>
      <c r="H1802" s="270"/>
    </row>
    <row r="1803" spans="1:8" x14ac:dyDescent="0.25">
      <c r="A1803" s="257">
        <v>1806</v>
      </c>
      <c r="B1803" s="267">
        <v>1802</v>
      </c>
      <c r="C1803" s="268" t="s">
        <v>3776</v>
      </c>
      <c r="D1803" s="269">
        <v>42089</v>
      </c>
      <c r="E1803" s="270" t="s">
        <v>182</v>
      </c>
      <c r="F1803" s="384">
        <v>435000</v>
      </c>
      <c r="G1803" s="270">
        <v>190113200</v>
      </c>
      <c r="H1803" s="270"/>
    </row>
    <row r="1804" spans="1:8" x14ac:dyDescent="0.25">
      <c r="A1804" s="257">
        <v>1807</v>
      </c>
      <c r="B1804" s="267">
        <v>1803</v>
      </c>
      <c r="C1804" s="268" t="s">
        <v>2823</v>
      </c>
      <c r="D1804" s="269">
        <v>42089</v>
      </c>
      <c r="E1804" s="270" t="s">
        <v>218</v>
      </c>
      <c r="F1804" s="384">
        <v>280000</v>
      </c>
      <c r="G1804" s="270">
        <v>690618852</v>
      </c>
      <c r="H1804" s="270"/>
    </row>
    <row r="1805" spans="1:8" x14ac:dyDescent="0.25">
      <c r="A1805" s="257">
        <v>1808</v>
      </c>
      <c r="B1805" s="267">
        <v>1804</v>
      </c>
      <c r="C1805" s="268" t="s">
        <v>318</v>
      </c>
      <c r="D1805" s="269">
        <v>42089</v>
      </c>
      <c r="E1805" s="270" t="s">
        <v>4226</v>
      </c>
      <c r="F1805" s="384">
        <v>30000</v>
      </c>
      <c r="G1805" s="270">
        <v>191112043</v>
      </c>
      <c r="H1805" s="270"/>
    </row>
    <row r="1806" spans="1:8" x14ac:dyDescent="0.25">
      <c r="A1806" s="257">
        <v>1809</v>
      </c>
      <c r="B1806" s="267">
        <v>1805</v>
      </c>
      <c r="C1806" s="268" t="s">
        <v>196</v>
      </c>
      <c r="D1806" s="269">
        <v>42089</v>
      </c>
      <c r="E1806" s="270" t="s">
        <v>2717</v>
      </c>
      <c r="F1806" s="384">
        <v>435000</v>
      </c>
      <c r="G1806" s="270">
        <v>101538513</v>
      </c>
      <c r="H1806" s="270"/>
    </row>
    <row r="1807" spans="1:8" x14ac:dyDescent="0.25">
      <c r="A1807" s="257">
        <v>1810</v>
      </c>
      <c r="B1807" s="267">
        <v>1806</v>
      </c>
      <c r="C1807" s="268" t="s">
        <v>1918</v>
      </c>
      <c r="D1807" s="269">
        <v>42089</v>
      </c>
      <c r="E1807" s="270" t="s">
        <v>1607</v>
      </c>
      <c r="F1807" s="384">
        <v>155000</v>
      </c>
      <c r="G1807" s="270">
        <v>690643672</v>
      </c>
      <c r="H1807" s="270"/>
    </row>
    <row r="1808" spans="1:8" x14ac:dyDescent="0.25">
      <c r="A1808" s="257">
        <v>1811</v>
      </c>
      <c r="B1808" s="267">
        <v>1807</v>
      </c>
      <c r="C1808" s="268" t="s">
        <v>2722</v>
      </c>
      <c r="D1808" s="269">
        <v>42089</v>
      </c>
      <c r="E1808" s="270" t="s">
        <v>382</v>
      </c>
      <c r="F1808" s="384">
        <v>240000</v>
      </c>
      <c r="G1808" s="270">
        <v>100265715</v>
      </c>
      <c r="H1808" s="270"/>
    </row>
    <row r="1809" spans="1:8" x14ac:dyDescent="0.25">
      <c r="A1809" s="257">
        <v>1812</v>
      </c>
      <c r="B1809" s="267">
        <v>1808</v>
      </c>
      <c r="C1809" s="268" t="s">
        <v>2812</v>
      </c>
      <c r="D1809" s="269">
        <v>42089</v>
      </c>
      <c r="E1809" s="270" t="s">
        <v>990</v>
      </c>
      <c r="F1809" s="384">
        <v>31000</v>
      </c>
      <c r="G1809" s="270">
        <v>0</v>
      </c>
      <c r="H1809" s="270"/>
    </row>
    <row r="1810" spans="1:8" x14ac:dyDescent="0.25">
      <c r="A1810" s="257">
        <v>1813</v>
      </c>
      <c r="B1810" s="267">
        <v>1809</v>
      </c>
      <c r="C1810" s="268" t="s">
        <v>724</v>
      </c>
      <c r="D1810" s="269">
        <v>42090</v>
      </c>
      <c r="E1810" s="270" t="s">
        <v>1000</v>
      </c>
      <c r="F1810" s="384">
        <v>198000</v>
      </c>
      <c r="G1810" s="270">
        <v>808000410</v>
      </c>
      <c r="H1810" s="270"/>
    </row>
    <row r="1811" spans="1:8" x14ac:dyDescent="0.25">
      <c r="A1811" s="257">
        <v>1814</v>
      </c>
      <c r="B1811" s="267">
        <v>1810</v>
      </c>
      <c r="C1811" s="268" t="s">
        <v>1910</v>
      </c>
      <c r="D1811" s="269">
        <v>42090</v>
      </c>
      <c r="E1811" s="270" t="s">
        <v>2609</v>
      </c>
      <c r="F1811" s="384">
        <v>240000</v>
      </c>
      <c r="G1811" s="270">
        <v>190549048</v>
      </c>
      <c r="H1811" s="270"/>
    </row>
    <row r="1812" spans="1:8" x14ac:dyDescent="0.25">
      <c r="A1812" s="257">
        <v>1815</v>
      </c>
      <c r="B1812" s="267">
        <v>1811</v>
      </c>
      <c r="C1812" s="268" t="s">
        <v>3216</v>
      </c>
      <c r="D1812" s="269">
        <v>42090</v>
      </c>
      <c r="E1812" s="270" t="s">
        <v>1644</v>
      </c>
      <c r="F1812" s="384">
        <v>1400000</v>
      </c>
      <c r="G1812" s="270">
        <v>100315288</v>
      </c>
      <c r="H1812" s="270"/>
    </row>
    <row r="1813" spans="1:8" x14ac:dyDescent="0.25">
      <c r="A1813" s="257">
        <v>1816</v>
      </c>
      <c r="B1813" s="267">
        <v>1812</v>
      </c>
      <c r="C1813" s="268" t="s">
        <v>1658</v>
      </c>
      <c r="D1813" s="269">
        <v>42090</v>
      </c>
      <c r="E1813" s="270" t="s">
        <v>825</v>
      </c>
      <c r="F1813" s="384">
        <v>435000</v>
      </c>
      <c r="G1813" s="270">
        <v>100951254</v>
      </c>
      <c r="H1813" s="270"/>
    </row>
    <row r="1814" spans="1:8" x14ac:dyDescent="0.25">
      <c r="A1814" s="257">
        <v>1817</v>
      </c>
      <c r="B1814" s="267">
        <v>1813</v>
      </c>
      <c r="C1814" s="268" t="s">
        <v>2104</v>
      </c>
      <c r="D1814" s="269">
        <v>42090</v>
      </c>
      <c r="E1814" s="270" t="s">
        <v>2736</v>
      </c>
      <c r="F1814" s="384">
        <v>718000</v>
      </c>
      <c r="G1814" s="270">
        <v>691780951</v>
      </c>
      <c r="H1814" s="270"/>
    </row>
    <row r="1815" spans="1:8" x14ac:dyDescent="0.25">
      <c r="A1815" s="257">
        <v>1818</v>
      </c>
      <c r="B1815" s="267">
        <v>1814</v>
      </c>
      <c r="C1815" s="268" t="s">
        <v>2828</v>
      </c>
      <c r="D1815" s="269">
        <v>42090</v>
      </c>
      <c r="E1815" s="270" t="s">
        <v>892</v>
      </c>
      <c r="F1815" s="384">
        <v>198000</v>
      </c>
      <c r="G1815" s="270">
        <v>100390954</v>
      </c>
      <c r="H1815" s="270"/>
    </row>
    <row r="1816" spans="1:8" x14ac:dyDescent="0.25">
      <c r="A1816" s="257">
        <v>1819</v>
      </c>
      <c r="B1816" s="267">
        <v>1815</v>
      </c>
      <c r="C1816" s="268" t="s">
        <v>2864</v>
      </c>
      <c r="D1816" s="269">
        <v>42090</v>
      </c>
      <c r="E1816" s="270" t="s">
        <v>2456</v>
      </c>
      <c r="F1816" s="384">
        <v>66000</v>
      </c>
      <c r="G1816" s="270">
        <v>100039768</v>
      </c>
      <c r="H1816" s="270"/>
    </row>
    <row r="1817" spans="1:8" x14ac:dyDescent="0.25">
      <c r="A1817" s="257">
        <v>1820</v>
      </c>
      <c r="B1817" s="267">
        <v>1816</v>
      </c>
      <c r="C1817" s="268" t="s">
        <v>2766</v>
      </c>
      <c r="D1817" s="269">
        <v>42090</v>
      </c>
      <c r="E1817" s="270" t="s">
        <v>18</v>
      </c>
      <c r="F1817" s="384">
        <v>166000</v>
      </c>
      <c r="G1817" s="270">
        <v>100251590</v>
      </c>
      <c r="H1817" s="270"/>
    </row>
    <row r="1818" spans="1:8" x14ac:dyDescent="0.25">
      <c r="A1818" s="257">
        <v>1821</v>
      </c>
      <c r="B1818" s="267">
        <v>1817</v>
      </c>
      <c r="C1818" s="268" t="s">
        <v>680</v>
      </c>
      <c r="D1818" s="269">
        <v>42090</v>
      </c>
      <c r="E1818" s="270" t="s">
        <v>3598</v>
      </c>
      <c r="F1818" s="384">
        <v>67000</v>
      </c>
      <c r="G1818" s="270">
        <v>190221603</v>
      </c>
      <c r="H1818" s="270"/>
    </row>
    <row r="1819" spans="1:8" x14ac:dyDescent="0.25">
      <c r="A1819" s="257">
        <v>1822</v>
      </c>
      <c r="B1819" s="267">
        <v>1818</v>
      </c>
      <c r="C1819" s="268" t="s">
        <v>2683</v>
      </c>
      <c r="D1819" s="269">
        <v>42093</v>
      </c>
      <c r="E1819" s="270" t="s">
        <v>4190</v>
      </c>
      <c r="F1819" s="384">
        <v>240000</v>
      </c>
      <c r="G1819" s="270">
        <v>800001184</v>
      </c>
      <c r="H1819" s="270"/>
    </row>
    <row r="1820" spans="1:8" x14ac:dyDescent="0.25">
      <c r="A1820" s="257">
        <v>1823</v>
      </c>
      <c r="B1820" s="267">
        <v>1819</v>
      </c>
      <c r="C1820" s="268" t="s">
        <v>699</v>
      </c>
      <c r="D1820" s="269">
        <v>42093</v>
      </c>
      <c r="E1820" s="270" t="s">
        <v>1623</v>
      </c>
      <c r="F1820" s="384">
        <v>300000</v>
      </c>
      <c r="G1820" s="270">
        <v>691422903</v>
      </c>
      <c r="H1820" s="270"/>
    </row>
    <row r="1821" spans="1:8" x14ac:dyDescent="0.25">
      <c r="A1821" s="257">
        <v>1824</v>
      </c>
      <c r="B1821" s="267">
        <v>1820</v>
      </c>
      <c r="C1821" s="268" t="s">
        <v>3091</v>
      </c>
      <c r="D1821" s="269">
        <v>42093</v>
      </c>
      <c r="E1821" s="270" t="s">
        <v>1848</v>
      </c>
      <c r="F1821" s="384">
        <v>198000</v>
      </c>
      <c r="G1821" s="270">
        <v>690697161</v>
      </c>
      <c r="H1821" s="270"/>
    </row>
    <row r="1822" spans="1:8" x14ac:dyDescent="0.25">
      <c r="A1822" s="257">
        <v>1825</v>
      </c>
      <c r="B1822" s="267">
        <v>1821</v>
      </c>
      <c r="C1822" s="268" t="s">
        <v>3865</v>
      </c>
      <c r="D1822" s="269">
        <v>42093</v>
      </c>
      <c r="E1822" s="270" t="s">
        <v>964</v>
      </c>
      <c r="F1822" s="384">
        <v>198000</v>
      </c>
      <c r="G1822" s="270">
        <v>100557582</v>
      </c>
      <c r="H1822" s="270"/>
    </row>
    <row r="1823" spans="1:8" x14ac:dyDescent="0.25">
      <c r="A1823" s="257">
        <v>1826</v>
      </c>
      <c r="B1823" s="267">
        <v>1822</v>
      </c>
      <c r="C1823" s="268" t="s">
        <v>2036</v>
      </c>
      <c r="D1823" s="269">
        <v>42094</v>
      </c>
      <c r="E1823" s="270" t="s">
        <v>3594</v>
      </c>
      <c r="F1823" s="384">
        <v>435000</v>
      </c>
      <c r="G1823" s="270">
        <v>190882802</v>
      </c>
      <c r="H1823" s="270"/>
    </row>
    <row r="1824" spans="1:8" x14ac:dyDescent="0.25">
      <c r="A1824" s="257">
        <v>1827</v>
      </c>
      <c r="B1824" s="267">
        <v>1823</v>
      </c>
      <c r="C1824" s="268" t="s">
        <v>262</v>
      </c>
      <c r="D1824" s="269">
        <v>42094</v>
      </c>
      <c r="E1824" s="270" t="s">
        <v>927</v>
      </c>
      <c r="F1824" s="384">
        <v>160000</v>
      </c>
      <c r="G1824" s="270">
        <v>190454318</v>
      </c>
      <c r="H1824" s="270"/>
    </row>
    <row r="1825" spans="1:8" x14ac:dyDescent="0.25">
      <c r="A1825" s="257">
        <v>1828</v>
      </c>
      <c r="B1825" s="267">
        <v>1824</v>
      </c>
      <c r="C1825" s="268" t="s">
        <v>2683</v>
      </c>
      <c r="D1825" s="269">
        <v>42094</v>
      </c>
      <c r="E1825" s="270" t="s">
        <v>4190</v>
      </c>
      <c r="F1825" s="384">
        <v>67000</v>
      </c>
      <c r="G1825" s="270">
        <v>800001184</v>
      </c>
      <c r="H1825" s="270"/>
    </row>
    <row r="1826" spans="1:8" x14ac:dyDescent="0.25">
      <c r="A1826" s="257">
        <v>1829</v>
      </c>
      <c r="B1826" s="267">
        <v>1825</v>
      </c>
      <c r="C1826" s="268" t="s">
        <v>699</v>
      </c>
      <c r="D1826" s="269">
        <v>42094</v>
      </c>
      <c r="E1826" s="270" t="s">
        <v>982</v>
      </c>
      <c r="F1826" s="384">
        <v>213000</v>
      </c>
      <c r="G1826" s="270">
        <v>191341015</v>
      </c>
      <c r="H1826" s="270"/>
    </row>
    <row r="1827" spans="1:8" x14ac:dyDescent="0.25">
      <c r="A1827" s="257">
        <v>1830</v>
      </c>
      <c r="B1827" s="267">
        <v>1826</v>
      </c>
      <c r="C1827" s="268" t="s">
        <v>3554</v>
      </c>
      <c r="D1827" s="269">
        <v>42094</v>
      </c>
      <c r="E1827" s="270" t="s">
        <v>3291</v>
      </c>
      <c r="F1827" s="384">
        <v>528000</v>
      </c>
      <c r="G1827" s="270">
        <v>100054851</v>
      </c>
      <c r="H1827" s="270"/>
    </row>
    <row r="1828" spans="1:8" x14ac:dyDescent="0.25">
      <c r="A1828" s="257">
        <v>1831</v>
      </c>
      <c r="B1828" s="267">
        <v>1827</v>
      </c>
      <c r="C1828" s="268" t="s">
        <v>2618</v>
      </c>
      <c r="D1828" s="269">
        <v>42094</v>
      </c>
      <c r="E1828" s="270" t="s">
        <v>1622</v>
      </c>
      <c r="F1828" s="384">
        <v>165000</v>
      </c>
      <c r="G1828" s="270">
        <v>190513098</v>
      </c>
      <c r="H1828" s="270"/>
    </row>
    <row r="1829" spans="1:8" x14ac:dyDescent="0.25">
      <c r="A1829" s="257">
        <v>1832</v>
      </c>
      <c r="B1829" s="267">
        <v>1828</v>
      </c>
      <c r="C1829" s="268" t="s">
        <v>1049</v>
      </c>
      <c r="D1829" s="269">
        <v>42094</v>
      </c>
      <c r="E1829" s="270" t="s">
        <v>329</v>
      </c>
      <c r="F1829" s="384">
        <v>240000</v>
      </c>
      <c r="G1829" s="270">
        <v>190800080</v>
      </c>
      <c r="H1829" s="270"/>
    </row>
    <row r="1830" spans="1:8" x14ac:dyDescent="0.25">
      <c r="A1830" s="257">
        <v>1833</v>
      </c>
      <c r="B1830" s="267">
        <v>1829</v>
      </c>
      <c r="C1830" s="268" t="s">
        <v>1928</v>
      </c>
      <c r="D1830" s="269">
        <v>42094</v>
      </c>
      <c r="E1830" s="270" t="s">
        <v>2801</v>
      </c>
      <c r="F1830" s="384">
        <v>520000</v>
      </c>
      <c r="G1830" s="270">
        <v>190334745</v>
      </c>
      <c r="H1830" s="270"/>
    </row>
    <row r="1831" spans="1:8" x14ac:dyDescent="0.25">
      <c r="A1831" s="257">
        <v>1834</v>
      </c>
      <c r="B1831" s="267">
        <v>1830</v>
      </c>
      <c r="C1831" s="268" t="s">
        <v>2362</v>
      </c>
      <c r="D1831" s="269">
        <v>42095</v>
      </c>
      <c r="E1831" s="270" t="s">
        <v>2142</v>
      </c>
      <c r="F1831" s="384">
        <v>520000</v>
      </c>
      <c r="G1831" s="270">
        <v>100172462</v>
      </c>
      <c r="H1831" s="270"/>
    </row>
    <row r="1832" spans="1:8" x14ac:dyDescent="0.25">
      <c r="A1832" s="257">
        <v>1835</v>
      </c>
      <c r="B1832" s="267">
        <v>1831</v>
      </c>
      <c r="C1832" s="268" t="s">
        <v>1824</v>
      </c>
      <c r="D1832" s="269">
        <v>42095</v>
      </c>
      <c r="E1832" s="270" t="s">
        <v>2978</v>
      </c>
      <c r="F1832" s="384">
        <v>280000</v>
      </c>
      <c r="G1832" s="270">
        <v>690827185</v>
      </c>
      <c r="H1832" s="270"/>
    </row>
    <row r="1833" spans="1:8" x14ac:dyDescent="0.25">
      <c r="A1833" s="257">
        <v>1836</v>
      </c>
      <c r="B1833" s="267">
        <v>1832</v>
      </c>
      <c r="C1833" s="268" t="s">
        <v>802</v>
      </c>
      <c r="D1833" s="269">
        <v>42095</v>
      </c>
      <c r="E1833" s="270" t="s">
        <v>1641</v>
      </c>
      <c r="F1833" s="384">
        <v>240000</v>
      </c>
      <c r="G1833" s="270">
        <v>100135464</v>
      </c>
      <c r="H1833" s="270"/>
    </row>
    <row r="1834" spans="1:8" x14ac:dyDescent="0.25">
      <c r="A1834" s="257">
        <v>1837</v>
      </c>
      <c r="B1834" s="267">
        <v>1833</v>
      </c>
      <c r="C1834" s="268" t="s">
        <v>3599</v>
      </c>
      <c r="D1834" s="269">
        <v>42095</v>
      </c>
      <c r="E1834" s="270" t="s">
        <v>3277</v>
      </c>
      <c r="F1834" s="384">
        <v>435000</v>
      </c>
      <c r="G1834" s="270">
        <v>691536431</v>
      </c>
      <c r="H1834" s="270"/>
    </row>
    <row r="1835" spans="1:8" x14ac:dyDescent="0.25">
      <c r="A1835" s="257">
        <v>1838</v>
      </c>
      <c r="B1835" s="267">
        <v>1834</v>
      </c>
      <c r="C1835" s="268" t="s">
        <v>420</v>
      </c>
      <c r="D1835" s="269">
        <v>42095</v>
      </c>
      <c r="E1835" s="270" t="s">
        <v>242</v>
      </c>
      <c r="F1835" s="384">
        <v>280000</v>
      </c>
      <c r="G1835" s="270">
        <v>100009627</v>
      </c>
      <c r="H1835" s="270"/>
    </row>
    <row r="1836" spans="1:8" x14ac:dyDescent="0.25">
      <c r="A1836" s="257">
        <v>1839</v>
      </c>
      <c r="B1836" s="267">
        <v>1835</v>
      </c>
      <c r="C1836" s="268" t="s">
        <v>4238</v>
      </c>
      <c r="D1836" s="269">
        <v>42095</v>
      </c>
      <c r="E1836" s="270" t="s">
        <v>3134</v>
      </c>
      <c r="F1836" s="384">
        <v>320000</v>
      </c>
      <c r="G1836" s="270">
        <v>691591099</v>
      </c>
      <c r="H1836" s="270"/>
    </row>
    <row r="1837" spans="1:8" x14ac:dyDescent="0.25">
      <c r="A1837" s="257">
        <v>1840</v>
      </c>
      <c r="B1837" s="267">
        <v>1836</v>
      </c>
      <c r="C1837" s="268" t="s">
        <v>3286</v>
      </c>
      <c r="D1837" s="269">
        <v>42096</v>
      </c>
      <c r="E1837" s="270" t="s">
        <v>2732</v>
      </c>
      <c r="F1837" s="384">
        <v>155000</v>
      </c>
      <c r="G1837" s="270">
        <v>600364254</v>
      </c>
      <c r="H1837" s="270"/>
    </row>
    <row r="1838" spans="1:8" x14ac:dyDescent="0.25">
      <c r="A1838" s="257">
        <v>1841</v>
      </c>
      <c r="B1838" s="267">
        <v>1837</v>
      </c>
      <c r="C1838" s="268" t="s">
        <v>833</v>
      </c>
      <c r="D1838" s="269">
        <v>42096</v>
      </c>
      <c r="E1838" s="270" t="s">
        <v>703</v>
      </c>
      <c r="F1838" s="384">
        <v>280000</v>
      </c>
      <c r="G1838" s="270">
        <v>690616622</v>
      </c>
      <c r="H1838" s="270"/>
    </row>
    <row r="1839" spans="1:8" x14ac:dyDescent="0.25">
      <c r="A1839" s="257">
        <v>1842</v>
      </c>
      <c r="B1839" s="267">
        <v>1838</v>
      </c>
      <c r="C1839" s="268" t="s">
        <v>3660</v>
      </c>
      <c r="D1839" s="269">
        <v>42096</v>
      </c>
      <c r="E1839" s="270" t="s">
        <v>156</v>
      </c>
      <c r="F1839" s="384">
        <v>280000</v>
      </c>
      <c r="G1839" s="270">
        <v>690559664</v>
      </c>
      <c r="H1839" s="270"/>
    </row>
    <row r="1840" spans="1:8" x14ac:dyDescent="0.25">
      <c r="A1840" s="257">
        <v>1843</v>
      </c>
      <c r="B1840" s="267">
        <v>1839</v>
      </c>
      <c r="C1840" s="268" t="s">
        <v>1917</v>
      </c>
      <c r="D1840" s="269">
        <v>42096</v>
      </c>
      <c r="E1840" s="270" t="s">
        <v>874</v>
      </c>
      <c r="F1840" s="384">
        <v>435000</v>
      </c>
      <c r="G1840" s="270">
        <v>191360926</v>
      </c>
      <c r="H1840" s="270"/>
    </row>
    <row r="1841" spans="1:8" x14ac:dyDescent="0.25">
      <c r="A1841" s="257">
        <v>1844</v>
      </c>
      <c r="B1841" s="267">
        <v>1840</v>
      </c>
      <c r="C1841" s="268" t="s">
        <v>1841</v>
      </c>
      <c r="D1841" s="269">
        <v>42096</v>
      </c>
      <c r="E1841" s="270" t="s">
        <v>2767</v>
      </c>
      <c r="F1841" s="384">
        <v>317000</v>
      </c>
      <c r="G1841" s="270">
        <v>100030122</v>
      </c>
      <c r="H1841" s="270"/>
    </row>
    <row r="1842" spans="1:8" x14ac:dyDescent="0.25">
      <c r="A1842" s="257">
        <v>1845</v>
      </c>
      <c r="B1842" s="267">
        <v>1841</v>
      </c>
      <c r="C1842" s="268" t="s">
        <v>1949</v>
      </c>
      <c r="D1842" s="269">
        <v>42097</v>
      </c>
      <c r="E1842" s="270" t="s">
        <v>1702</v>
      </c>
      <c r="F1842" s="384">
        <v>240000</v>
      </c>
      <c r="G1842" s="270">
        <v>100315395</v>
      </c>
      <c r="H1842" s="270"/>
    </row>
    <row r="1843" spans="1:8" x14ac:dyDescent="0.25">
      <c r="A1843" s="257">
        <v>1846</v>
      </c>
      <c r="B1843" s="267">
        <v>1842</v>
      </c>
      <c r="C1843" s="268" t="s">
        <v>3276</v>
      </c>
      <c r="D1843" s="269">
        <v>42097</v>
      </c>
      <c r="E1843" s="270" t="s">
        <v>940</v>
      </c>
      <c r="F1843" s="384">
        <v>165000</v>
      </c>
      <c r="G1843" s="270">
        <v>690024195</v>
      </c>
      <c r="H1843" s="270"/>
    </row>
    <row r="1844" spans="1:8" x14ac:dyDescent="0.25">
      <c r="A1844" s="257">
        <v>1847</v>
      </c>
      <c r="B1844" s="267">
        <v>1843</v>
      </c>
      <c r="C1844" s="268" t="s">
        <v>724</v>
      </c>
      <c r="D1844" s="269">
        <v>42097</v>
      </c>
      <c r="E1844" s="270" t="s">
        <v>1000</v>
      </c>
      <c r="F1844" s="384">
        <v>93000</v>
      </c>
      <c r="G1844" s="270">
        <v>808000410</v>
      </c>
      <c r="H1844" s="270"/>
    </row>
    <row r="1845" spans="1:8" x14ac:dyDescent="0.25">
      <c r="A1845" s="257">
        <v>1848</v>
      </c>
      <c r="B1845" s="267">
        <v>1844</v>
      </c>
      <c r="C1845" s="268" t="s">
        <v>1918</v>
      </c>
      <c r="D1845" s="269">
        <v>42098</v>
      </c>
      <c r="E1845" s="270" t="s">
        <v>1607</v>
      </c>
      <c r="F1845" s="384">
        <v>435000</v>
      </c>
      <c r="G1845" s="270">
        <v>690643672</v>
      </c>
      <c r="H1845" s="270"/>
    </row>
    <row r="1846" spans="1:8" x14ac:dyDescent="0.25">
      <c r="A1846" s="257">
        <v>1849</v>
      </c>
      <c r="B1846" s="267">
        <v>1845</v>
      </c>
      <c r="C1846" s="268" t="s">
        <v>2766</v>
      </c>
      <c r="D1846" s="269">
        <v>42100</v>
      </c>
      <c r="E1846" s="270" t="s">
        <v>18</v>
      </c>
      <c r="F1846" s="384">
        <v>81000</v>
      </c>
      <c r="G1846" s="270">
        <v>100251590</v>
      </c>
      <c r="H1846" s="270"/>
    </row>
    <row r="1847" spans="1:8" x14ac:dyDescent="0.25">
      <c r="A1847" s="257">
        <v>1850</v>
      </c>
      <c r="B1847" s="267">
        <v>1846</v>
      </c>
      <c r="C1847" s="268" t="s">
        <v>2784</v>
      </c>
      <c r="D1847" s="269">
        <v>42100</v>
      </c>
      <c r="E1847" s="270" t="s">
        <v>810</v>
      </c>
      <c r="F1847" s="384">
        <v>363000</v>
      </c>
      <c r="G1847" s="270">
        <v>190761996</v>
      </c>
      <c r="H1847" s="270"/>
    </row>
    <row r="1848" spans="1:8" x14ac:dyDescent="0.25">
      <c r="A1848" s="257">
        <v>1851</v>
      </c>
      <c r="B1848" s="267">
        <v>1847</v>
      </c>
      <c r="C1848" s="268" t="s">
        <v>2835</v>
      </c>
      <c r="D1848" s="269">
        <v>42100</v>
      </c>
      <c r="E1848" s="270" t="s">
        <v>2890</v>
      </c>
      <c r="F1848" s="384">
        <v>397000</v>
      </c>
      <c r="G1848" s="270">
        <v>690367172</v>
      </c>
      <c r="H1848" s="270"/>
    </row>
    <row r="1849" spans="1:8" x14ac:dyDescent="0.25">
      <c r="A1849" s="257">
        <v>1852</v>
      </c>
      <c r="B1849" s="267">
        <v>1848</v>
      </c>
      <c r="C1849" s="268" t="s">
        <v>2828</v>
      </c>
      <c r="D1849" s="269">
        <v>42100</v>
      </c>
      <c r="E1849" s="270" t="s">
        <v>892</v>
      </c>
      <c r="F1849" s="384">
        <v>161000</v>
      </c>
      <c r="G1849" s="270">
        <v>100390954</v>
      </c>
      <c r="H1849" s="270"/>
    </row>
    <row r="1850" spans="1:8" x14ac:dyDescent="0.25">
      <c r="A1850" s="257">
        <v>1853</v>
      </c>
      <c r="B1850" s="267">
        <v>1849</v>
      </c>
      <c r="C1850" s="268" t="s">
        <v>2627</v>
      </c>
      <c r="D1850" s="269">
        <v>42100</v>
      </c>
      <c r="E1850" s="270" t="s">
        <v>2626</v>
      </c>
      <c r="F1850" s="384">
        <v>160000</v>
      </c>
      <c r="G1850" s="270">
        <v>191425607</v>
      </c>
      <c r="H1850" s="270"/>
    </row>
    <row r="1851" spans="1:8" x14ac:dyDescent="0.25">
      <c r="A1851" s="257">
        <v>1854</v>
      </c>
      <c r="B1851" s="267">
        <v>1850</v>
      </c>
      <c r="C1851" s="268" t="s">
        <v>686</v>
      </c>
      <c r="D1851" s="269">
        <v>42100</v>
      </c>
      <c r="E1851" s="270" t="s">
        <v>421</v>
      </c>
      <c r="F1851" s="384">
        <v>435000</v>
      </c>
      <c r="G1851" s="270">
        <v>808000701</v>
      </c>
      <c r="H1851" s="270"/>
    </row>
    <row r="1852" spans="1:8" x14ac:dyDescent="0.25">
      <c r="A1852" s="257">
        <v>1855</v>
      </c>
      <c r="B1852" s="267">
        <v>1851</v>
      </c>
      <c r="C1852" s="268" t="s">
        <v>181</v>
      </c>
      <c r="D1852" s="269">
        <v>42100</v>
      </c>
      <c r="E1852" s="270" t="s">
        <v>3107</v>
      </c>
      <c r="F1852" s="384">
        <v>435000</v>
      </c>
      <c r="G1852" s="270">
        <v>100320487</v>
      </c>
      <c r="H1852" s="270"/>
    </row>
    <row r="1853" spans="1:8" x14ac:dyDescent="0.25">
      <c r="A1853" s="257">
        <v>1856</v>
      </c>
      <c r="B1853" s="267">
        <v>1852</v>
      </c>
      <c r="C1853" s="268" t="s">
        <v>2602</v>
      </c>
      <c r="D1853" s="269">
        <v>42100</v>
      </c>
      <c r="E1853" s="270" t="s">
        <v>3321</v>
      </c>
      <c r="F1853" s="384">
        <v>435000</v>
      </c>
      <c r="G1853" s="270">
        <v>490492602</v>
      </c>
      <c r="H1853" s="270"/>
    </row>
    <row r="1854" spans="1:8" x14ac:dyDescent="0.25">
      <c r="A1854" s="257">
        <v>1857</v>
      </c>
      <c r="B1854" s="267">
        <v>1853</v>
      </c>
      <c r="C1854" s="268" t="s">
        <v>1802</v>
      </c>
      <c r="D1854" s="269">
        <v>42101</v>
      </c>
      <c r="E1854" s="270" t="s">
        <v>158</v>
      </c>
      <c r="F1854" s="384">
        <v>435000</v>
      </c>
      <c r="G1854" s="270">
        <v>191357390</v>
      </c>
      <c r="H1854" s="270"/>
    </row>
    <row r="1855" spans="1:8" x14ac:dyDescent="0.25">
      <c r="A1855" s="257">
        <v>1858</v>
      </c>
      <c r="B1855" s="267">
        <v>1854</v>
      </c>
      <c r="C1855" s="268" t="s">
        <v>1650</v>
      </c>
      <c r="D1855" s="269">
        <v>42101</v>
      </c>
      <c r="E1855" s="270" t="s">
        <v>863</v>
      </c>
      <c r="F1855" s="384">
        <v>435000</v>
      </c>
      <c r="G1855" s="270">
        <v>690849523</v>
      </c>
      <c r="H1855" s="270"/>
    </row>
    <row r="1856" spans="1:8" x14ac:dyDescent="0.25">
      <c r="A1856" s="257">
        <v>1859</v>
      </c>
      <c r="B1856" s="267">
        <v>1855</v>
      </c>
      <c r="C1856" s="268" t="s">
        <v>2838</v>
      </c>
      <c r="D1856" s="269">
        <v>42101</v>
      </c>
      <c r="E1856" s="270" t="s">
        <v>1637</v>
      </c>
      <c r="F1856" s="384">
        <v>198000</v>
      </c>
      <c r="G1856" s="270">
        <v>100687805</v>
      </c>
      <c r="H1856" s="270"/>
    </row>
    <row r="1857" spans="1:8" x14ac:dyDescent="0.25">
      <c r="A1857" s="257">
        <v>1860</v>
      </c>
      <c r="B1857" s="267">
        <v>1856</v>
      </c>
      <c r="C1857" s="268" t="s">
        <v>2436</v>
      </c>
      <c r="D1857" s="269">
        <v>42101</v>
      </c>
      <c r="E1857" s="270" t="s">
        <v>1703</v>
      </c>
      <c r="F1857" s="384">
        <v>240000</v>
      </c>
      <c r="G1857" s="270">
        <v>100826028</v>
      </c>
      <c r="H1857" s="270"/>
    </row>
    <row r="1858" spans="1:8" x14ac:dyDescent="0.25">
      <c r="A1858" s="257">
        <v>1861</v>
      </c>
      <c r="B1858" s="267">
        <v>1857</v>
      </c>
      <c r="C1858" s="268" t="s">
        <v>2143</v>
      </c>
      <c r="D1858" s="269">
        <v>42102</v>
      </c>
      <c r="E1858" s="270" t="s">
        <v>1927</v>
      </c>
      <c r="F1858" s="384">
        <v>555000</v>
      </c>
      <c r="G1858" s="270">
        <v>190032958</v>
      </c>
      <c r="H1858" s="270"/>
    </row>
    <row r="1859" spans="1:8" x14ac:dyDescent="0.25">
      <c r="A1859" s="257">
        <v>1862</v>
      </c>
      <c r="B1859" s="267">
        <v>1858</v>
      </c>
      <c r="C1859" s="268" t="s">
        <v>2143</v>
      </c>
      <c r="D1859" s="269">
        <v>42102</v>
      </c>
      <c r="E1859" s="270" t="s">
        <v>1927</v>
      </c>
      <c r="F1859" s="384">
        <v>63000</v>
      </c>
      <c r="G1859" s="270">
        <v>190032958</v>
      </c>
      <c r="H1859" s="270"/>
    </row>
    <row r="1860" spans="1:8" x14ac:dyDescent="0.25">
      <c r="A1860" s="257">
        <v>1863</v>
      </c>
      <c r="B1860" s="267">
        <v>1859</v>
      </c>
      <c r="C1860" s="268" t="s">
        <v>1846</v>
      </c>
      <c r="D1860" s="269">
        <v>42102</v>
      </c>
      <c r="E1860" s="270" t="s">
        <v>50</v>
      </c>
      <c r="F1860" s="384">
        <v>63000</v>
      </c>
      <c r="G1860" s="270">
        <v>690325966</v>
      </c>
      <c r="H1860" s="270"/>
    </row>
    <row r="1861" spans="1:8" x14ac:dyDescent="0.25">
      <c r="A1861" s="257">
        <v>1864</v>
      </c>
      <c r="B1861" s="267">
        <v>1860</v>
      </c>
      <c r="C1861" s="268" t="s">
        <v>333</v>
      </c>
      <c r="D1861" s="269">
        <v>42108</v>
      </c>
      <c r="E1861" s="270" t="s">
        <v>209</v>
      </c>
      <c r="F1861" s="384">
        <v>396000</v>
      </c>
      <c r="G1861" s="270">
        <v>191118996</v>
      </c>
      <c r="H1861" s="270"/>
    </row>
    <row r="1862" spans="1:8" x14ac:dyDescent="0.25">
      <c r="A1862" s="257">
        <v>1865</v>
      </c>
      <c r="B1862" s="267">
        <v>1861</v>
      </c>
      <c r="C1862" s="268" t="s">
        <v>3279</v>
      </c>
      <c r="D1862" s="269">
        <v>42108</v>
      </c>
      <c r="E1862" s="270" t="s">
        <v>3585</v>
      </c>
      <c r="F1862" s="384">
        <v>198000</v>
      </c>
      <c r="G1862" s="270">
        <v>191283872</v>
      </c>
      <c r="H1862" s="270"/>
    </row>
    <row r="1863" spans="1:8" x14ac:dyDescent="0.25">
      <c r="A1863" s="257">
        <v>1866</v>
      </c>
      <c r="B1863" s="267">
        <v>1862</v>
      </c>
      <c r="C1863" s="268" t="s">
        <v>22</v>
      </c>
      <c r="D1863" s="269">
        <v>42108</v>
      </c>
      <c r="E1863" s="270" t="s">
        <v>1132</v>
      </c>
      <c r="F1863" s="384">
        <v>97000</v>
      </c>
      <c r="G1863" s="270">
        <v>0</v>
      </c>
      <c r="H1863" s="270"/>
    </row>
    <row r="1864" spans="1:8" x14ac:dyDescent="0.25">
      <c r="A1864" s="257">
        <v>1867</v>
      </c>
      <c r="B1864" s="267">
        <v>1863</v>
      </c>
      <c r="C1864" s="268" t="s">
        <v>3544</v>
      </c>
      <c r="D1864" s="269">
        <v>42109</v>
      </c>
      <c r="E1864" s="270" t="s">
        <v>2707</v>
      </c>
      <c r="F1864" s="384">
        <v>900000</v>
      </c>
      <c r="G1864" s="270">
        <v>100667855</v>
      </c>
      <c r="H1864" s="270"/>
    </row>
    <row r="1865" spans="1:8" x14ac:dyDescent="0.25">
      <c r="A1865" s="257">
        <v>1868</v>
      </c>
      <c r="B1865" s="267">
        <v>1864</v>
      </c>
      <c r="C1865" s="268" t="s">
        <v>8</v>
      </c>
      <c r="D1865" s="269">
        <v>42109</v>
      </c>
      <c r="E1865" s="270" t="s">
        <v>2834</v>
      </c>
      <c r="F1865" s="384">
        <v>77000</v>
      </c>
      <c r="G1865" s="270">
        <v>190187145</v>
      </c>
      <c r="H1865" s="270"/>
    </row>
    <row r="1866" spans="1:8" x14ac:dyDescent="0.25">
      <c r="A1866" s="257">
        <v>1869</v>
      </c>
      <c r="B1866" s="267">
        <v>1865</v>
      </c>
      <c r="C1866" s="268" t="s">
        <v>846</v>
      </c>
      <c r="D1866" s="269">
        <v>42109</v>
      </c>
      <c r="E1866" s="270" t="s">
        <v>500</v>
      </c>
      <c r="F1866" s="384">
        <v>435000</v>
      </c>
      <c r="G1866" s="270">
        <v>690631984</v>
      </c>
      <c r="H1866" s="270"/>
    </row>
    <row r="1867" spans="1:8" x14ac:dyDescent="0.25">
      <c r="A1867" s="257">
        <v>1870</v>
      </c>
      <c r="B1867" s="267">
        <v>1866</v>
      </c>
      <c r="C1867" s="268" t="s">
        <v>3618</v>
      </c>
      <c r="D1867" s="269">
        <v>42109</v>
      </c>
      <c r="E1867" s="270" t="s">
        <v>163</v>
      </c>
      <c r="F1867" s="384">
        <v>155000</v>
      </c>
      <c r="G1867" s="270">
        <v>100843354</v>
      </c>
      <c r="H1867" s="270"/>
    </row>
    <row r="1868" spans="1:8" x14ac:dyDescent="0.25">
      <c r="A1868" s="257">
        <v>1871</v>
      </c>
      <c r="B1868" s="267">
        <v>1867</v>
      </c>
      <c r="C1868" s="268" t="s">
        <v>2645</v>
      </c>
      <c r="D1868" s="269">
        <v>42109</v>
      </c>
      <c r="E1868" s="270" t="s">
        <v>239</v>
      </c>
      <c r="F1868" s="384">
        <v>155000</v>
      </c>
      <c r="G1868" s="270">
        <v>101139097</v>
      </c>
      <c r="H1868" s="270"/>
    </row>
    <row r="1869" spans="1:8" x14ac:dyDescent="0.25">
      <c r="A1869" s="257">
        <v>1872</v>
      </c>
      <c r="B1869" s="267">
        <v>1868</v>
      </c>
      <c r="C1869" s="268" t="s">
        <v>2645</v>
      </c>
      <c r="D1869" s="269">
        <v>42112</v>
      </c>
      <c r="E1869" s="270" t="s">
        <v>239</v>
      </c>
      <c r="F1869" s="384">
        <v>1305000</v>
      </c>
      <c r="G1869" s="270">
        <v>101139097</v>
      </c>
      <c r="H1869" s="270"/>
    </row>
    <row r="1870" spans="1:8" x14ac:dyDescent="0.25">
      <c r="A1870" s="257">
        <v>1873</v>
      </c>
      <c r="B1870" s="267">
        <v>1869</v>
      </c>
      <c r="C1870" s="268" t="s">
        <v>2751</v>
      </c>
      <c r="D1870" s="269">
        <v>42114</v>
      </c>
      <c r="E1870" s="270" t="s">
        <v>449</v>
      </c>
      <c r="F1870" s="384">
        <v>280000</v>
      </c>
      <c r="G1870" s="270">
        <v>100025732</v>
      </c>
      <c r="H1870" s="270"/>
    </row>
    <row r="1871" spans="1:8" x14ac:dyDescent="0.25">
      <c r="A1871" s="257">
        <v>1874</v>
      </c>
      <c r="B1871" s="267">
        <v>1870</v>
      </c>
      <c r="C1871" s="268" t="s">
        <v>2163</v>
      </c>
      <c r="D1871" s="269">
        <v>42116</v>
      </c>
      <c r="E1871" s="270" t="s">
        <v>2404</v>
      </c>
      <c r="F1871" s="384">
        <v>155000</v>
      </c>
      <c r="G1871" s="270">
        <v>291024291</v>
      </c>
      <c r="H1871" s="270"/>
    </row>
    <row r="1872" spans="1:8" x14ac:dyDescent="0.25">
      <c r="A1872" s="257">
        <v>1875</v>
      </c>
      <c r="B1872" s="267">
        <v>1871</v>
      </c>
      <c r="C1872" s="268" t="s">
        <v>3757</v>
      </c>
      <c r="D1872" s="269">
        <v>42116</v>
      </c>
      <c r="E1872" s="270" t="s">
        <v>235</v>
      </c>
      <c r="F1872" s="384">
        <v>465000</v>
      </c>
      <c r="G1872" s="270">
        <v>190080211</v>
      </c>
      <c r="H1872" s="270"/>
    </row>
    <row r="1873" spans="1:8" x14ac:dyDescent="0.25">
      <c r="A1873" s="257">
        <v>1876</v>
      </c>
      <c r="B1873" s="267">
        <v>1872</v>
      </c>
      <c r="C1873" s="268" t="s">
        <v>3734</v>
      </c>
      <c r="D1873" s="269">
        <v>42116</v>
      </c>
      <c r="E1873" s="270" t="s">
        <v>2358</v>
      </c>
      <c r="F1873" s="384">
        <v>435000</v>
      </c>
      <c r="G1873" s="270">
        <v>800008903</v>
      </c>
      <c r="H1873" s="270"/>
    </row>
    <row r="1874" spans="1:8" x14ac:dyDescent="0.25">
      <c r="A1874" s="257">
        <v>1877</v>
      </c>
      <c r="B1874" s="267">
        <v>1873</v>
      </c>
      <c r="C1874" s="268" t="s">
        <v>2628</v>
      </c>
      <c r="D1874" s="269">
        <v>42116</v>
      </c>
      <c r="E1874" s="270" t="s">
        <v>3643</v>
      </c>
      <c r="F1874" s="384">
        <v>280000</v>
      </c>
      <c r="G1874" s="270">
        <v>690397323</v>
      </c>
      <c r="H1874" s="270"/>
    </row>
    <row r="1875" spans="1:8" x14ac:dyDescent="0.25">
      <c r="A1875" s="257">
        <v>1878</v>
      </c>
      <c r="B1875" s="267">
        <v>1874</v>
      </c>
      <c r="C1875" s="268" t="s">
        <v>2628</v>
      </c>
      <c r="D1875" s="269">
        <v>42116</v>
      </c>
      <c r="E1875" s="270" t="s">
        <v>2713</v>
      </c>
      <c r="F1875" s="384">
        <v>165000</v>
      </c>
      <c r="G1875" s="270">
        <v>102350525</v>
      </c>
      <c r="H1875" s="270"/>
    </row>
    <row r="1876" spans="1:8" x14ac:dyDescent="0.25">
      <c r="A1876" s="257">
        <v>1879</v>
      </c>
      <c r="B1876" s="267">
        <v>1875</v>
      </c>
      <c r="C1876" s="268" t="s">
        <v>895</v>
      </c>
      <c r="D1876" s="269">
        <v>42116</v>
      </c>
      <c r="E1876" s="270" t="s">
        <v>2804</v>
      </c>
      <c r="F1876" s="384">
        <v>198000</v>
      </c>
      <c r="G1876" s="270">
        <v>691433174</v>
      </c>
      <c r="H1876" s="270"/>
    </row>
    <row r="1877" spans="1:8" x14ac:dyDescent="0.25">
      <c r="A1877" s="257">
        <v>1880</v>
      </c>
      <c r="B1877" s="267">
        <v>1876</v>
      </c>
      <c r="C1877" s="268" t="s">
        <v>128</v>
      </c>
      <c r="D1877" s="269">
        <v>42116</v>
      </c>
      <c r="E1877" s="270" t="s">
        <v>3259</v>
      </c>
      <c r="F1877" s="384">
        <v>240000</v>
      </c>
      <c r="G1877" s="270">
        <v>190904186</v>
      </c>
      <c r="H1877" s="270"/>
    </row>
    <row r="1878" spans="1:8" x14ac:dyDescent="0.25">
      <c r="A1878" s="257">
        <v>1881</v>
      </c>
      <c r="B1878" s="267">
        <v>1877</v>
      </c>
      <c r="C1878" s="268" t="s">
        <v>2838</v>
      </c>
      <c r="D1878" s="269">
        <v>42117</v>
      </c>
      <c r="E1878" s="270" t="s">
        <v>1637</v>
      </c>
      <c r="F1878" s="384">
        <v>36000</v>
      </c>
      <c r="G1878" s="270">
        <v>100687805</v>
      </c>
      <c r="H1878" s="270"/>
    </row>
    <row r="1879" spans="1:8" x14ac:dyDescent="0.25">
      <c r="A1879" s="257">
        <v>1882</v>
      </c>
      <c r="B1879" s="267">
        <v>1878</v>
      </c>
      <c r="C1879" s="268" t="s">
        <v>3111</v>
      </c>
      <c r="D1879" s="269">
        <v>42117</v>
      </c>
      <c r="E1879" s="270" t="s">
        <v>1948</v>
      </c>
      <c r="F1879" s="384">
        <v>240000</v>
      </c>
      <c r="G1879" s="270">
        <v>808000755</v>
      </c>
      <c r="H1879" s="270"/>
    </row>
    <row r="1880" spans="1:8" x14ac:dyDescent="0.25">
      <c r="A1880" s="257">
        <v>1883</v>
      </c>
      <c r="B1880" s="267">
        <v>1879</v>
      </c>
      <c r="C1880" s="268" t="s">
        <v>2602</v>
      </c>
      <c r="D1880" s="269">
        <v>42117</v>
      </c>
      <c r="E1880" s="270" t="s">
        <v>3321</v>
      </c>
      <c r="F1880" s="384">
        <v>435000</v>
      </c>
      <c r="G1880" s="270">
        <v>490492602</v>
      </c>
      <c r="H1880" s="270"/>
    </row>
    <row r="1881" spans="1:8" x14ac:dyDescent="0.25">
      <c r="A1881" s="257">
        <v>1884</v>
      </c>
      <c r="B1881" s="267">
        <v>1880</v>
      </c>
      <c r="C1881" s="268" t="s">
        <v>3501</v>
      </c>
      <c r="D1881" s="269">
        <v>42117</v>
      </c>
      <c r="E1881" s="270" t="s">
        <v>2411</v>
      </c>
      <c r="F1881" s="384">
        <v>280000</v>
      </c>
      <c r="G1881" s="270">
        <v>100349860</v>
      </c>
      <c r="H1881" s="270"/>
    </row>
    <row r="1882" spans="1:8" x14ac:dyDescent="0.25">
      <c r="A1882" s="257">
        <v>1885</v>
      </c>
      <c r="B1882" s="267">
        <v>1881</v>
      </c>
      <c r="C1882" s="268" t="s">
        <v>887</v>
      </c>
      <c r="D1882" s="269">
        <v>42117</v>
      </c>
      <c r="E1882" s="270" t="s">
        <v>2831</v>
      </c>
      <c r="F1882" s="384">
        <v>155000</v>
      </c>
      <c r="G1882" s="270">
        <v>191604225</v>
      </c>
      <c r="H1882" s="270"/>
    </row>
    <row r="1883" spans="1:8" x14ac:dyDescent="0.25">
      <c r="A1883" s="257">
        <v>1886</v>
      </c>
      <c r="B1883" s="267">
        <v>1882</v>
      </c>
      <c r="C1883" s="268" t="s">
        <v>823</v>
      </c>
      <c r="D1883" s="269">
        <v>42117</v>
      </c>
      <c r="E1883" s="270" t="s">
        <v>3600</v>
      </c>
      <c r="F1883" s="384">
        <v>280000</v>
      </c>
      <c r="G1883" s="270">
        <v>690628627</v>
      </c>
      <c r="H1883" s="270"/>
    </row>
    <row r="1884" spans="1:8" x14ac:dyDescent="0.25">
      <c r="A1884" s="257">
        <v>1887</v>
      </c>
      <c r="B1884" s="267">
        <v>1883</v>
      </c>
      <c r="C1884" s="268" t="s">
        <v>480</v>
      </c>
      <c r="D1884" s="269">
        <v>42117</v>
      </c>
      <c r="E1884" s="270" t="s">
        <v>1816</v>
      </c>
      <c r="F1884" s="384">
        <v>435000</v>
      </c>
      <c r="G1884" s="270">
        <v>191676394</v>
      </c>
      <c r="H1884" s="270"/>
    </row>
    <row r="1885" spans="1:8" x14ac:dyDescent="0.25">
      <c r="A1885" s="257">
        <v>1888</v>
      </c>
      <c r="B1885" s="267">
        <v>1884</v>
      </c>
      <c r="C1885" s="268" t="s">
        <v>2966</v>
      </c>
      <c r="D1885" s="269">
        <v>42117</v>
      </c>
      <c r="E1885" s="270" t="s">
        <v>2885</v>
      </c>
      <c r="F1885" s="384">
        <v>435000</v>
      </c>
      <c r="G1885" s="270">
        <v>691132355</v>
      </c>
      <c r="H1885" s="270"/>
    </row>
    <row r="1886" spans="1:8" x14ac:dyDescent="0.25">
      <c r="A1886" s="257">
        <v>1889</v>
      </c>
      <c r="B1886" s="267">
        <v>1885</v>
      </c>
      <c r="C1886" s="268" t="s">
        <v>910</v>
      </c>
      <c r="D1886" s="269">
        <v>42121</v>
      </c>
      <c r="E1886" s="270" t="s">
        <v>1656</v>
      </c>
      <c r="F1886" s="384">
        <v>198000</v>
      </c>
      <c r="G1886" s="270">
        <v>101439397</v>
      </c>
      <c r="H1886" s="270"/>
    </row>
    <row r="1887" spans="1:8" x14ac:dyDescent="0.25">
      <c r="A1887" s="257">
        <v>1890</v>
      </c>
      <c r="B1887" s="267">
        <v>1886</v>
      </c>
      <c r="C1887" s="268" t="s">
        <v>2360</v>
      </c>
      <c r="D1887" s="269">
        <v>42121</v>
      </c>
      <c r="E1887" s="270" t="s">
        <v>1807</v>
      </c>
      <c r="F1887" s="384">
        <v>480000</v>
      </c>
      <c r="G1887" s="270">
        <v>101277625</v>
      </c>
      <c r="H1887" s="270"/>
    </row>
    <row r="1888" spans="1:8" x14ac:dyDescent="0.25">
      <c r="A1888" s="257">
        <v>1891</v>
      </c>
      <c r="B1888" s="267">
        <v>1887</v>
      </c>
      <c r="C1888" s="268" t="s">
        <v>378</v>
      </c>
      <c r="D1888" s="269">
        <v>42121</v>
      </c>
      <c r="E1888" s="270" t="s">
        <v>821</v>
      </c>
      <c r="F1888" s="384">
        <v>160000</v>
      </c>
      <c r="G1888" s="270">
        <v>191288011</v>
      </c>
      <c r="H1888" s="270"/>
    </row>
    <row r="1889" spans="1:8" x14ac:dyDescent="0.25">
      <c r="A1889" s="257">
        <v>1892</v>
      </c>
      <c r="B1889" s="267">
        <v>1888</v>
      </c>
      <c r="C1889" s="268" t="s">
        <v>3284</v>
      </c>
      <c r="D1889" s="269">
        <v>42124</v>
      </c>
      <c r="E1889" s="270" t="s">
        <v>1651</v>
      </c>
      <c r="F1889" s="384">
        <v>435000</v>
      </c>
      <c r="G1889" s="270">
        <v>190884251</v>
      </c>
      <c r="H1889" s="270"/>
    </row>
    <row r="1890" spans="1:8" x14ac:dyDescent="0.25">
      <c r="A1890" s="257">
        <v>1893</v>
      </c>
      <c r="B1890" s="267">
        <v>1889</v>
      </c>
      <c r="C1890" s="268" t="s">
        <v>3748</v>
      </c>
      <c r="D1890" s="269">
        <v>42124</v>
      </c>
      <c r="E1890" s="270" t="s">
        <v>1788</v>
      </c>
      <c r="F1890" s="384">
        <v>1025000</v>
      </c>
      <c r="G1890" s="270">
        <v>800001327</v>
      </c>
      <c r="H1890" s="270"/>
    </row>
    <row r="1891" spans="1:8" x14ac:dyDescent="0.25">
      <c r="A1891" s="257">
        <v>1894</v>
      </c>
      <c r="B1891" s="267">
        <v>1890</v>
      </c>
      <c r="C1891" s="268" t="s">
        <v>1525</v>
      </c>
      <c r="D1891" s="269">
        <v>42129</v>
      </c>
      <c r="E1891" s="270" t="s">
        <v>1005</v>
      </c>
      <c r="F1891" s="384">
        <v>280000</v>
      </c>
      <c r="G1891" s="270">
        <v>101116081</v>
      </c>
      <c r="H1891" s="270"/>
    </row>
    <row r="1892" spans="1:8" x14ac:dyDescent="0.25">
      <c r="A1892" s="257">
        <v>1895</v>
      </c>
      <c r="B1892" s="267">
        <v>1891</v>
      </c>
      <c r="C1892" s="268" t="s">
        <v>2645</v>
      </c>
      <c r="D1892" s="269">
        <v>42129</v>
      </c>
      <c r="E1892" s="270" t="s">
        <v>239</v>
      </c>
      <c r="F1892" s="384">
        <v>1740000</v>
      </c>
      <c r="G1892" s="270">
        <v>101139097</v>
      </c>
      <c r="H1892" s="270"/>
    </row>
    <row r="1893" spans="1:8" x14ac:dyDescent="0.25">
      <c r="A1893" s="257">
        <v>1896</v>
      </c>
      <c r="B1893" s="267">
        <v>1892</v>
      </c>
      <c r="C1893" s="268" t="s">
        <v>1826</v>
      </c>
      <c r="D1893" s="269">
        <v>42129</v>
      </c>
      <c r="E1893" s="270" t="s">
        <v>2424</v>
      </c>
      <c r="F1893" s="384">
        <v>2020000</v>
      </c>
      <c r="G1893" s="270">
        <v>101326441</v>
      </c>
      <c r="H1893" s="270"/>
    </row>
    <row r="1894" spans="1:8" x14ac:dyDescent="0.25">
      <c r="A1894" s="257">
        <v>1897</v>
      </c>
      <c r="B1894" s="267">
        <v>1893</v>
      </c>
      <c r="C1894" s="268" t="s">
        <v>338</v>
      </c>
      <c r="D1894" s="269">
        <v>42129</v>
      </c>
      <c r="E1894" s="270" t="s">
        <v>2076</v>
      </c>
      <c r="F1894" s="384">
        <v>198000</v>
      </c>
      <c r="G1894" s="270">
        <v>691430729</v>
      </c>
      <c r="H1894" s="270"/>
    </row>
    <row r="1895" spans="1:8" x14ac:dyDescent="0.25">
      <c r="A1895" s="257">
        <v>1898</v>
      </c>
      <c r="B1895" s="267">
        <v>1894</v>
      </c>
      <c r="C1895" s="268" t="s">
        <v>3740</v>
      </c>
      <c r="D1895" s="269">
        <v>42129</v>
      </c>
      <c r="E1895" s="270" t="s">
        <v>263</v>
      </c>
      <c r="F1895" s="384">
        <v>915000</v>
      </c>
      <c r="G1895" s="270">
        <v>600182119</v>
      </c>
      <c r="H1895" s="270"/>
    </row>
    <row r="1896" spans="1:8" x14ac:dyDescent="0.25">
      <c r="A1896" s="257">
        <v>1899</v>
      </c>
      <c r="B1896" s="267">
        <v>1895</v>
      </c>
      <c r="C1896" s="268" t="s">
        <v>307</v>
      </c>
      <c r="D1896" s="269">
        <v>42129</v>
      </c>
      <c r="E1896" s="270" t="s">
        <v>2094</v>
      </c>
      <c r="F1896" s="384">
        <v>213000</v>
      </c>
      <c r="G1896" s="270">
        <v>691406576</v>
      </c>
      <c r="H1896" s="270"/>
    </row>
    <row r="1897" spans="1:8" x14ac:dyDescent="0.25">
      <c r="A1897" s="257">
        <v>1900</v>
      </c>
      <c r="B1897" s="267">
        <v>1896</v>
      </c>
      <c r="C1897" s="268" t="s">
        <v>910</v>
      </c>
      <c r="D1897" s="269">
        <v>42129</v>
      </c>
      <c r="E1897" s="270" t="s">
        <v>1656</v>
      </c>
      <c r="F1897" s="384">
        <v>63000</v>
      </c>
      <c r="G1897" s="270">
        <v>101439397</v>
      </c>
      <c r="H1897" s="270"/>
    </row>
    <row r="1898" spans="1:8" x14ac:dyDescent="0.25">
      <c r="A1898" s="257">
        <v>1901</v>
      </c>
      <c r="B1898" s="267">
        <v>1897</v>
      </c>
      <c r="C1898" s="268" t="s">
        <v>2143</v>
      </c>
      <c r="D1898" s="269">
        <v>42130</v>
      </c>
      <c r="E1898" s="270" t="s">
        <v>1927</v>
      </c>
      <c r="F1898" s="384">
        <v>950000</v>
      </c>
      <c r="G1898" s="270">
        <v>190032958</v>
      </c>
      <c r="H1898" s="270"/>
    </row>
    <row r="1899" spans="1:8" x14ac:dyDescent="0.25">
      <c r="A1899" s="257">
        <v>1902</v>
      </c>
      <c r="B1899" s="267">
        <v>1898</v>
      </c>
      <c r="C1899" s="268" t="s">
        <v>1639</v>
      </c>
      <c r="D1899" s="269">
        <v>42130</v>
      </c>
      <c r="E1899" s="270" t="s">
        <v>3850</v>
      </c>
      <c r="F1899" s="384">
        <v>160000</v>
      </c>
      <c r="G1899" s="270">
        <v>800011635</v>
      </c>
      <c r="H1899" s="270"/>
    </row>
    <row r="1900" spans="1:8" x14ac:dyDescent="0.25">
      <c r="A1900" s="257">
        <v>1903</v>
      </c>
      <c r="B1900" s="267">
        <v>1899</v>
      </c>
      <c r="C1900" s="268" t="s">
        <v>3554</v>
      </c>
      <c r="D1900" s="269">
        <v>42130</v>
      </c>
      <c r="E1900" s="270" t="s">
        <v>3291</v>
      </c>
      <c r="F1900" s="384">
        <v>240000</v>
      </c>
      <c r="G1900" s="270">
        <v>100054851</v>
      </c>
      <c r="H1900" s="270"/>
    </row>
    <row r="1901" spans="1:8" x14ac:dyDescent="0.25">
      <c r="A1901" s="257">
        <v>1904</v>
      </c>
      <c r="B1901" s="267">
        <v>1900</v>
      </c>
      <c r="C1901" s="268" t="s">
        <v>196</v>
      </c>
      <c r="D1901" s="269">
        <v>42130</v>
      </c>
      <c r="E1901" s="270" t="s">
        <v>2717</v>
      </c>
      <c r="F1901" s="384">
        <v>435000</v>
      </c>
      <c r="G1901" s="270">
        <v>101538513</v>
      </c>
      <c r="H1901" s="270"/>
    </row>
    <row r="1902" spans="1:8" x14ac:dyDescent="0.25">
      <c r="A1902" s="257">
        <v>1905</v>
      </c>
      <c r="B1902" s="267">
        <v>1901</v>
      </c>
      <c r="C1902" s="268" t="s">
        <v>2751</v>
      </c>
      <c r="D1902" s="269">
        <v>42130</v>
      </c>
      <c r="E1902" s="270" t="s">
        <v>449</v>
      </c>
      <c r="F1902" s="384">
        <v>1740000</v>
      </c>
      <c r="G1902" s="270">
        <v>100025732</v>
      </c>
      <c r="H1902" s="270"/>
    </row>
    <row r="1903" spans="1:8" x14ac:dyDescent="0.25">
      <c r="A1903" s="257">
        <v>1906</v>
      </c>
      <c r="B1903" s="267">
        <v>1902</v>
      </c>
      <c r="C1903" s="268" t="s">
        <v>3757</v>
      </c>
      <c r="D1903" s="269">
        <v>42130</v>
      </c>
      <c r="E1903" s="270" t="s">
        <v>235</v>
      </c>
      <c r="F1903" s="384">
        <v>1490000</v>
      </c>
      <c r="G1903" s="270">
        <v>190080211</v>
      </c>
      <c r="H1903" s="270"/>
    </row>
    <row r="1904" spans="1:8" x14ac:dyDescent="0.25">
      <c r="A1904" s="257">
        <v>1907</v>
      </c>
      <c r="B1904" s="267">
        <v>1903</v>
      </c>
      <c r="C1904" s="268" t="s">
        <v>3568</v>
      </c>
      <c r="D1904" s="269">
        <v>42137</v>
      </c>
      <c r="E1904" s="270" t="s">
        <v>3548</v>
      </c>
      <c r="F1904" s="384">
        <v>280000</v>
      </c>
      <c r="G1904" s="270">
        <v>100192928</v>
      </c>
      <c r="H1904" s="270"/>
    </row>
    <row r="1905" spans="1:8" x14ac:dyDescent="0.25">
      <c r="A1905" s="257">
        <v>1908</v>
      </c>
      <c r="B1905" s="267">
        <v>1904</v>
      </c>
      <c r="C1905" s="268" t="s">
        <v>3223</v>
      </c>
      <c r="D1905" s="269">
        <v>42137</v>
      </c>
      <c r="E1905" s="270" t="s">
        <v>3303</v>
      </c>
      <c r="F1905" s="384">
        <v>280000</v>
      </c>
      <c r="G1905" s="270">
        <v>100297103</v>
      </c>
      <c r="H1905" s="270"/>
    </row>
    <row r="1906" spans="1:8" x14ac:dyDescent="0.25">
      <c r="A1906" s="257">
        <v>1909</v>
      </c>
      <c r="B1906" s="267">
        <v>1905</v>
      </c>
      <c r="C1906" s="268" t="s">
        <v>3621</v>
      </c>
      <c r="D1906" s="269">
        <v>42137</v>
      </c>
      <c r="E1906" s="270" t="s">
        <v>3121</v>
      </c>
      <c r="F1906" s="384">
        <v>280000</v>
      </c>
      <c r="G1906" s="270">
        <v>190892779</v>
      </c>
      <c r="H1906" s="270"/>
    </row>
    <row r="1907" spans="1:8" x14ac:dyDescent="0.25">
      <c r="A1907" s="257">
        <v>1910</v>
      </c>
      <c r="B1907" s="267">
        <v>1906</v>
      </c>
      <c r="C1907" s="268" t="s">
        <v>923</v>
      </c>
      <c r="D1907" s="269">
        <v>42137</v>
      </c>
      <c r="E1907" s="270" t="s">
        <v>3492</v>
      </c>
      <c r="F1907" s="384">
        <v>198000</v>
      </c>
      <c r="G1907" s="270">
        <v>102345778</v>
      </c>
      <c r="H1907" s="270"/>
    </row>
    <row r="1908" spans="1:8" x14ac:dyDescent="0.25">
      <c r="A1908" s="257">
        <v>1911</v>
      </c>
      <c r="B1908" s="267">
        <v>1907</v>
      </c>
      <c r="C1908" s="268" t="s">
        <v>3305</v>
      </c>
      <c r="D1908" s="269">
        <v>42138</v>
      </c>
      <c r="E1908" s="270" t="s">
        <v>2737</v>
      </c>
      <c r="F1908" s="384">
        <v>240000</v>
      </c>
      <c r="G1908" s="270">
        <v>101044354</v>
      </c>
      <c r="H1908" s="270"/>
    </row>
    <row r="1909" spans="1:8" x14ac:dyDescent="0.25">
      <c r="A1909" s="257">
        <v>1912</v>
      </c>
      <c r="B1909" s="267">
        <v>1908</v>
      </c>
      <c r="C1909" s="268" t="s">
        <v>3253</v>
      </c>
      <c r="D1909" s="269">
        <v>42138</v>
      </c>
      <c r="E1909" s="270" t="s">
        <v>3631</v>
      </c>
      <c r="F1909" s="384">
        <v>280000</v>
      </c>
      <c r="G1909" s="270">
        <v>691380883</v>
      </c>
      <c r="H1909" s="270"/>
    </row>
    <row r="1910" spans="1:8" x14ac:dyDescent="0.25">
      <c r="A1910" s="257">
        <v>1913</v>
      </c>
      <c r="B1910" s="267">
        <v>1909</v>
      </c>
      <c r="C1910" s="268" t="s">
        <v>3764</v>
      </c>
      <c r="D1910" s="269">
        <v>42138</v>
      </c>
      <c r="E1910" s="270" t="s">
        <v>479</v>
      </c>
      <c r="F1910" s="384">
        <v>198000</v>
      </c>
      <c r="G1910" s="270">
        <v>6911578401</v>
      </c>
      <c r="H1910" s="270"/>
    </row>
    <row r="1911" spans="1:8" x14ac:dyDescent="0.25">
      <c r="A1911" s="257">
        <v>1914</v>
      </c>
      <c r="B1911" s="267">
        <v>1910</v>
      </c>
      <c r="C1911" s="268" t="s">
        <v>3734</v>
      </c>
      <c r="D1911" s="269">
        <v>42138</v>
      </c>
      <c r="E1911" s="270" t="s">
        <v>2358</v>
      </c>
      <c r="F1911" s="384">
        <v>155000</v>
      </c>
      <c r="G1911" s="270">
        <v>800008903</v>
      </c>
      <c r="H1911" s="270"/>
    </row>
    <row r="1912" spans="1:8" x14ac:dyDescent="0.25">
      <c r="A1912" s="257">
        <v>1915</v>
      </c>
      <c r="B1912" s="267">
        <v>1911</v>
      </c>
      <c r="C1912" s="268" t="s">
        <v>1004</v>
      </c>
      <c r="D1912" s="269">
        <v>42142</v>
      </c>
      <c r="E1912" s="270" t="s">
        <v>2383</v>
      </c>
      <c r="F1912" s="384">
        <v>435000</v>
      </c>
      <c r="G1912" s="270">
        <v>690655317</v>
      </c>
      <c r="H1912" s="270"/>
    </row>
    <row r="1913" spans="1:8" x14ac:dyDescent="0.25">
      <c r="A1913" s="257">
        <v>1916</v>
      </c>
      <c r="B1913" s="267">
        <v>1912</v>
      </c>
      <c r="C1913" s="268" t="s">
        <v>680</v>
      </c>
      <c r="D1913" s="269">
        <v>42142</v>
      </c>
      <c r="E1913" s="270" t="s">
        <v>3598</v>
      </c>
      <c r="F1913" s="384">
        <v>435000</v>
      </c>
      <c r="G1913" s="270">
        <v>190221603</v>
      </c>
      <c r="H1913" s="270"/>
    </row>
    <row r="1914" spans="1:8" x14ac:dyDescent="0.25">
      <c r="A1914" s="257">
        <v>1917</v>
      </c>
      <c r="B1914" s="267">
        <v>1913</v>
      </c>
      <c r="C1914" s="268" t="s">
        <v>2369</v>
      </c>
      <c r="D1914" s="269">
        <v>42142</v>
      </c>
      <c r="E1914" s="270" t="s">
        <v>515</v>
      </c>
      <c r="F1914" s="384">
        <v>155000</v>
      </c>
      <c r="G1914" s="270">
        <v>690387347</v>
      </c>
      <c r="H1914" s="270"/>
    </row>
    <row r="1915" spans="1:8" x14ac:dyDescent="0.25">
      <c r="A1915" s="257">
        <v>1918</v>
      </c>
      <c r="B1915" s="267">
        <v>1914</v>
      </c>
      <c r="C1915" s="268" t="s">
        <v>67</v>
      </c>
      <c r="D1915" s="269">
        <v>42142</v>
      </c>
      <c r="E1915" s="270" t="s">
        <v>914</v>
      </c>
      <c r="F1915" s="384">
        <v>240000</v>
      </c>
      <c r="G1915" s="270">
        <v>190114911</v>
      </c>
      <c r="H1915" s="270"/>
    </row>
    <row r="1916" spans="1:8" x14ac:dyDescent="0.25">
      <c r="A1916" s="257">
        <v>1919</v>
      </c>
      <c r="B1916" s="267">
        <v>1915</v>
      </c>
      <c r="C1916" s="268" t="s">
        <v>1787</v>
      </c>
      <c r="D1916" s="269">
        <v>42142</v>
      </c>
      <c r="E1916" s="270" t="s">
        <v>1937</v>
      </c>
      <c r="F1916" s="384">
        <v>31000</v>
      </c>
      <c r="G1916" s="270">
        <v>808001218</v>
      </c>
      <c r="H1916" s="270"/>
    </row>
    <row r="1917" spans="1:8" x14ac:dyDescent="0.25">
      <c r="A1917" s="257">
        <v>1920</v>
      </c>
      <c r="B1917" s="267">
        <v>1916</v>
      </c>
      <c r="C1917" s="268" t="s">
        <v>2966</v>
      </c>
      <c r="D1917" s="269">
        <v>42142</v>
      </c>
      <c r="E1917" s="270" t="s">
        <v>2885</v>
      </c>
      <c r="F1917" s="384">
        <v>435000</v>
      </c>
      <c r="G1917" s="270">
        <v>691132355</v>
      </c>
      <c r="H1917" s="270"/>
    </row>
    <row r="1918" spans="1:8" x14ac:dyDescent="0.25">
      <c r="A1918" s="257">
        <v>1921</v>
      </c>
      <c r="B1918" s="267">
        <v>1917</v>
      </c>
      <c r="C1918" s="268" t="s">
        <v>2104</v>
      </c>
      <c r="D1918" s="269">
        <v>42145</v>
      </c>
      <c r="E1918" s="270" t="s">
        <v>2736</v>
      </c>
      <c r="F1918" s="384">
        <v>411000</v>
      </c>
      <c r="G1918" s="270">
        <v>691780951</v>
      </c>
      <c r="H1918" s="270"/>
    </row>
    <row r="1919" spans="1:8" x14ac:dyDescent="0.25">
      <c r="A1919" s="257">
        <v>1922</v>
      </c>
      <c r="B1919" s="267">
        <v>1918</v>
      </c>
      <c r="C1919" s="268" t="s">
        <v>2143</v>
      </c>
      <c r="D1919" s="269">
        <v>42145</v>
      </c>
      <c r="E1919" s="270" t="s">
        <v>1927</v>
      </c>
      <c r="F1919" s="384">
        <v>63000</v>
      </c>
      <c r="G1919" s="270">
        <v>190032958</v>
      </c>
      <c r="H1919" s="270"/>
    </row>
    <row r="1920" spans="1:8" x14ac:dyDescent="0.25">
      <c r="A1920" s="257">
        <v>1923</v>
      </c>
      <c r="B1920" s="267">
        <v>1919</v>
      </c>
      <c r="C1920" s="268" t="s">
        <v>3734</v>
      </c>
      <c r="D1920" s="269">
        <v>42145</v>
      </c>
      <c r="E1920" s="270" t="s">
        <v>2358</v>
      </c>
      <c r="F1920" s="384">
        <v>155000</v>
      </c>
      <c r="G1920" s="270">
        <v>800008903</v>
      </c>
      <c r="H1920" s="270"/>
    </row>
    <row r="1921" spans="1:8" x14ac:dyDescent="0.25">
      <c r="A1921" s="257">
        <v>1924</v>
      </c>
      <c r="B1921" s="267">
        <v>1920</v>
      </c>
      <c r="C1921" s="268" t="s">
        <v>1787</v>
      </c>
      <c r="D1921" s="269">
        <v>42146</v>
      </c>
      <c r="E1921" s="270" t="s">
        <v>1541</v>
      </c>
      <c r="F1921" s="384">
        <v>36000</v>
      </c>
      <c r="G1921" s="270">
        <v>808001218</v>
      </c>
      <c r="H1921" s="270"/>
    </row>
    <row r="1922" spans="1:8" x14ac:dyDescent="0.25">
      <c r="A1922" s="257">
        <v>1925</v>
      </c>
      <c r="B1922" s="267">
        <v>1921</v>
      </c>
      <c r="C1922" s="268" t="s">
        <v>3734</v>
      </c>
      <c r="D1922" s="269">
        <v>42146</v>
      </c>
      <c r="E1922" s="270" t="s">
        <v>2358</v>
      </c>
      <c r="F1922" s="384">
        <v>63000</v>
      </c>
      <c r="G1922" s="270">
        <v>800008903</v>
      </c>
      <c r="H1922" s="270"/>
    </row>
    <row r="1923" spans="1:8" x14ac:dyDescent="0.25">
      <c r="A1923" s="257">
        <v>1926</v>
      </c>
      <c r="B1923" s="267">
        <v>1922</v>
      </c>
      <c r="C1923" s="268" t="s">
        <v>3329</v>
      </c>
      <c r="D1923" s="269">
        <v>42146</v>
      </c>
      <c r="E1923" s="270" t="s">
        <v>4199</v>
      </c>
      <c r="F1923" s="384">
        <v>155000</v>
      </c>
      <c r="G1923" s="270">
        <v>690543664</v>
      </c>
      <c r="H1923" s="270"/>
    </row>
    <row r="1924" spans="1:8" x14ac:dyDescent="0.25">
      <c r="A1924" s="257">
        <v>1927</v>
      </c>
      <c r="B1924" s="267">
        <v>1923</v>
      </c>
      <c r="C1924" s="268" t="s">
        <v>2143</v>
      </c>
      <c r="D1924" s="269">
        <v>42146</v>
      </c>
      <c r="E1924" s="270" t="s">
        <v>1927</v>
      </c>
      <c r="F1924" s="384">
        <v>280000</v>
      </c>
      <c r="G1924" s="270">
        <v>190032958</v>
      </c>
      <c r="H1924" s="270"/>
    </row>
    <row r="1925" spans="1:8" x14ac:dyDescent="0.25">
      <c r="A1925" s="257">
        <v>1928</v>
      </c>
      <c r="B1925" s="267">
        <v>1924</v>
      </c>
      <c r="C1925" s="268" t="s">
        <v>4234</v>
      </c>
      <c r="D1925" s="269">
        <v>42146</v>
      </c>
      <c r="E1925" s="270" t="s">
        <v>340</v>
      </c>
      <c r="F1925" s="384">
        <v>435000</v>
      </c>
      <c r="G1925" s="270">
        <v>190444477</v>
      </c>
      <c r="H1925" s="270"/>
    </row>
    <row r="1926" spans="1:8" x14ac:dyDescent="0.25">
      <c r="A1926" s="257">
        <v>1929</v>
      </c>
      <c r="B1926" s="267">
        <v>1925</v>
      </c>
      <c r="C1926" s="268" t="s">
        <v>680</v>
      </c>
      <c r="D1926" s="269">
        <v>42146</v>
      </c>
      <c r="E1926" s="270" t="s">
        <v>3598</v>
      </c>
      <c r="F1926" s="384">
        <v>193000</v>
      </c>
      <c r="G1926" s="270">
        <v>190221603</v>
      </c>
      <c r="H1926" s="270"/>
    </row>
    <row r="1927" spans="1:8" x14ac:dyDescent="0.25">
      <c r="A1927" s="257">
        <v>1930</v>
      </c>
      <c r="B1927" s="267">
        <v>1926</v>
      </c>
      <c r="C1927" s="268" t="s">
        <v>1834</v>
      </c>
      <c r="D1927" s="269">
        <v>42146</v>
      </c>
      <c r="E1927" s="270" t="s">
        <v>453</v>
      </c>
      <c r="F1927" s="384">
        <v>280000</v>
      </c>
      <c r="G1927" s="270">
        <v>6915330341</v>
      </c>
      <c r="H1927" s="270"/>
    </row>
    <row r="1928" spans="1:8" x14ac:dyDescent="0.25">
      <c r="A1928" s="257">
        <v>1931</v>
      </c>
      <c r="B1928" s="267">
        <v>1927</v>
      </c>
      <c r="C1928" s="268" t="s">
        <v>3138</v>
      </c>
      <c r="D1928" s="269">
        <v>42146</v>
      </c>
      <c r="E1928" s="270" t="s">
        <v>3775</v>
      </c>
      <c r="F1928" s="384">
        <v>36000</v>
      </c>
      <c r="G1928" s="270">
        <v>191694219</v>
      </c>
      <c r="H1928" s="270"/>
    </row>
    <row r="1929" spans="1:8" x14ac:dyDescent="0.25">
      <c r="A1929" s="257">
        <v>1932</v>
      </c>
      <c r="B1929" s="267">
        <v>1928</v>
      </c>
      <c r="C1929" s="268" t="s">
        <v>823</v>
      </c>
      <c r="D1929" s="269">
        <v>42149</v>
      </c>
      <c r="E1929" s="270" t="s">
        <v>3600</v>
      </c>
      <c r="F1929" s="384">
        <v>280000</v>
      </c>
      <c r="G1929" s="270">
        <v>690628627</v>
      </c>
      <c r="H1929" s="270"/>
    </row>
    <row r="1930" spans="1:8" x14ac:dyDescent="0.25">
      <c r="A1930" s="257">
        <v>1933</v>
      </c>
      <c r="B1930" s="267">
        <v>1929</v>
      </c>
      <c r="C1930" s="268" t="s">
        <v>2848</v>
      </c>
      <c r="D1930" s="269">
        <v>42149</v>
      </c>
      <c r="E1930" s="270" t="s">
        <v>1100</v>
      </c>
      <c r="F1930" s="384">
        <v>165000</v>
      </c>
      <c r="G1930" s="270">
        <v>101288715</v>
      </c>
      <c r="H1930" s="270"/>
    </row>
    <row r="1931" spans="1:8" x14ac:dyDescent="0.25">
      <c r="A1931" s="257">
        <v>1934</v>
      </c>
      <c r="B1931" s="267">
        <v>1930</v>
      </c>
      <c r="C1931" s="268" t="s">
        <v>882</v>
      </c>
      <c r="D1931" s="269">
        <v>42149</v>
      </c>
      <c r="E1931" s="270" t="s">
        <v>2421</v>
      </c>
      <c r="F1931" s="384">
        <v>160000</v>
      </c>
      <c r="G1931" s="270">
        <v>100010315</v>
      </c>
      <c r="H1931" s="270"/>
    </row>
    <row r="1932" spans="1:8" x14ac:dyDescent="0.25">
      <c r="A1932" s="257">
        <v>1935</v>
      </c>
      <c r="B1932" s="267">
        <v>1931</v>
      </c>
      <c r="C1932" s="268" t="s">
        <v>2618</v>
      </c>
      <c r="D1932" s="269">
        <v>42149</v>
      </c>
      <c r="E1932" s="270" t="s">
        <v>1622</v>
      </c>
      <c r="F1932" s="384">
        <v>560000</v>
      </c>
      <c r="G1932" s="270">
        <v>190513098</v>
      </c>
      <c r="H1932" s="270"/>
    </row>
    <row r="1933" spans="1:8" x14ac:dyDescent="0.25">
      <c r="A1933" s="257">
        <v>1936</v>
      </c>
      <c r="B1933" s="267">
        <v>1932</v>
      </c>
      <c r="C1933" s="268" t="s">
        <v>3302</v>
      </c>
      <c r="D1933" s="269">
        <v>42149</v>
      </c>
      <c r="E1933" s="270" t="s">
        <v>1529</v>
      </c>
      <c r="F1933" s="384">
        <v>995000</v>
      </c>
      <c r="G1933" s="270">
        <v>600125079</v>
      </c>
      <c r="H1933" s="270"/>
    </row>
    <row r="1934" spans="1:8" x14ac:dyDescent="0.25">
      <c r="A1934" s="257">
        <v>1937</v>
      </c>
      <c r="B1934" s="267">
        <v>1933</v>
      </c>
      <c r="C1934" s="268" t="s">
        <v>2716</v>
      </c>
      <c r="D1934" s="269">
        <v>42149</v>
      </c>
      <c r="E1934" s="270" t="s">
        <v>2760</v>
      </c>
      <c r="F1934" s="384">
        <v>160000</v>
      </c>
      <c r="G1934" s="270">
        <v>100801936</v>
      </c>
      <c r="H1934" s="270"/>
    </row>
    <row r="1935" spans="1:8" x14ac:dyDescent="0.25">
      <c r="A1935" s="257">
        <v>1938</v>
      </c>
      <c r="B1935" s="267">
        <v>1934</v>
      </c>
      <c r="C1935" s="268" t="s">
        <v>3327</v>
      </c>
      <c r="D1935" s="269">
        <v>42149</v>
      </c>
      <c r="E1935" s="270" t="s">
        <v>3119</v>
      </c>
      <c r="F1935" s="384">
        <v>240000</v>
      </c>
      <c r="G1935" s="270">
        <v>691531149</v>
      </c>
      <c r="H1935" s="270"/>
    </row>
    <row r="1936" spans="1:8" x14ac:dyDescent="0.25">
      <c r="A1936" s="257">
        <v>1939</v>
      </c>
      <c r="B1936" s="267">
        <v>1935</v>
      </c>
      <c r="C1936" s="268" t="s">
        <v>343</v>
      </c>
      <c r="D1936" s="269">
        <v>42149</v>
      </c>
      <c r="E1936" s="270" t="s">
        <v>2642</v>
      </c>
      <c r="F1936" s="384">
        <v>280000</v>
      </c>
      <c r="G1936" s="270">
        <v>390498949</v>
      </c>
      <c r="H1936" s="270"/>
    </row>
    <row r="1937" spans="1:8" x14ac:dyDescent="0.25">
      <c r="A1937" s="257">
        <v>1940</v>
      </c>
      <c r="B1937" s="267">
        <v>1936</v>
      </c>
      <c r="C1937" s="268" t="s">
        <v>823</v>
      </c>
      <c r="D1937" s="269">
        <v>42149</v>
      </c>
      <c r="E1937" s="270" t="s">
        <v>3600</v>
      </c>
      <c r="F1937" s="384">
        <v>155000</v>
      </c>
      <c r="G1937" s="270">
        <v>690628627</v>
      </c>
      <c r="H1937" s="270"/>
    </row>
    <row r="1938" spans="1:8" x14ac:dyDescent="0.25">
      <c r="A1938" s="257">
        <v>1941</v>
      </c>
      <c r="B1938" s="267">
        <v>1937</v>
      </c>
      <c r="C1938" s="268" t="s">
        <v>265</v>
      </c>
      <c r="D1938" s="269">
        <v>42149</v>
      </c>
      <c r="E1938" s="270" t="s">
        <v>450</v>
      </c>
      <c r="F1938" s="384">
        <v>560000</v>
      </c>
      <c r="G1938" s="270">
        <v>100468996</v>
      </c>
      <c r="H1938" s="270"/>
    </row>
    <row r="1939" spans="1:8" x14ac:dyDescent="0.25">
      <c r="A1939" s="257">
        <v>1942</v>
      </c>
      <c r="B1939" s="267">
        <v>1938</v>
      </c>
      <c r="C1939" s="268" t="s">
        <v>2036</v>
      </c>
      <c r="D1939" s="269">
        <v>42149</v>
      </c>
      <c r="E1939" s="270" t="s">
        <v>3594</v>
      </c>
      <c r="F1939" s="384">
        <v>435000</v>
      </c>
      <c r="G1939" s="270">
        <v>190882802</v>
      </c>
      <c r="H1939" s="270"/>
    </row>
    <row r="1940" spans="1:8" x14ac:dyDescent="0.25">
      <c r="A1940" s="257">
        <v>1943</v>
      </c>
      <c r="B1940" s="267">
        <v>1939</v>
      </c>
      <c r="C1940" s="268" t="s">
        <v>3658</v>
      </c>
      <c r="D1940" s="269">
        <v>42149</v>
      </c>
      <c r="E1940" s="270" t="s">
        <v>3552</v>
      </c>
      <c r="F1940" s="384">
        <v>620000</v>
      </c>
      <c r="G1940" s="270">
        <v>191569368</v>
      </c>
      <c r="H1940" s="270"/>
    </row>
    <row r="1941" spans="1:8" x14ac:dyDescent="0.25">
      <c r="A1941" s="257">
        <v>1944</v>
      </c>
      <c r="B1941" s="267">
        <v>1940</v>
      </c>
      <c r="C1941" s="268" t="s">
        <v>3658</v>
      </c>
      <c r="D1941" s="269">
        <v>42149</v>
      </c>
      <c r="E1941" s="270" t="s">
        <v>3552</v>
      </c>
      <c r="F1941" s="384">
        <v>280000</v>
      </c>
      <c r="G1941" s="270">
        <v>191569368</v>
      </c>
      <c r="H1941" s="270"/>
    </row>
    <row r="1942" spans="1:8" x14ac:dyDescent="0.25">
      <c r="A1942" s="257">
        <v>1945</v>
      </c>
      <c r="B1942" s="267">
        <v>1941</v>
      </c>
      <c r="C1942" s="268" t="s">
        <v>2143</v>
      </c>
      <c r="D1942" s="269">
        <v>42150</v>
      </c>
      <c r="E1942" s="270" t="s">
        <v>1927</v>
      </c>
      <c r="F1942" s="384">
        <v>788000</v>
      </c>
      <c r="G1942" s="270">
        <v>190032958</v>
      </c>
      <c r="H1942" s="270"/>
    </row>
    <row r="1943" spans="1:8" x14ac:dyDescent="0.25">
      <c r="A1943" s="257">
        <v>1946</v>
      </c>
      <c r="B1943" s="267">
        <v>1942</v>
      </c>
      <c r="C1943" s="268" t="s">
        <v>724</v>
      </c>
      <c r="D1943" s="269">
        <v>42150</v>
      </c>
      <c r="E1943" s="270" t="s">
        <v>1000</v>
      </c>
      <c r="F1943" s="384">
        <v>160000</v>
      </c>
      <c r="G1943" s="270">
        <v>808000410</v>
      </c>
      <c r="H1943" s="270"/>
    </row>
    <row r="1944" spans="1:8" x14ac:dyDescent="0.25">
      <c r="A1944" s="257">
        <v>1947</v>
      </c>
      <c r="B1944" s="267">
        <v>1943</v>
      </c>
      <c r="C1944" s="268" t="s">
        <v>8</v>
      </c>
      <c r="D1944" s="269">
        <v>42150</v>
      </c>
      <c r="E1944" s="270" t="s">
        <v>2834</v>
      </c>
      <c r="F1944" s="384">
        <v>280000</v>
      </c>
      <c r="G1944" s="270">
        <v>190187145</v>
      </c>
      <c r="H1944" s="270"/>
    </row>
    <row r="1945" spans="1:8" x14ac:dyDescent="0.25">
      <c r="A1945" s="257">
        <v>1948</v>
      </c>
      <c r="B1945" s="267">
        <v>1944</v>
      </c>
      <c r="C1945" s="268" t="s">
        <v>2869</v>
      </c>
      <c r="D1945" s="269">
        <v>42150</v>
      </c>
      <c r="E1945" s="270" t="s">
        <v>970</v>
      </c>
      <c r="F1945" s="384">
        <v>310000</v>
      </c>
      <c r="G1945" s="270">
        <v>590779700</v>
      </c>
      <c r="H1945" s="270"/>
    </row>
    <row r="1946" spans="1:8" x14ac:dyDescent="0.25">
      <c r="A1946" s="257">
        <v>1949</v>
      </c>
      <c r="B1946" s="267">
        <v>1945</v>
      </c>
      <c r="C1946" s="268" t="s">
        <v>732</v>
      </c>
      <c r="D1946" s="269">
        <v>42150</v>
      </c>
      <c r="E1946" s="270" t="s">
        <v>3238</v>
      </c>
      <c r="F1946" s="384">
        <v>435000</v>
      </c>
      <c r="G1946" s="270">
        <v>191870208</v>
      </c>
      <c r="H1946" s="270"/>
    </row>
    <row r="1947" spans="1:8" x14ac:dyDescent="0.25">
      <c r="A1947" s="257">
        <v>1950</v>
      </c>
      <c r="B1947" s="267">
        <v>1946</v>
      </c>
      <c r="C1947" s="268" t="s">
        <v>3327</v>
      </c>
      <c r="D1947" s="269">
        <v>42150</v>
      </c>
      <c r="E1947" s="270" t="s">
        <v>3119</v>
      </c>
      <c r="F1947" s="384">
        <v>240000</v>
      </c>
      <c r="G1947" s="270">
        <v>691531149</v>
      </c>
      <c r="H1947" s="270"/>
    </row>
    <row r="1948" spans="1:8" x14ac:dyDescent="0.25">
      <c r="A1948" s="257">
        <v>1951</v>
      </c>
      <c r="B1948" s="267">
        <v>1947</v>
      </c>
      <c r="C1948" s="268" t="s">
        <v>3281</v>
      </c>
      <c r="D1948" s="269">
        <v>42153</v>
      </c>
      <c r="E1948" s="270" t="s">
        <v>2875</v>
      </c>
      <c r="F1948" s="384">
        <v>240000</v>
      </c>
      <c r="G1948" s="270">
        <v>190996805</v>
      </c>
      <c r="H1948" s="270"/>
    </row>
    <row r="1949" spans="1:8" x14ac:dyDescent="0.25">
      <c r="A1949" s="257">
        <v>1952</v>
      </c>
      <c r="B1949" s="267">
        <v>1948</v>
      </c>
      <c r="C1949" s="268" t="s">
        <v>221</v>
      </c>
      <c r="D1949" s="269">
        <v>42153</v>
      </c>
      <c r="E1949" s="270" t="s">
        <v>840</v>
      </c>
      <c r="F1949" s="384">
        <v>435000</v>
      </c>
      <c r="G1949" s="270">
        <v>191648960</v>
      </c>
      <c r="H1949" s="270"/>
    </row>
    <row r="1950" spans="1:8" x14ac:dyDescent="0.25">
      <c r="A1950" s="257">
        <v>1953</v>
      </c>
      <c r="B1950" s="267">
        <v>1949</v>
      </c>
      <c r="C1950" s="268" t="s">
        <v>2075</v>
      </c>
      <c r="D1950" s="269">
        <v>42153</v>
      </c>
      <c r="E1950" s="270" t="s">
        <v>696</v>
      </c>
      <c r="F1950" s="384">
        <v>2145000</v>
      </c>
      <c r="G1950" s="270">
        <v>100098987</v>
      </c>
      <c r="H1950" s="270"/>
    </row>
    <row r="1951" spans="1:8" x14ac:dyDescent="0.25">
      <c r="A1951" s="257">
        <v>1954</v>
      </c>
      <c r="B1951" s="267">
        <v>1950</v>
      </c>
      <c r="C1951" s="268" t="s">
        <v>334</v>
      </c>
      <c r="D1951" s="269">
        <v>42153</v>
      </c>
      <c r="E1951" s="270" t="s">
        <v>1694</v>
      </c>
      <c r="F1951" s="384">
        <v>870000</v>
      </c>
      <c r="G1951" s="270">
        <v>101392173</v>
      </c>
      <c r="H1951" s="270"/>
    </row>
    <row r="1952" spans="1:8" x14ac:dyDescent="0.25">
      <c r="A1952" s="257">
        <v>1955</v>
      </c>
      <c r="B1952" s="267">
        <v>1951</v>
      </c>
      <c r="C1952" s="268" t="s">
        <v>3269</v>
      </c>
      <c r="D1952" s="269">
        <v>42153</v>
      </c>
      <c r="E1952" s="270" t="s">
        <v>4</v>
      </c>
      <c r="F1952" s="384">
        <v>280000</v>
      </c>
      <c r="G1952" s="270">
        <v>690836601</v>
      </c>
      <c r="H1952" s="270"/>
    </row>
    <row r="1953" spans="1:8" x14ac:dyDescent="0.25">
      <c r="A1953" s="257">
        <v>1956</v>
      </c>
      <c r="B1953" s="267">
        <v>1952</v>
      </c>
      <c r="C1953" s="268" t="s">
        <v>1941</v>
      </c>
      <c r="D1953" s="269">
        <v>42153</v>
      </c>
      <c r="E1953" s="270" t="s">
        <v>2871</v>
      </c>
      <c r="F1953" s="384">
        <v>3080000</v>
      </c>
      <c r="G1953" s="270">
        <v>101015738</v>
      </c>
      <c r="H1953" s="270"/>
    </row>
    <row r="1954" spans="1:8" x14ac:dyDescent="0.25">
      <c r="A1954" s="257">
        <v>1957</v>
      </c>
      <c r="B1954" s="267">
        <v>1953</v>
      </c>
      <c r="C1954" s="268" t="s">
        <v>995</v>
      </c>
      <c r="D1954" s="269">
        <v>42153</v>
      </c>
      <c r="E1954" s="270" t="s">
        <v>4181</v>
      </c>
      <c r="F1954" s="384">
        <v>300000</v>
      </c>
      <c r="G1954" s="270">
        <v>192007841</v>
      </c>
      <c r="H1954" s="270"/>
    </row>
    <row r="1955" spans="1:8" x14ac:dyDescent="0.25">
      <c r="A1955" s="257">
        <v>1958</v>
      </c>
      <c r="B1955" s="267">
        <v>1954</v>
      </c>
      <c r="C1955" s="268" t="s">
        <v>1928</v>
      </c>
      <c r="D1955" s="269">
        <v>42153</v>
      </c>
      <c r="E1955" s="270" t="s">
        <v>2801</v>
      </c>
      <c r="F1955" s="384">
        <v>198000</v>
      </c>
      <c r="G1955" s="270">
        <v>190334745</v>
      </c>
      <c r="H1955" s="270"/>
    </row>
    <row r="1956" spans="1:8" x14ac:dyDescent="0.25">
      <c r="A1956" s="257">
        <v>1959</v>
      </c>
      <c r="B1956" s="267">
        <v>1955</v>
      </c>
      <c r="C1956" s="268" t="s">
        <v>3252</v>
      </c>
      <c r="D1956" s="269">
        <v>42153</v>
      </c>
      <c r="E1956" s="270" t="s">
        <v>526</v>
      </c>
      <c r="F1956" s="384">
        <v>240000</v>
      </c>
      <c r="G1956" s="270">
        <v>691536906</v>
      </c>
      <c r="H1956" s="270"/>
    </row>
    <row r="1957" spans="1:8" x14ac:dyDescent="0.25">
      <c r="A1957" s="257">
        <v>1960</v>
      </c>
      <c r="B1957" s="267">
        <v>1956</v>
      </c>
      <c r="C1957" s="268" t="s">
        <v>3317</v>
      </c>
      <c r="D1957" s="269">
        <v>42153</v>
      </c>
      <c r="E1957" s="270" t="s">
        <v>2742</v>
      </c>
      <c r="F1957" s="384">
        <v>155000</v>
      </c>
      <c r="G1957" s="270">
        <v>100881652</v>
      </c>
      <c r="H1957" s="270"/>
    </row>
    <row r="1958" spans="1:8" x14ac:dyDescent="0.25">
      <c r="A1958" s="257">
        <v>1961</v>
      </c>
      <c r="B1958" s="267">
        <v>1957</v>
      </c>
      <c r="C1958" s="268" t="s">
        <v>196</v>
      </c>
      <c r="D1958" s="269">
        <v>42154</v>
      </c>
      <c r="E1958" s="270" t="s">
        <v>2717</v>
      </c>
      <c r="F1958" s="384">
        <v>435000</v>
      </c>
      <c r="G1958" s="270">
        <v>101538513</v>
      </c>
      <c r="H1958" s="270"/>
    </row>
    <row r="1959" spans="1:8" x14ac:dyDescent="0.25">
      <c r="A1959" s="257">
        <v>1962</v>
      </c>
      <c r="B1959" s="267">
        <v>1958</v>
      </c>
      <c r="C1959" s="268" t="s">
        <v>491</v>
      </c>
      <c r="D1959" s="269">
        <v>42154</v>
      </c>
      <c r="E1959" s="270" t="s">
        <v>0</v>
      </c>
      <c r="F1959" s="384">
        <v>155000</v>
      </c>
      <c r="G1959" s="270">
        <v>190859378</v>
      </c>
      <c r="H1959" s="270"/>
    </row>
    <row r="1960" spans="1:8" x14ac:dyDescent="0.25">
      <c r="A1960" s="257">
        <v>1963</v>
      </c>
      <c r="B1960" s="267">
        <v>1959</v>
      </c>
      <c r="C1960" s="268" t="s">
        <v>4201</v>
      </c>
      <c r="D1960" s="269">
        <v>42154</v>
      </c>
      <c r="E1960" s="270" t="s">
        <v>349</v>
      </c>
      <c r="F1960" s="384">
        <v>155000</v>
      </c>
      <c r="G1960" s="270">
        <v>690604750</v>
      </c>
      <c r="H1960" s="270"/>
    </row>
    <row r="1961" spans="1:8" x14ac:dyDescent="0.25">
      <c r="A1961" s="257">
        <v>1964</v>
      </c>
      <c r="B1961" s="267">
        <v>1960</v>
      </c>
      <c r="C1961" s="268" t="s">
        <v>870</v>
      </c>
      <c r="D1961" s="269">
        <v>42154</v>
      </c>
      <c r="E1961" s="270" t="s">
        <v>428</v>
      </c>
      <c r="F1961" s="384">
        <v>63000</v>
      </c>
      <c r="G1961" s="270">
        <v>100783448</v>
      </c>
      <c r="H1961" s="270"/>
    </row>
    <row r="1962" spans="1:8" x14ac:dyDescent="0.25">
      <c r="A1962" s="257">
        <v>1965</v>
      </c>
      <c r="B1962" s="267">
        <v>1961</v>
      </c>
      <c r="C1962" s="268" t="s">
        <v>3216</v>
      </c>
      <c r="D1962" s="269">
        <v>42157</v>
      </c>
      <c r="E1962" s="270" t="s">
        <v>1644</v>
      </c>
      <c r="F1962" s="384">
        <v>1400000</v>
      </c>
      <c r="G1962" s="270">
        <v>100315288</v>
      </c>
      <c r="H1962" s="270"/>
    </row>
    <row r="1963" spans="1:8" x14ac:dyDescent="0.25">
      <c r="A1963" s="257">
        <v>1966</v>
      </c>
      <c r="B1963" s="267">
        <v>1962</v>
      </c>
      <c r="C1963" s="268" t="s">
        <v>1784</v>
      </c>
      <c r="D1963" s="269">
        <v>42157</v>
      </c>
      <c r="E1963" s="270" t="s">
        <v>739</v>
      </c>
      <c r="F1963" s="384">
        <v>395000</v>
      </c>
      <c r="G1963" s="270">
        <v>190345942</v>
      </c>
      <c r="H1963" s="270"/>
    </row>
    <row r="1964" spans="1:8" x14ac:dyDescent="0.25">
      <c r="A1964" s="257">
        <v>1967</v>
      </c>
      <c r="B1964" s="267">
        <v>1963</v>
      </c>
      <c r="C1964" s="268" t="s">
        <v>348</v>
      </c>
      <c r="D1964" s="269">
        <v>42157</v>
      </c>
      <c r="E1964" s="270" t="s">
        <v>1925</v>
      </c>
      <c r="F1964" s="384">
        <v>63000</v>
      </c>
      <c r="G1964" s="270">
        <v>600339406</v>
      </c>
      <c r="H1964" s="270"/>
    </row>
    <row r="1965" spans="1:8" x14ac:dyDescent="0.25">
      <c r="A1965" s="257">
        <v>1968</v>
      </c>
      <c r="B1965" s="267">
        <v>1964</v>
      </c>
      <c r="C1965" s="268" t="s">
        <v>230</v>
      </c>
      <c r="D1965" s="269">
        <v>42157</v>
      </c>
      <c r="E1965" s="270" t="s">
        <v>2691</v>
      </c>
      <c r="F1965" s="384">
        <v>160000</v>
      </c>
      <c r="G1965" s="270">
        <v>601072772</v>
      </c>
      <c r="H1965" s="270"/>
    </row>
    <row r="1966" spans="1:8" x14ac:dyDescent="0.25">
      <c r="A1966" s="257">
        <v>1969</v>
      </c>
      <c r="B1966" s="267">
        <v>1965</v>
      </c>
      <c r="C1966" s="268" t="s">
        <v>2645</v>
      </c>
      <c r="D1966" s="269">
        <v>42157</v>
      </c>
      <c r="E1966" s="270" t="s">
        <v>239</v>
      </c>
      <c r="F1966" s="384">
        <v>2175000</v>
      </c>
      <c r="G1966" s="270">
        <v>101139097</v>
      </c>
      <c r="H1966" s="270"/>
    </row>
    <row r="1967" spans="1:8" x14ac:dyDescent="0.25">
      <c r="A1967" s="257">
        <v>1970</v>
      </c>
      <c r="B1967" s="267">
        <v>1966</v>
      </c>
      <c r="C1967" s="268" t="s">
        <v>159</v>
      </c>
      <c r="D1967" s="269">
        <v>42157</v>
      </c>
      <c r="E1967" s="270" t="s">
        <v>1684</v>
      </c>
      <c r="F1967" s="384">
        <v>590000</v>
      </c>
      <c r="G1967" s="270">
        <v>100819821</v>
      </c>
      <c r="H1967" s="270"/>
    </row>
    <row r="1968" spans="1:8" x14ac:dyDescent="0.25">
      <c r="A1968" s="257">
        <v>1971</v>
      </c>
      <c r="B1968" s="267">
        <v>1967</v>
      </c>
      <c r="C1968" s="268" t="s">
        <v>3538</v>
      </c>
      <c r="D1968" s="269">
        <v>42157</v>
      </c>
      <c r="E1968" s="270" t="s">
        <v>445</v>
      </c>
      <c r="F1968" s="384">
        <v>438000</v>
      </c>
      <c r="G1968" s="270">
        <v>190696505</v>
      </c>
      <c r="H1968" s="270"/>
    </row>
    <row r="1969" spans="1:8" x14ac:dyDescent="0.25">
      <c r="A1969" s="257">
        <v>1972</v>
      </c>
      <c r="B1969" s="267">
        <v>1968</v>
      </c>
      <c r="C1969" s="268" t="s">
        <v>3603</v>
      </c>
      <c r="D1969" s="269">
        <v>42157</v>
      </c>
      <c r="E1969" s="270" t="s">
        <v>987</v>
      </c>
      <c r="F1969" s="384">
        <v>198000</v>
      </c>
      <c r="G1969" s="270">
        <v>101491292</v>
      </c>
      <c r="H1969" s="270"/>
    </row>
    <row r="1970" spans="1:8" x14ac:dyDescent="0.25">
      <c r="A1970" s="257">
        <v>1973</v>
      </c>
      <c r="B1970" s="267">
        <v>1969</v>
      </c>
      <c r="C1970" s="268" t="s">
        <v>3860</v>
      </c>
      <c r="D1970" s="269">
        <v>42157</v>
      </c>
      <c r="E1970" s="270" t="s">
        <v>2638</v>
      </c>
      <c r="F1970" s="384">
        <v>240000</v>
      </c>
      <c r="G1970" s="270">
        <v>100279781</v>
      </c>
      <c r="H1970" s="270"/>
    </row>
    <row r="1971" spans="1:8" x14ac:dyDescent="0.25">
      <c r="A1971" s="257">
        <v>1974</v>
      </c>
      <c r="B1971" s="267">
        <v>1970</v>
      </c>
      <c r="C1971" s="268" t="s">
        <v>390</v>
      </c>
      <c r="D1971" s="269">
        <v>42158</v>
      </c>
      <c r="E1971" s="270" t="s">
        <v>3518</v>
      </c>
      <c r="F1971" s="384">
        <v>280000</v>
      </c>
      <c r="G1971" s="270">
        <v>100092100</v>
      </c>
      <c r="H1971" s="270"/>
    </row>
    <row r="1972" spans="1:8" x14ac:dyDescent="0.25">
      <c r="A1972" s="257">
        <v>1975</v>
      </c>
      <c r="B1972" s="267">
        <v>1971</v>
      </c>
      <c r="C1972" s="268" t="s">
        <v>680</v>
      </c>
      <c r="D1972" s="269">
        <v>42158</v>
      </c>
      <c r="E1972" s="270" t="s">
        <v>3598</v>
      </c>
      <c r="F1972" s="384">
        <v>1305000</v>
      </c>
      <c r="G1972" s="270">
        <v>190221603</v>
      </c>
      <c r="H1972" s="270"/>
    </row>
    <row r="1973" spans="1:8" x14ac:dyDescent="0.25">
      <c r="A1973" s="257">
        <v>1976</v>
      </c>
      <c r="B1973" s="267">
        <v>1972</v>
      </c>
      <c r="C1973" s="268" t="s">
        <v>3494</v>
      </c>
      <c r="D1973" s="269">
        <v>42158</v>
      </c>
      <c r="E1973" s="270" t="s">
        <v>3651</v>
      </c>
      <c r="F1973" s="384">
        <v>160000</v>
      </c>
      <c r="G1973" s="270">
        <v>100017151</v>
      </c>
      <c r="H1973" s="270"/>
    </row>
    <row r="1974" spans="1:8" x14ac:dyDescent="0.25">
      <c r="A1974" s="257">
        <v>1977</v>
      </c>
      <c r="B1974" s="267">
        <v>1973</v>
      </c>
      <c r="C1974" s="268" t="s">
        <v>2860</v>
      </c>
      <c r="D1974" s="269">
        <v>42158</v>
      </c>
      <c r="E1974" s="270" t="s">
        <v>3222</v>
      </c>
      <c r="F1974" s="384">
        <v>435000</v>
      </c>
      <c r="G1974" s="270">
        <v>691535754</v>
      </c>
      <c r="H1974" s="270"/>
    </row>
    <row r="1975" spans="1:8" x14ac:dyDescent="0.25">
      <c r="A1975" s="257">
        <v>1978</v>
      </c>
      <c r="B1975" s="267">
        <v>1974</v>
      </c>
      <c r="C1975" s="268" t="s">
        <v>2873</v>
      </c>
      <c r="D1975" s="269">
        <v>42158</v>
      </c>
      <c r="E1975" s="270" t="s">
        <v>2872</v>
      </c>
      <c r="F1975" s="384">
        <v>198000</v>
      </c>
      <c r="G1975" s="270">
        <v>690564411</v>
      </c>
      <c r="H1975" s="270"/>
    </row>
    <row r="1976" spans="1:8" x14ac:dyDescent="0.25">
      <c r="A1976" s="257">
        <v>1979</v>
      </c>
      <c r="B1976" s="267">
        <v>1975</v>
      </c>
      <c r="C1976" s="268" t="s">
        <v>343</v>
      </c>
      <c r="D1976" s="269">
        <v>42158</v>
      </c>
      <c r="E1976" s="270" t="s">
        <v>2642</v>
      </c>
      <c r="F1976" s="384">
        <v>161000</v>
      </c>
      <c r="G1976" s="270">
        <v>390498949</v>
      </c>
      <c r="H1976" s="270"/>
    </row>
    <row r="1977" spans="1:8" x14ac:dyDescent="0.25">
      <c r="A1977" s="257">
        <v>1980</v>
      </c>
      <c r="B1977" s="267">
        <v>1976</v>
      </c>
      <c r="C1977" s="268" t="s">
        <v>3658</v>
      </c>
      <c r="D1977" s="269">
        <v>42160</v>
      </c>
      <c r="E1977" s="270" t="s">
        <v>3552</v>
      </c>
      <c r="F1977" s="384">
        <v>280000</v>
      </c>
      <c r="G1977" s="270">
        <v>191569368</v>
      </c>
      <c r="H1977" s="270"/>
    </row>
    <row r="1978" spans="1:8" x14ac:dyDescent="0.25">
      <c r="A1978" s="257">
        <v>1981</v>
      </c>
      <c r="B1978" s="267">
        <v>1977</v>
      </c>
      <c r="C1978" s="268" t="s">
        <v>3757</v>
      </c>
      <c r="D1978" s="269">
        <v>42162</v>
      </c>
      <c r="E1978" s="270" t="s">
        <v>235</v>
      </c>
      <c r="F1978" s="384">
        <v>1770000</v>
      </c>
      <c r="G1978" s="270">
        <v>190080211</v>
      </c>
      <c r="H1978" s="270"/>
    </row>
    <row r="1979" spans="1:8" x14ac:dyDescent="0.25">
      <c r="A1979" s="257">
        <v>1982</v>
      </c>
      <c r="B1979" s="267">
        <v>1978</v>
      </c>
      <c r="C1979" s="268" t="s">
        <v>2143</v>
      </c>
      <c r="D1979" s="269">
        <v>42178</v>
      </c>
      <c r="E1979" s="270" t="s">
        <v>1927</v>
      </c>
      <c r="F1979" s="384">
        <v>522000</v>
      </c>
      <c r="G1979" s="270">
        <v>190032958</v>
      </c>
      <c r="H1979" s="270"/>
    </row>
    <row r="1980" spans="1:8" x14ac:dyDescent="0.25">
      <c r="A1980" s="257">
        <v>1983</v>
      </c>
      <c r="B1980" s="267">
        <v>1979</v>
      </c>
      <c r="C1980" s="268" t="s">
        <v>462</v>
      </c>
      <c r="D1980" s="269">
        <v>42178</v>
      </c>
      <c r="E1980" s="270" t="s">
        <v>183</v>
      </c>
      <c r="F1980" s="384">
        <v>435000</v>
      </c>
      <c r="G1980" s="270">
        <v>190905167</v>
      </c>
      <c r="H1980" s="270"/>
    </row>
    <row r="1981" spans="1:8" x14ac:dyDescent="0.25">
      <c r="A1981" s="257">
        <v>1984</v>
      </c>
      <c r="B1981" s="267">
        <v>1980</v>
      </c>
      <c r="C1981" s="268" t="s">
        <v>2835</v>
      </c>
      <c r="D1981" s="269">
        <v>42178</v>
      </c>
      <c r="E1981" s="270" t="s">
        <v>2890</v>
      </c>
      <c r="F1981" s="384">
        <v>129000</v>
      </c>
      <c r="G1981" s="270">
        <v>690367172</v>
      </c>
      <c r="H1981" s="270"/>
    </row>
    <row r="1982" spans="1:8" x14ac:dyDescent="0.25">
      <c r="A1982" s="257">
        <v>1985</v>
      </c>
      <c r="B1982" s="267">
        <v>1981</v>
      </c>
      <c r="C1982" s="268" t="s">
        <v>1525</v>
      </c>
      <c r="D1982" s="269">
        <v>42178</v>
      </c>
      <c r="E1982" s="270" t="s">
        <v>1005</v>
      </c>
      <c r="F1982" s="384">
        <v>63000</v>
      </c>
      <c r="G1982" s="270">
        <v>101116081</v>
      </c>
      <c r="H1982" s="270"/>
    </row>
    <row r="1983" spans="1:8" x14ac:dyDescent="0.25">
      <c r="A1983" s="257">
        <v>1986</v>
      </c>
      <c r="B1983" s="267">
        <v>1982</v>
      </c>
      <c r="C1983" s="268" t="s">
        <v>905</v>
      </c>
      <c r="D1983" s="269">
        <v>42181</v>
      </c>
      <c r="E1983" s="270" t="s">
        <v>2438</v>
      </c>
      <c r="F1983" s="384">
        <v>435000</v>
      </c>
      <c r="G1983" s="270">
        <v>691525645</v>
      </c>
      <c r="H1983" s="270"/>
    </row>
    <row r="1984" spans="1:8" x14ac:dyDescent="0.25">
      <c r="A1984" s="257">
        <v>1987</v>
      </c>
      <c r="B1984" s="267">
        <v>1983</v>
      </c>
      <c r="C1984" s="268" t="s">
        <v>190</v>
      </c>
      <c r="D1984" s="269">
        <v>42181</v>
      </c>
      <c r="E1984" s="270" t="s">
        <v>188</v>
      </c>
      <c r="F1984" s="384">
        <v>280000</v>
      </c>
      <c r="G1984" s="270">
        <v>190270596</v>
      </c>
      <c r="H1984" s="270"/>
    </row>
    <row r="1985" spans="1:8" x14ac:dyDescent="0.25">
      <c r="A1985" s="257">
        <v>1988</v>
      </c>
      <c r="B1985" s="267">
        <v>1984</v>
      </c>
      <c r="C1985" s="268" t="s">
        <v>2966</v>
      </c>
      <c r="D1985" s="269">
        <v>42181</v>
      </c>
      <c r="E1985" s="270" t="s">
        <v>2885</v>
      </c>
      <c r="F1985" s="384">
        <v>435000</v>
      </c>
      <c r="G1985" s="270">
        <v>691132355</v>
      </c>
      <c r="H1985" s="270"/>
    </row>
    <row r="1986" spans="1:8" x14ac:dyDescent="0.25">
      <c r="A1986" s="257">
        <v>1989</v>
      </c>
      <c r="B1986" s="267">
        <v>1985</v>
      </c>
      <c r="C1986" s="268" t="s">
        <v>3596</v>
      </c>
      <c r="D1986" s="269">
        <v>42181</v>
      </c>
      <c r="E1986" s="270" t="s">
        <v>1531</v>
      </c>
      <c r="F1986" s="384">
        <v>155000</v>
      </c>
      <c r="G1986" s="270">
        <v>800013732</v>
      </c>
      <c r="H1986" s="270"/>
    </row>
    <row r="1987" spans="1:8" x14ac:dyDescent="0.25">
      <c r="A1987" s="257">
        <v>1990</v>
      </c>
      <c r="B1987" s="267">
        <v>1986</v>
      </c>
      <c r="C1987" s="268" t="s">
        <v>3</v>
      </c>
      <c r="D1987" s="269">
        <v>42181</v>
      </c>
      <c r="E1987" s="270" t="s">
        <v>1916</v>
      </c>
      <c r="F1987" s="384">
        <v>435000</v>
      </c>
      <c r="G1987" s="270">
        <v>190153542</v>
      </c>
      <c r="H1987" s="270"/>
    </row>
    <row r="1988" spans="1:8" x14ac:dyDescent="0.25">
      <c r="A1988" s="257">
        <v>1991</v>
      </c>
      <c r="B1988" s="267">
        <v>1987</v>
      </c>
      <c r="C1988" s="268" t="s">
        <v>128</v>
      </c>
      <c r="D1988" s="269">
        <v>42181</v>
      </c>
      <c r="E1988" s="270" t="s">
        <v>3259</v>
      </c>
      <c r="F1988" s="384">
        <v>435000</v>
      </c>
      <c r="G1988" s="270">
        <v>190904186</v>
      </c>
      <c r="H1988" s="270"/>
    </row>
    <row r="1989" spans="1:8" x14ac:dyDescent="0.25">
      <c r="A1989" s="257">
        <v>1992</v>
      </c>
      <c r="B1989" s="267">
        <v>1988</v>
      </c>
      <c r="C1989" s="268" t="s">
        <v>2645</v>
      </c>
      <c r="D1989" s="269">
        <v>42181</v>
      </c>
      <c r="E1989" s="270" t="s">
        <v>239</v>
      </c>
      <c r="F1989" s="384">
        <v>280000</v>
      </c>
      <c r="G1989" s="270">
        <v>101139097</v>
      </c>
      <c r="H1989" s="270"/>
    </row>
    <row r="1990" spans="1:8" x14ac:dyDescent="0.25">
      <c r="A1990" s="257">
        <v>1993</v>
      </c>
      <c r="B1990" s="267">
        <v>1989</v>
      </c>
      <c r="C1990" s="268" t="s">
        <v>3734</v>
      </c>
      <c r="D1990" s="269">
        <v>42181</v>
      </c>
      <c r="E1990" s="270" t="s">
        <v>2358</v>
      </c>
      <c r="F1990" s="384">
        <v>36000</v>
      </c>
      <c r="G1990" s="270">
        <v>800008903</v>
      </c>
      <c r="H1990" s="270"/>
    </row>
    <row r="1991" spans="1:8" x14ac:dyDescent="0.25">
      <c r="A1991" s="257">
        <v>1994</v>
      </c>
      <c r="B1991" s="267">
        <v>1990</v>
      </c>
      <c r="C1991" s="268" t="s">
        <v>1658</v>
      </c>
      <c r="D1991" s="269">
        <v>42182</v>
      </c>
      <c r="E1991" s="270" t="s">
        <v>825</v>
      </c>
      <c r="F1991" s="384">
        <v>280000</v>
      </c>
      <c r="G1991" s="270">
        <v>100951254</v>
      </c>
      <c r="H1991" s="270"/>
    </row>
    <row r="1992" spans="1:8" x14ac:dyDescent="0.25">
      <c r="A1992" s="257">
        <v>1995</v>
      </c>
      <c r="B1992" s="267">
        <v>1991</v>
      </c>
      <c r="C1992" s="268" t="s">
        <v>895</v>
      </c>
      <c r="D1992" s="269">
        <v>42185</v>
      </c>
      <c r="E1992" s="270" t="s">
        <v>2804</v>
      </c>
      <c r="F1992" s="384">
        <v>435000</v>
      </c>
      <c r="G1992" s="270">
        <v>691433174</v>
      </c>
      <c r="H1992" s="270"/>
    </row>
    <row r="1993" spans="1:8" x14ac:dyDescent="0.25">
      <c r="A1993" s="257">
        <v>1996</v>
      </c>
      <c r="B1993" s="267">
        <v>1992</v>
      </c>
      <c r="C1993" s="268" t="s">
        <v>2724</v>
      </c>
      <c r="D1993" s="269">
        <v>42185</v>
      </c>
      <c r="E1993" s="270" t="s">
        <v>3647</v>
      </c>
      <c r="F1993" s="384">
        <v>198000</v>
      </c>
      <c r="G1993" s="270">
        <v>691383696</v>
      </c>
      <c r="H1993" s="270"/>
    </row>
    <row r="1994" spans="1:8" x14ac:dyDescent="0.25">
      <c r="A1994" s="257">
        <v>1997</v>
      </c>
      <c r="B1994" s="267">
        <v>1993</v>
      </c>
      <c r="C1994" s="268" t="s">
        <v>3538</v>
      </c>
      <c r="D1994" s="269">
        <v>42185</v>
      </c>
      <c r="E1994" s="270" t="s">
        <v>445</v>
      </c>
      <c r="F1994" s="384">
        <v>63000</v>
      </c>
      <c r="G1994" s="270">
        <v>190696505</v>
      </c>
      <c r="H1994" s="270"/>
    </row>
    <row r="1995" spans="1:8" x14ac:dyDescent="0.25">
      <c r="A1995" s="257">
        <v>1998</v>
      </c>
      <c r="B1995" s="267">
        <v>1994</v>
      </c>
      <c r="C1995" s="268" t="s">
        <v>2645</v>
      </c>
      <c r="D1995" s="269">
        <v>42185</v>
      </c>
      <c r="E1995" s="270" t="s">
        <v>239</v>
      </c>
      <c r="F1995" s="384">
        <v>1305000</v>
      </c>
      <c r="G1995" s="270">
        <v>101139097</v>
      </c>
      <c r="H1995" s="270"/>
    </row>
    <row r="1996" spans="1:8" x14ac:dyDescent="0.25">
      <c r="A1996" s="257">
        <v>1999</v>
      </c>
      <c r="B1996" s="267">
        <v>1995</v>
      </c>
      <c r="C1996" s="268" t="s">
        <v>3245</v>
      </c>
      <c r="D1996" s="269">
        <v>42185</v>
      </c>
      <c r="E1996" s="270" t="s">
        <v>1702</v>
      </c>
      <c r="F1996" s="384">
        <v>240000</v>
      </c>
      <c r="G1996" s="270">
        <v>100315395</v>
      </c>
      <c r="H1996" s="270"/>
    </row>
    <row r="1997" spans="1:8" x14ac:dyDescent="0.25">
      <c r="A1997" s="257">
        <v>2000</v>
      </c>
      <c r="B1997" s="267">
        <v>1996</v>
      </c>
      <c r="C1997" s="268" t="s">
        <v>838</v>
      </c>
      <c r="D1997" s="269">
        <v>42185</v>
      </c>
      <c r="E1997" s="270" t="s">
        <v>1823</v>
      </c>
      <c r="F1997" s="384">
        <v>170000</v>
      </c>
      <c r="G1997" s="270">
        <v>190516441</v>
      </c>
      <c r="H1997" s="270"/>
    </row>
    <row r="1998" spans="1:8" x14ac:dyDescent="0.25">
      <c r="A1998" s="257">
        <v>2001</v>
      </c>
      <c r="B1998" s="267">
        <v>1997</v>
      </c>
      <c r="C1998" s="268" t="s">
        <v>2036</v>
      </c>
      <c r="D1998" s="269">
        <v>42185</v>
      </c>
      <c r="E1998" s="270" t="s">
        <v>3594</v>
      </c>
      <c r="F1998" s="384">
        <v>435000</v>
      </c>
      <c r="G1998" s="270">
        <v>190882802</v>
      </c>
      <c r="H1998" s="270"/>
    </row>
    <row r="1999" spans="1:8" x14ac:dyDescent="0.25">
      <c r="A1999" s="257">
        <v>2002</v>
      </c>
      <c r="B1999" s="267">
        <v>1998</v>
      </c>
      <c r="C1999" s="268" t="s">
        <v>3284</v>
      </c>
      <c r="D1999" s="269">
        <v>42185</v>
      </c>
      <c r="E1999" s="270" t="s">
        <v>1651</v>
      </c>
      <c r="F1999" s="384">
        <v>435000</v>
      </c>
      <c r="G1999" s="270">
        <v>190884251</v>
      </c>
      <c r="H1999" s="270"/>
    </row>
    <row r="2000" spans="1:8" x14ac:dyDescent="0.25">
      <c r="A2000" s="257">
        <v>2003</v>
      </c>
      <c r="B2000" s="267">
        <v>1999</v>
      </c>
      <c r="C2000" s="268" t="s">
        <v>897</v>
      </c>
      <c r="D2000" s="269">
        <v>42185</v>
      </c>
      <c r="E2000" s="270" t="s">
        <v>1050</v>
      </c>
      <c r="F2000" s="384">
        <v>198000</v>
      </c>
      <c r="G2000" s="270">
        <v>190780314</v>
      </c>
      <c r="H2000" s="270"/>
    </row>
    <row r="2001" spans="1:8" x14ac:dyDescent="0.25">
      <c r="A2001" s="257">
        <v>2004</v>
      </c>
      <c r="B2001" s="267">
        <v>2000</v>
      </c>
      <c r="C2001" s="268" t="s">
        <v>2433</v>
      </c>
      <c r="D2001" s="269">
        <v>42185</v>
      </c>
      <c r="E2001" s="270" t="s">
        <v>174</v>
      </c>
      <c r="F2001" s="384">
        <v>280000</v>
      </c>
      <c r="G2001" s="270">
        <v>190634264</v>
      </c>
      <c r="H2001" s="270"/>
    </row>
    <row r="2002" spans="1:8" x14ac:dyDescent="0.25">
      <c r="A2002" s="257">
        <v>2005</v>
      </c>
      <c r="B2002" s="267">
        <v>2001</v>
      </c>
      <c r="C2002" s="268" t="s">
        <v>137</v>
      </c>
      <c r="D2002" s="269">
        <v>42185</v>
      </c>
      <c r="E2002" s="270" t="s">
        <v>405</v>
      </c>
      <c r="F2002" s="384">
        <v>198000</v>
      </c>
      <c r="G2002" s="270">
        <v>190778354</v>
      </c>
      <c r="H2002" s="270"/>
    </row>
    <row r="2003" spans="1:8" x14ac:dyDescent="0.25">
      <c r="A2003" s="257">
        <v>2006</v>
      </c>
      <c r="B2003" s="267">
        <v>2002</v>
      </c>
      <c r="C2003" s="268" t="s">
        <v>925</v>
      </c>
      <c r="D2003" s="269">
        <v>42186</v>
      </c>
      <c r="E2003" s="270" t="s">
        <v>4217</v>
      </c>
      <c r="F2003" s="384">
        <v>180000</v>
      </c>
      <c r="G2003" s="270">
        <v>101090386</v>
      </c>
      <c r="H2003" s="270"/>
    </row>
    <row r="2004" spans="1:8" x14ac:dyDescent="0.25">
      <c r="A2004" s="257">
        <v>2007</v>
      </c>
      <c r="B2004" s="267">
        <v>2003</v>
      </c>
      <c r="C2004" s="268" t="s">
        <v>3122</v>
      </c>
      <c r="D2004" s="269">
        <v>42186</v>
      </c>
      <c r="E2004" s="270" t="s">
        <v>21</v>
      </c>
      <c r="F2004" s="384">
        <v>224000</v>
      </c>
      <c r="G2004" s="270">
        <v>0</v>
      </c>
      <c r="H2004" s="270"/>
    </row>
    <row r="2005" spans="1:8" x14ac:dyDescent="0.25">
      <c r="A2005" s="257">
        <v>2008</v>
      </c>
      <c r="B2005" s="267">
        <v>2004</v>
      </c>
      <c r="C2005" s="268" t="s">
        <v>1784</v>
      </c>
      <c r="D2005" s="269">
        <v>42186</v>
      </c>
      <c r="E2005" s="270" t="s">
        <v>739</v>
      </c>
      <c r="F2005" s="384">
        <v>435000</v>
      </c>
      <c r="G2005" s="270">
        <v>190345942</v>
      </c>
      <c r="H2005" s="270"/>
    </row>
    <row r="2006" spans="1:8" x14ac:dyDescent="0.25">
      <c r="A2006" s="257">
        <v>2009</v>
      </c>
      <c r="B2006" s="267">
        <v>2005</v>
      </c>
      <c r="C2006" s="268" t="s">
        <v>717</v>
      </c>
      <c r="D2006" s="269">
        <v>42186</v>
      </c>
      <c r="E2006" s="270" t="s">
        <v>707</v>
      </c>
      <c r="F2006" s="384">
        <v>160000</v>
      </c>
      <c r="G2006" s="270">
        <v>191084413</v>
      </c>
      <c r="H2006" s="270"/>
    </row>
    <row r="2007" spans="1:8" x14ac:dyDescent="0.25">
      <c r="A2007" s="257">
        <v>2010</v>
      </c>
      <c r="B2007" s="267">
        <v>2006</v>
      </c>
      <c r="C2007" s="268" t="s">
        <v>915</v>
      </c>
      <c r="D2007" s="269">
        <v>42186</v>
      </c>
      <c r="E2007" s="270" t="s">
        <v>3088</v>
      </c>
      <c r="F2007" s="384">
        <v>435000</v>
      </c>
      <c r="G2007" s="270">
        <v>102299021</v>
      </c>
      <c r="H2007" s="270"/>
    </row>
    <row r="2008" spans="1:8" x14ac:dyDescent="0.25">
      <c r="A2008" s="257">
        <v>2011</v>
      </c>
      <c r="B2008" s="267">
        <v>2007</v>
      </c>
      <c r="C2008" s="268" t="s">
        <v>2833</v>
      </c>
      <c r="D2008" s="269">
        <v>42186</v>
      </c>
      <c r="E2008" s="270" t="s">
        <v>2403</v>
      </c>
      <c r="F2008" s="384">
        <v>213000</v>
      </c>
      <c r="G2008" s="270">
        <v>600049547</v>
      </c>
      <c r="H2008" s="270"/>
    </row>
    <row r="2009" spans="1:8" x14ac:dyDescent="0.25">
      <c r="A2009" s="257">
        <v>2012</v>
      </c>
      <c r="B2009" s="267">
        <v>2008</v>
      </c>
      <c r="C2009" s="268" t="s">
        <v>314</v>
      </c>
      <c r="D2009" s="269">
        <v>42186</v>
      </c>
      <c r="E2009" s="270" t="s">
        <v>3495</v>
      </c>
      <c r="F2009" s="384">
        <v>438000</v>
      </c>
      <c r="G2009" s="270">
        <v>808000252</v>
      </c>
      <c r="H2009" s="270"/>
    </row>
    <row r="2010" spans="1:8" x14ac:dyDescent="0.25">
      <c r="A2010" s="257">
        <v>2013</v>
      </c>
      <c r="B2010" s="267">
        <v>2009</v>
      </c>
      <c r="C2010" s="268" t="s">
        <v>832</v>
      </c>
      <c r="D2010" s="269">
        <v>42186</v>
      </c>
      <c r="E2010" s="270" t="s">
        <v>245</v>
      </c>
      <c r="F2010" s="384">
        <v>792000</v>
      </c>
      <c r="G2010" s="270">
        <v>100886879</v>
      </c>
      <c r="H2010" s="270"/>
    </row>
    <row r="2011" spans="1:8" x14ac:dyDescent="0.25">
      <c r="A2011" s="257">
        <v>2014</v>
      </c>
      <c r="B2011" s="267">
        <v>2010</v>
      </c>
      <c r="C2011" s="268" t="s">
        <v>3109</v>
      </c>
      <c r="D2011" s="269">
        <v>42186</v>
      </c>
      <c r="E2011" s="270" t="s">
        <v>254</v>
      </c>
      <c r="F2011" s="384">
        <v>435000</v>
      </c>
      <c r="G2011" s="270">
        <v>690825394</v>
      </c>
      <c r="H2011" s="270"/>
    </row>
    <row r="2012" spans="1:8" x14ac:dyDescent="0.25">
      <c r="A2012" s="257">
        <v>2015</v>
      </c>
      <c r="B2012" s="267">
        <v>2011</v>
      </c>
      <c r="C2012" s="268" t="s">
        <v>221</v>
      </c>
      <c r="D2012" s="269">
        <v>42191</v>
      </c>
      <c r="E2012" s="270" t="s">
        <v>840</v>
      </c>
      <c r="F2012" s="384">
        <v>435000</v>
      </c>
      <c r="G2012" s="270">
        <v>191648960</v>
      </c>
      <c r="H2012" s="270"/>
    </row>
    <row r="2013" spans="1:8" x14ac:dyDescent="0.25">
      <c r="A2013" s="257">
        <v>2016</v>
      </c>
      <c r="B2013" s="267">
        <v>2012</v>
      </c>
      <c r="C2013" s="268" t="s">
        <v>189</v>
      </c>
      <c r="D2013" s="269">
        <v>42191</v>
      </c>
      <c r="E2013" s="270" t="s">
        <v>2703</v>
      </c>
      <c r="F2013" s="384">
        <v>435000</v>
      </c>
      <c r="G2013" s="270">
        <v>190473476</v>
      </c>
      <c r="H2013" s="270"/>
    </row>
    <row r="2014" spans="1:8" x14ac:dyDescent="0.25">
      <c r="A2014" s="257">
        <v>2017</v>
      </c>
      <c r="B2014" s="267">
        <v>2013</v>
      </c>
      <c r="C2014" s="268" t="s">
        <v>3513</v>
      </c>
      <c r="D2014" s="269">
        <v>42191</v>
      </c>
      <c r="E2014" s="270" t="s">
        <v>824</v>
      </c>
      <c r="F2014" s="384">
        <v>155000</v>
      </c>
      <c r="G2014" s="270">
        <v>100154581</v>
      </c>
      <c r="H2014" s="270"/>
    </row>
    <row r="2015" spans="1:8" x14ac:dyDescent="0.25">
      <c r="A2015" s="257">
        <v>2018</v>
      </c>
      <c r="B2015" s="267">
        <v>2014</v>
      </c>
      <c r="C2015" s="268" t="s">
        <v>1784</v>
      </c>
      <c r="D2015" s="269">
        <v>42191</v>
      </c>
      <c r="E2015" s="270" t="s">
        <v>739</v>
      </c>
      <c r="F2015" s="384">
        <v>395000</v>
      </c>
      <c r="G2015" s="270">
        <v>190345942</v>
      </c>
      <c r="H2015" s="270"/>
    </row>
    <row r="2016" spans="1:8" x14ac:dyDescent="0.25">
      <c r="A2016" s="257">
        <v>2019</v>
      </c>
      <c r="B2016" s="267">
        <v>2015</v>
      </c>
      <c r="C2016" s="268" t="s">
        <v>1910</v>
      </c>
      <c r="D2016" s="269">
        <v>42191</v>
      </c>
      <c r="E2016" s="270" t="s">
        <v>2609</v>
      </c>
      <c r="F2016" s="384">
        <v>198000</v>
      </c>
      <c r="G2016" s="270">
        <v>190549048</v>
      </c>
      <c r="H2016" s="270"/>
    </row>
    <row r="2017" spans="1:8" x14ac:dyDescent="0.25">
      <c r="A2017" s="257">
        <v>2020</v>
      </c>
      <c r="B2017" s="267">
        <v>2016</v>
      </c>
      <c r="C2017" s="268" t="s">
        <v>3726</v>
      </c>
      <c r="D2017" s="269">
        <v>42191</v>
      </c>
      <c r="E2017" s="270" t="s">
        <v>172</v>
      </c>
      <c r="F2017" s="384">
        <v>160000</v>
      </c>
      <c r="G2017" s="270">
        <v>100025985</v>
      </c>
      <c r="H2017" s="270"/>
    </row>
    <row r="2018" spans="1:8" x14ac:dyDescent="0.25">
      <c r="A2018" s="257">
        <v>2021</v>
      </c>
      <c r="B2018" s="267">
        <v>2017</v>
      </c>
      <c r="C2018" s="268" t="s">
        <v>2102</v>
      </c>
      <c r="D2018" s="269">
        <v>42191</v>
      </c>
      <c r="E2018" s="270" t="s">
        <v>799</v>
      </c>
      <c r="F2018" s="384">
        <v>67000</v>
      </c>
      <c r="G2018" s="270">
        <v>690640420</v>
      </c>
      <c r="H2018" s="270"/>
    </row>
    <row r="2019" spans="1:8" x14ac:dyDescent="0.25">
      <c r="A2019" s="257">
        <v>2022</v>
      </c>
      <c r="B2019" s="267">
        <v>2018</v>
      </c>
      <c r="C2019" s="268" t="s">
        <v>2102</v>
      </c>
      <c r="D2019" s="269">
        <v>42191</v>
      </c>
      <c r="E2019" s="270" t="s">
        <v>799</v>
      </c>
      <c r="F2019" s="384">
        <v>67000</v>
      </c>
      <c r="G2019" s="270">
        <v>690640420</v>
      </c>
      <c r="H2019" s="270"/>
    </row>
    <row r="2020" spans="1:8" x14ac:dyDescent="0.25">
      <c r="A2020" s="257">
        <v>2023</v>
      </c>
      <c r="B2020" s="267">
        <v>2019</v>
      </c>
      <c r="C2020" s="268" t="s">
        <v>314</v>
      </c>
      <c r="D2020" s="269">
        <v>42191</v>
      </c>
      <c r="E2020" s="270" t="s">
        <v>3495</v>
      </c>
      <c r="F2020" s="384">
        <v>99000</v>
      </c>
      <c r="G2020" s="270">
        <v>808000252</v>
      </c>
      <c r="H2020" s="270"/>
    </row>
    <row r="2021" spans="1:8" x14ac:dyDescent="0.25">
      <c r="A2021" s="257">
        <v>2024</v>
      </c>
      <c r="B2021" s="267">
        <v>2020</v>
      </c>
      <c r="C2021" s="268" t="s">
        <v>2645</v>
      </c>
      <c r="D2021" s="269">
        <v>42191</v>
      </c>
      <c r="E2021" s="270" t="s">
        <v>239</v>
      </c>
      <c r="F2021" s="384">
        <v>213000</v>
      </c>
      <c r="G2021" s="270">
        <v>101139097</v>
      </c>
      <c r="H2021" s="270"/>
    </row>
    <row r="2022" spans="1:8" x14ac:dyDescent="0.25">
      <c r="A2022" s="257">
        <v>2025</v>
      </c>
      <c r="B2022" s="267">
        <v>2021</v>
      </c>
      <c r="C2022" s="268" t="s">
        <v>2716</v>
      </c>
      <c r="D2022" s="269">
        <v>42191</v>
      </c>
      <c r="E2022" s="270" t="s">
        <v>2760</v>
      </c>
      <c r="F2022" s="384">
        <v>280000</v>
      </c>
      <c r="G2022" s="270">
        <v>100801936</v>
      </c>
      <c r="H2022" s="270"/>
    </row>
    <row r="2023" spans="1:8" x14ac:dyDescent="0.25">
      <c r="A2023" s="257">
        <v>2026</v>
      </c>
      <c r="B2023" s="267">
        <v>2022</v>
      </c>
      <c r="C2023" s="268" t="s">
        <v>265</v>
      </c>
      <c r="D2023" s="269">
        <v>42191</v>
      </c>
      <c r="E2023" s="270" t="s">
        <v>450</v>
      </c>
      <c r="F2023" s="384">
        <v>435000</v>
      </c>
      <c r="G2023" s="270">
        <v>100468996</v>
      </c>
      <c r="H2023" s="270"/>
    </row>
    <row r="2024" spans="1:8" x14ac:dyDescent="0.25">
      <c r="A2024" s="257">
        <v>2027</v>
      </c>
      <c r="B2024" s="267">
        <v>2023</v>
      </c>
      <c r="C2024" s="268" t="s">
        <v>1928</v>
      </c>
      <c r="D2024" s="269">
        <v>42191</v>
      </c>
      <c r="E2024" s="270" t="s">
        <v>2801</v>
      </c>
      <c r="F2024" s="384">
        <v>280000</v>
      </c>
      <c r="G2024" s="270">
        <v>190334745</v>
      </c>
      <c r="H2024" s="270"/>
    </row>
    <row r="2025" spans="1:8" x14ac:dyDescent="0.25">
      <c r="A2025" s="257">
        <v>2028</v>
      </c>
      <c r="B2025" s="267">
        <v>2024</v>
      </c>
      <c r="C2025" s="268" t="s">
        <v>2733</v>
      </c>
      <c r="D2025" s="269">
        <v>42194</v>
      </c>
      <c r="E2025" s="270" t="s">
        <v>3491</v>
      </c>
      <c r="F2025" s="384">
        <v>320000</v>
      </c>
      <c r="G2025" s="270">
        <v>800014037</v>
      </c>
      <c r="H2025" s="270"/>
    </row>
    <row r="2026" spans="1:8" x14ac:dyDescent="0.25">
      <c r="A2026" s="257">
        <v>2029</v>
      </c>
      <c r="B2026" s="267">
        <v>2025</v>
      </c>
      <c r="C2026" s="268" t="s">
        <v>2860</v>
      </c>
      <c r="D2026" s="269">
        <v>42194</v>
      </c>
      <c r="E2026" s="270" t="s">
        <v>3222</v>
      </c>
      <c r="F2026" s="384">
        <v>435000</v>
      </c>
      <c r="G2026" s="270">
        <v>691535754</v>
      </c>
      <c r="H2026" s="270"/>
    </row>
    <row r="2027" spans="1:8" x14ac:dyDescent="0.25">
      <c r="A2027" s="257">
        <v>2030</v>
      </c>
      <c r="B2027" s="267">
        <v>2026</v>
      </c>
      <c r="C2027" s="268" t="s">
        <v>265</v>
      </c>
      <c r="D2027" s="269">
        <v>42194</v>
      </c>
      <c r="E2027" s="270" t="s">
        <v>450</v>
      </c>
      <c r="F2027" s="384">
        <v>280000</v>
      </c>
      <c r="G2027" s="270">
        <v>100468996</v>
      </c>
      <c r="H2027" s="270"/>
    </row>
    <row r="2028" spans="1:8" x14ac:dyDescent="0.25">
      <c r="A2028" s="257">
        <v>2031</v>
      </c>
      <c r="B2028" s="267">
        <v>2027</v>
      </c>
      <c r="C2028" s="268" t="s">
        <v>2882</v>
      </c>
      <c r="D2028" s="269">
        <v>42194</v>
      </c>
      <c r="E2028" s="270" t="s">
        <v>1835</v>
      </c>
      <c r="F2028" s="384">
        <v>198000</v>
      </c>
      <c r="G2028" s="270">
        <v>800002497</v>
      </c>
      <c r="H2028" s="270"/>
    </row>
    <row r="2029" spans="1:8" x14ac:dyDescent="0.25">
      <c r="A2029" s="257">
        <v>2032</v>
      </c>
      <c r="B2029" s="267">
        <v>2028</v>
      </c>
      <c r="C2029" s="268" t="s">
        <v>2790</v>
      </c>
      <c r="D2029" s="269">
        <v>42194</v>
      </c>
      <c r="E2029" s="270" t="s">
        <v>713</v>
      </c>
      <c r="F2029" s="384">
        <v>280000</v>
      </c>
      <c r="G2029" s="270">
        <v>191167894</v>
      </c>
      <c r="H2029" s="270"/>
    </row>
    <row r="2030" spans="1:8" x14ac:dyDescent="0.25">
      <c r="A2030" s="257">
        <v>2033</v>
      </c>
      <c r="B2030" s="267">
        <v>2029</v>
      </c>
      <c r="C2030" s="268" t="s">
        <v>978</v>
      </c>
      <c r="D2030" s="269">
        <v>42194</v>
      </c>
      <c r="E2030" s="270" t="s">
        <v>847</v>
      </c>
      <c r="F2030" s="384">
        <v>357000</v>
      </c>
      <c r="G2030" s="270">
        <v>190853326</v>
      </c>
      <c r="H2030" s="270"/>
    </row>
    <row r="2031" spans="1:8" x14ac:dyDescent="0.25">
      <c r="A2031" s="257">
        <v>2034</v>
      </c>
      <c r="B2031" s="267">
        <v>2030</v>
      </c>
      <c r="C2031" s="268" t="s">
        <v>2647</v>
      </c>
      <c r="D2031" s="269">
        <v>42194</v>
      </c>
      <c r="E2031" s="270" t="s">
        <v>3498</v>
      </c>
      <c r="F2031" s="384">
        <v>213000</v>
      </c>
      <c r="G2031" s="270">
        <v>100023727</v>
      </c>
      <c r="H2031" s="270"/>
    </row>
    <row r="2032" spans="1:8" x14ac:dyDescent="0.25">
      <c r="A2032" s="257">
        <v>2035</v>
      </c>
      <c r="B2032" s="267">
        <v>2031</v>
      </c>
      <c r="C2032" s="268" t="s">
        <v>2963</v>
      </c>
      <c r="D2032" s="269">
        <v>42194</v>
      </c>
      <c r="E2032" s="270" t="s">
        <v>2666</v>
      </c>
      <c r="F2032" s="384">
        <v>67000</v>
      </c>
      <c r="G2032" s="270">
        <v>691314513</v>
      </c>
      <c r="H2032" s="270"/>
    </row>
    <row r="2033" spans="1:8" x14ac:dyDescent="0.25">
      <c r="A2033" s="257">
        <v>2036</v>
      </c>
      <c r="B2033" s="267">
        <v>2032</v>
      </c>
      <c r="C2033" s="268" t="s">
        <v>3734</v>
      </c>
      <c r="D2033" s="269">
        <v>42194</v>
      </c>
      <c r="E2033" s="270" t="s">
        <v>2358</v>
      </c>
      <c r="F2033" s="384">
        <v>435000</v>
      </c>
      <c r="G2033" s="270">
        <v>800008903</v>
      </c>
      <c r="H2033" s="270"/>
    </row>
    <row r="2034" spans="1:8" x14ac:dyDescent="0.25">
      <c r="A2034" s="257">
        <v>2037</v>
      </c>
      <c r="B2034" s="267">
        <v>2033</v>
      </c>
      <c r="C2034" s="268" t="s">
        <v>190</v>
      </c>
      <c r="D2034" s="269">
        <v>42195</v>
      </c>
      <c r="E2034" s="270" t="s">
        <v>188</v>
      </c>
      <c r="F2034" s="384">
        <v>280000</v>
      </c>
      <c r="G2034" s="270">
        <v>190270596</v>
      </c>
      <c r="H2034" s="270"/>
    </row>
    <row r="2035" spans="1:8" x14ac:dyDescent="0.25">
      <c r="A2035" s="257">
        <v>2038</v>
      </c>
      <c r="B2035" s="267">
        <v>2034</v>
      </c>
      <c r="C2035" s="268" t="s">
        <v>3133</v>
      </c>
      <c r="D2035" s="269">
        <v>42195</v>
      </c>
      <c r="E2035" s="270" t="s">
        <v>3587</v>
      </c>
      <c r="F2035" s="384">
        <v>198000</v>
      </c>
      <c r="G2035" s="270">
        <v>101254783</v>
      </c>
      <c r="H2035" s="270"/>
    </row>
    <row r="2036" spans="1:8" x14ac:dyDescent="0.25">
      <c r="A2036" s="257">
        <v>2039</v>
      </c>
      <c r="B2036" s="267">
        <v>2035</v>
      </c>
      <c r="C2036" s="268" t="s">
        <v>190</v>
      </c>
      <c r="D2036" s="269">
        <v>42195</v>
      </c>
      <c r="E2036" s="270" t="s">
        <v>188</v>
      </c>
      <c r="F2036" s="384">
        <v>63000</v>
      </c>
      <c r="G2036" s="270">
        <v>190270596</v>
      </c>
      <c r="H2036" s="270"/>
    </row>
    <row r="2037" spans="1:8" x14ac:dyDescent="0.25">
      <c r="A2037" s="257">
        <v>2040</v>
      </c>
      <c r="B2037" s="267">
        <v>2036</v>
      </c>
      <c r="C2037" s="268" t="s">
        <v>1639</v>
      </c>
      <c r="D2037" s="269">
        <v>42195</v>
      </c>
      <c r="E2037" s="270" t="s">
        <v>3850</v>
      </c>
      <c r="F2037" s="384">
        <v>165000</v>
      </c>
      <c r="G2037" s="270">
        <v>800011635</v>
      </c>
      <c r="H2037" s="270"/>
    </row>
    <row r="2038" spans="1:8" x14ac:dyDescent="0.25">
      <c r="A2038" s="257">
        <v>2041</v>
      </c>
      <c r="B2038" s="267">
        <v>2037</v>
      </c>
      <c r="C2038" s="268" t="s">
        <v>189</v>
      </c>
      <c r="D2038" s="269">
        <v>42195</v>
      </c>
      <c r="E2038" s="270" t="s">
        <v>2703</v>
      </c>
      <c r="F2038" s="384">
        <v>63000</v>
      </c>
      <c r="G2038" s="270">
        <v>190473476</v>
      </c>
      <c r="H2038" s="270"/>
    </row>
    <row r="2039" spans="1:8" x14ac:dyDescent="0.25">
      <c r="A2039" s="257">
        <v>2042</v>
      </c>
      <c r="B2039" s="267">
        <v>2038</v>
      </c>
      <c r="C2039" s="268" t="s">
        <v>3749</v>
      </c>
      <c r="D2039" s="269">
        <v>42195</v>
      </c>
      <c r="E2039" s="270" t="s">
        <v>2844</v>
      </c>
      <c r="F2039" s="384">
        <v>240000</v>
      </c>
      <c r="G2039" s="270">
        <v>101099023</v>
      </c>
      <c r="H2039" s="270"/>
    </row>
    <row r="2040" spans="1:8" x14ac:dyDescent="0.25">
      <c r="A2040" s="257">
        <v>2043</v>
      </c>
      <c r="B2040" s="267">
        <v>2039</v>
      </c>
      <c r="C2040" s="268" t="s">
        <v>2645</v>
      </c>
      <c r="D2040" s="269">
        <v>42195</v>
      </c>
      <c r="E2040" s="270" t="s">
        <v>239</v>
      </c>
      <c r="F2040" s="384">
        <v>1305000</v>
      </c>
      <c r="G2040" s="270">
        <v>101139097</v>
      </c>
      <c r="H2040" s="270"/>
    </row>
    <row r="2041" spans="1:8" x14ac:dyDescent="0.25">
      <c r="A2041" s="257">
        <v>2044</v>
      </c>
      <c r="B2041" s="267">
        <v>2040</v>
      </c>
      <c r="C2041" s="268" t="s">
        <v>1926</v>
      </c>
      <c r="D2041" s="269">
        <v>42198</v>
      </c>
      <c r="E2041" s="270" t="s">
        <v>2888</v>
      </c>
      <c r="F2041" s="384">
        <v>280000</v>
      </c>
      <c r="G2041" s="270">
        <v>691131810</v>
      </c>
      <c r="H2041" s="270"/>
    </row>
    <row r="2042" spans="1:8" x14ac:dyDescent="0.25">
      <c r="A2042" s="257">
        <v>2045</v>
      </c>
      <c r="B2042" s="267">
        <v>2041</v>
      </c>
      <c r="C2042" s="268" t="s">
        <v>3258</v>
      </c>
      <c r="D2042" s="269">
        <v>42198</v>
      </c>
      <c r="E2042" s="270" t="s">
        <v>2689</v>
      </c>
      <c r="F2042" s="384">
        <v>280000</v>
      </c>
      <c r="G2042" s="270">
        <v>690843964</v>
      </c>
      <c r="H2042" s="270"/>
    </row>
    <row r="2043" spans="1:8" x14ac:dyDescent="0.25">
      <c r="A2043" s="257">
        <v>2046</v>
      </c>
      <c r="B2043" s="267">
        <v>2042</v>
      </c>
      <c r="C2043" s="268" t="s">
        <v>1128</v>
      </c>
      <c r="D2043" s="269">
        <v>42198</v>
      </c>
      <c r="E2043" s="270" t="s">
        <v>3142</v>
      </c>
      <c r="F2043" s="384">
        <v>598000</v>
      </c>
      <c r="G2043" s="270">
        <v>190341035</v>
      </c>
      <c r="H2043" s="270"/>
    </row>
    <row r="2044" spans="1:8" x14ac:dyDescent="0.25">
      <c r="A2044" s="257">
        <v>2047</v>
      </c>
      <c r="B2044" s="267">
        <v>2043</v>
      </c>
      <c r="C2044" s="268" t="s">
        <v>1608</v>
      </c>
      <c r="D2044" s="269">
        <v>42198</v>
      </c>
      <c r="E2044" s="270" t="s">
        <v>2743</v>
      </c>
      <c r="F2044" s="384">
        <v>160000</v>
      </c>
      <c r="G2044" s="270">
        <v>600052544</v>
      </c>
      <c r="H2044" s="270"/>
    </row>
    <row r="2045" spans="1:8" x14ac:dyDescent="0.25">
      <c r="A2045" s="257">
        <v>2048</v>
      </c>
      <c r="B2045" s="267">
        <v>2044</v>
      </c>
      <c r="C2045" s="268" t="s">
        <v>1109</v>
      </c>
      <c r="D2045" s="269">
        <v>42198</v>
      </c>
      <c r="E2045" s="270" t="s">
        <v>734</v>
      </c>
      <c r="F2045" s="384">
        <v>800000</v>
      </c>
      <c r="G2045" s="270">
        <v>191023005</v>
      </c>
      <c r="H2045" s="270"/>
    </row>
    <row r="2046" spans="1:8" x14ac:dyDescent="0.25">
      <c r="A2046" s="257">
        <v>2049</v>
      </c>
      <c r="B2046" s="267">
        <v>2045</v>
      </c>
      <c r="C2046" s="268" t="s">
        <v>2828</v>
      </c>
      <c r="D2046" s="269">
        <v>42198</v>
      </c>
      <c r="E2046" s="270" t="s">
        <v>892</v>
      </c>
      <c r="F2046" s="384">
        <v>160000</v>
      </c>
      <c r="G2046" s="270">
        <v>100390954</v>
      </c>
      <c r="H2046" s="270"/>
    </row>
    <row r="2047" spans="1:8" x14ac:dyDescent="0.25">
      <c r="A2047" s="257">
        <v>2050</v>
      </c>
      <c r="B2047" s="267">
        <v>2046</v>
      </c>
      <c r="C2047" s="268" t="s">
        <v>444</v>
      </c>
      <c r="D2047" s="269">
        <v>42198</v>
      </c>
      <c r="E2047" s="270" t="s">
        <v>2144</v>
      </c>
      <c r="F2047" s="384">
        <v>240000</v>
      </c>
      <c r="G2047" s="270">
        <v>808000145</v>
      </c>
      <c r="H2047" s="270"/>
    </row>
    <row r="2048" spans="1:8" x14ac:dyDescent="0.25">
      <c r="A2048" s="257">
        <v>2051</v>
      </c>
      <c r="B2048" s="267">
        <v>2047</v>
      </c>
      <c r="C2048" s="268" t="s">
        <v>2104</v>
      </c>
      <c r="D2048" s="269">
        <v>42198</v>
      </c>
      <c r="E2048" s="270" t="s">
        <v>2736</v>
      </c>
      <c r="F2048" s="384">
        <v>640000</v>
      </c>
      <c r="G2048" s="270">
        <v>691780951</v>
      </c>
      <c r="H2048" s="270"/>
    </row>
    <row r="2049" spans="1:8" x14ac:dyDescent="0.25">
      <c r="A2049" s="257">
        <v>2052</v>
      </c>
      <c r="B2049" s="267">
        <v>2048</v>
      </c>
      <c r="C2049" s="268" t="s">
        <v>897</v>
      </c>
      <c r="D2049" s="269">
        <v>42199</v>
      </c>
      <c r="E2049" s="270" t="s">
        <v>1050</v>
      </c>
      <c r="F2049" s="384">
        <v>63000</v>
      </c>
      <c r="G2049" s="270">
        <v>190780314</v>
      </c>
      <c r="H2049" s="270"/>
    </row>
    <row r="2050" spans="1:8" x14ac:dyDescent="0.25">
      <c r="A2050" s="257">
        <v>2053</v>
      </c>
      <c r="B2050" s="267">
        <v>2049</v>
      </c>
      <c r="C2050" s="268" t="s">
        <v>4214</v>
      </c>
      <c r="D2050" s="269">
        <v>42199</v>
      </c>
      <c r="E2050" s="270" t="s">
        <v>2080</v>
      </c>
      <c r="F2050" s="384">
        <v>435000</v>
      </c>
      <c r="G2050" s="270">
        <v>100626757</v>
      </c>
      <c r="H2050" s="270"/>
    </row>
    <row r="2051" spans="1:8" x14ac:dyDescent="0.25">
      <c r="A2051" s="257">
        <v>2054</v>
      </c>
      <c r="B2051" s="267">
        <v>2050</v>
      </c>
      <c r="C2051" s="268" t="s">
        <v>390</v>
      </c>
      <c r="D2051" s="269">
        <v>42199</v>
      </c>
      <c r="E2051" s="270" t="s">
        <v>3518</v>
      </c>
      <c r="F2051" s="384">
        <v>198000</v>
      </c>
      <c r="G2051" s="270">
        <v>100092100</v>
      </c>
      <c r="H2051" s="270"/>
    </row>
    <row r="2052" spans="1:8" x14ac:dyDescent="0.25">
      <c r="A2052" s="257">
        <v>2055</v>
      </c>
      <c r="B2052" s="267">
        <v>2051</v>
      </c>
      <c r="C2052" s="268" t="s">
        <v>3748</v>
      </c>
      <c r="D2052" s="269">
        <v>42199</v>
      </c>
      <c r="E2052" s="270" t="s">
        <v>1788</v>
      </c>
      <c r="F2052" s="384">
        <v>1120000</v>
      </c>
      <c r="G2052" s="270">
        <v>800001327</v>
      </c>
      <c r="H2052" s="270"/>
    </row>
    <row r="2053" spans="1:8" x14ac:dyDescent="0.25">
      <c r="A2053" s="257">
        <v>2056</v>
      </c>
      <c r="B2053" s="267">
        <v>2052</v>
      </c>
      <c r="C2053" s="268" t="s">
        <v>4201</v>
      </c>
      <c r="D2053" s="269">
        <v>42199</v>
      </c>
      <c r="E2053" s="270" t="s">
        <v>349</v>
      </c>
      <c r="F2053" s="384">
        <v>155000</v>
      </c>
      <c r="G2053" s="270">
        <v>690604750</v>
      </c>
      <c r="H2053" s="270"/>
    </row>
    <row r="2054" spans="1:8" x14ac:dyDescent="0.25">
      <c r="A2054" s="257">
        <v>2057</v>
      </c>
      <c r="B2054" s="267">
        <v>2053</v>
      </c>
      <c r="C2054" s="268" t="s">
        <v>3138</v>
      </c>
      <c r="D2054" s="269">
        <v>42199</v>
      </c>
      <c r="E2054" s="270" t="s">
        <v>3775</v>
      </c>
      <c r="F2054" s="384">
        <v>405000</v>
      </c>
      <c r="G2054" s="270">
        <v>191694219</v>
      </c>
      <c r="H2054" s="270"/>
    </row>
    <row r="2055" spans="1:8" x14ac:dyDescent="0.25">
      <c r="A2055" s="257">
        <v>2058</v>
      </c>
      <c r="B2055" s="267">
        <v>2054</v>
      </c>
      <c r="C2055" s="268" t="s">
        <v>3138</v>
      </c>
      <c r="D2055" s="269">
        <v>42202</v>
      </c>
      <c r="E2055" s="270" t="s">
        <v>3775</v>
      </c>
      <c r="F2055" s="384">
        <v>305000</v>
      </c>
      <c r="G2055" s="270">
        <v>191694219</v>
      </c>
      <c r="H2055" s="270"/>
    </row>
    <row r="2056" spans="1:8" x14ac:dyDescent="0.25">
      <c r="A2056" s="257">
        <v>2059</v>
      </c>
      <c r="B2056" s="267">
        <v>2055</v>
      </c>
      <c r="C2056" s="268" t="s">
        <v>3</v>
      </c>
      <c r="D2056" s="269">
        <v>42202</v>
      </c>
      <c r="E2056" s="270" t="s">
        <v>1916</v>
      </c>
      <c r="F2056" s="384">
        <v>157000</v>
      </c>
      <c r="G2056" s="270">
        <v>190153542</v>
      </c>
      <c r="H2056" s="270"/>
    </row>
    <row r="2057" spans="1:8" x14ac:dyDescent="0.25">
      <c r="A2057" s="257">
        <v>2060</v>
      </c>
      <c r="B2057" s="267">
        <v>2056</v>
      </c>
      <c r="C2057" s="268" t="s">
        <v>3140</v>
      </c>
      <c r="D2057" s="269">
        <v>42202</v>
      </c>
      <c r="E2057" s="270" t="s">
        <v>1537</v>
      </c>
      <c r="F2057" s="384">
        <v>300000</v>
      </c>
      <c r="G2057" s="270">
        <v>800014157</v>
      </c>
      <c r="H2057" s="270"/>
    </row>
    <row r="2058" spans="1:8" x14ac:dyDescent="0.25">
      <c r="A2058" s="257">
        <v>2061</v>
      </c>
      <c r="B2058" s="267">
        <v>2057</v>
      </c>
      <c r="C2058" s="268" t="s">
        <v>3606</v>
      </c>
      <c r="D2058" s="269">
        <v>42202</v>
      </c>
      <c r="E2058" s="270" t="s">
        <v>944</v>
      </c>
      <c r="F2058" s="384">
        <v>240000</v>
      </c>
      <c r="G2058" s="270">
        <v>100692491</v>
      </c>
      <c r="H2058" s="270"/>
    </row>
    <row r="2059" spans="1:8" x14ac:dyDescent="0.25">
      <c r="A2059" s="257">
        <v>2062</v>
      </c>
      <c r="B2059" s="267">
        <v>2058</v>
      </c>
      <c r="C2059" s="268" t="s">
        <v>181</v>
      </c>
      <c r="D2059" s="269">
        <v>42202</v>
      </c>
      <c r="E2059" s="270" t="s">
        <v>3107</v>
      </c>
      <c r="F2059" s="384">
        <v>840000</v>
      </c>
      <c r="G2059" s="270">
        <v>100320487</v>
      </c>
      <c r="H2059" s="270"/>
    </row>
    <row r="2060" spans="1:8" x14ac:dyDescent="0.25">
      <c r="A2060" s="257">
        <v>2063</v>
      </c>
      <c r="B2060" s="267">
        <v>2059</v>
      </c>
      <c r="C2060" s="268" t="s">
        <v>3098</v>
      </c>
      <c r="D2060" s="269">
        <v>42203</v>
      </c>
      <c r="E2060" s="270" t="s">
        <v>3770</v>
      </c>
      <c r="F2060" s="384">
        <v>435000</v>
      </c>
      <c r="G2060" s="270">
        <v>191500265</v>
      </c>
      <c r="H2060" s="270"/>
    </row>
    <row r="2061" spans="1:8" x14ac:dyDescent="0.25">
      <c r="A2061" s="257">
        <v>2064</v>
      </c>
      <c r="B2061" s="267">
        <v>2060</v>
      </c>
      <c r="C2061" s="268" t="s">
        <v>3098</v>
      </c>
      <c r="D2061" s="269">
        <v>42203</v>
      </c>
      <c r="E2061" s="270" t="s">
        <v>3770</v>
      </c>
      <c r="F2061" s="384">
        <v>63000</v>
      </c>
      <c r="G2061" s="270">
        <v>191500265</v>
      </c>
      <c r="H2061" s="270"/>
    </row>
    <row r="2062" spans="1:8" x14ac:dyDescent="0.25">
      <c r="A2062" s="257">
        <v>2065</v>
      </c>
      <c r="B2062" s="267">
        <v>2061</v>
      </c>
      <c r="C2062" s="268" t="s">
        <v>15</v>
      </c>
      <c r="D2062" s="269">
        <v>42203</v>
      </c>
      <c r="E2062" s="270" t="s">
        <v>2693</v>
      </c>
      <c r="F2062" s="384">
        <v>198000</v>
      </c>
      <c r="G2062" s="270">
        <v>691348647</v>
      </c>
      <c r="H2062" s="270"/>
    </row>
    <row r="2063" spans="1:8" x14ac:dyDescent="0.25">
      <c r="A2063" s="257">
        <v>2066</v>
      </c>
      <c r="B2063" s="267">
        <v>2062</v>
      </c>
      <c r="C2063" s="268" t="s">
        <v>221</v>
      </c>
      <c r="D2063" s="269">
        <v>42206</v>
      </c>
      <c r="E2063" s="270" t="s">
        <v>840</v>
      </c>
      <c r="F2063" s="384">
        <v>98000</v>
      </c>
      <c r="G2063" s="270">
        <v>191648960</v>
      </c>
      <c r="H2063" s="270"/>
    </row>
    <row r="2064" spans="1:8" x14ac:dyDescent="0.25">
      <c r="A2064" s="257">
        <v>2067</v>
      </c>
      <c r="B2064" s="267">
        <v>2063</v>
      </c>
      <c r="C2064" s="268" t="s">
        <v>2649</v>
      </c>
      <c r="D2064" s="269">
        <v>42206</v>
      </c>
      <c r="E2064" s="270" t="s">
        <v>3299</v>
      </c>
      <c r="F2064" s="384">
        <v>280000</v>
      </c>
      <c r="G2064" s="270">
        <v>101176493</v>
      </c>
      <c r="H2064" s="270"/>
    </row>
    <row r="2065" spans="1:8" x14ac:dyDescent="0.25">
      <c r="A2065" s="257">
        <v>2068</v>
      </c>
      <c r="B2065" s="267">
        <v>2064</v>
      </c>
      <c r="C2065" s="268" t="s">
        <v>335</v>
      </c>
      <c r="D2065" s="269">
        <v>42206</v>
      </c>
      <c r="E2065" s="270" t="s">
        <v>685</v>
      </c>
      <c r="F2065" s="384">
        <v>63000</v>
      </c>
      <c r="G2065" s="270">
        <v>192490276</v>
      </c>
      <c r="H2065" s="270"/>
    </row>
    <row r="2066" spans="1:8" x14ac:dyDescent="0.25">
      <c r="A2066" s="257">
        <v>2069</v>
      </c>
      <c r="B2066" s="267">
        <v>2065</v>
      </c>
      <c r="C2066" s="268" t="s">
        <v>3739</v>
      </c>
      <c r="D2066" s="269">
        <v>42206</v>
      </c>
      <c r="E2066" s="270" t="s">
        <v>3502</v>
      </c>
      <c r="F2066" s="384">
        <v>240000</v>
      </c>
      <c r="G2066" s="270">
        <v>101581495</v>
      </c>
      <c r="H2066" s="270"/>
    </row>
    <row r="2067" spans="1:8" x14ac:dyDescent="0.25">
      <c r="A2067" s="257">
        <v>2070</v>
      </c>
      <c r="B2067" s="267">
        <v>2066</v>
      </c>
      <c r="C2067" s="268" t="s">
        <v>3859</v>
      </c>
      <c r="D2067" s="269">
        <v>42207</v>
      </c>
      <c r="E2067" s="270" t="s">
        <v>4202</v>
      </c>
      <c r="F2067" s="384">
        <v>67000</v>
      </c>
      <c r="G2067" s="270">
        <v>191765720</v>
      </c>
      <c r="H2067" s="270"/>
    </row>
    <row r="2068" spans="1:8" x14ac:dyDescent="0.25">
      <c r="A2068" s="257">
        <v>2071</v>
      </c>
      <c r="B2068" s="267">
        <v>2067</v>
      </c>
      <c r="C2068" s="268" t="s">
        <v>3639</v>
      </c>
      <c r="D2068" s="269">
        <v>42207</v>
      </c>
      <c r="E2068" s="270" t="s">
        <v>3225</v>
      </c>
      <c r="F2068" s="384">
        <v>198000</v>
      </c>
      <c r="G2068" s="270">
        <v>190994063</v>
      </c>
      <c r="H2068" s="270"/>
    </row>
    <row r="2069" spans="1:8" x14ac:dyDescent="0.25">
      <c r="A2069" s="257">
        <v>2072</v>
      </c>
      <c r="B2069" s="267">
        <v>2068</v>
      </c>
      <c r="C2069" s="268" t="s">
        <v>368</v>
      </c>
      <c r="D2069" s="269">
        <v>42207</v>
      </c>
      <c r="E2069" s="270" t="s">
        <v>3225</v>
      </c>
      <c r="F2069" s="384">
        <v>198000</v>
      </c>
      <c r="G2069" s="270">
        <v>190994063</v>
      </c>
      <c r="H2069" s="270"/>
    </row>
    <row r="2070" spans="1:8" x14ac:dyDescent="0.25">
      <c r="A2070" s="257">
        <v>2073</v>
      </c>
      <c r="B2070" s="267">
        <v>2069</v>
      </c>
      <c r="C2070" s="268" t="s">
        <v>3326</v>
      </c>
      <c r="D2070" s="269">
        <v>42207</v>
      </c>
      <c r="E2070" s="270" t="s">
        <v>164</v>
      </c>
      <c r="F2070" s="384">
        <v>99000</v>
      </c>
      <c r="G2070" s="270">
        <v>100534485</v>
      </c>
      <c r="H2070" s="270"/>
    </row>
    <row r="2071" spans="1:8" x14ac:dyDescent="0.25">
      <c r="A2071" s="257">
        <v>2074</v>
      </c>
      <c r="B2071" s="267">
        <v>2070</v>
      </c>
      <c r="C2071" s="268" t="s">
        <v>1918</v>
      </c>
      <c r="D2071" s="269">
        <v>42207</v>
      </c>
      <c r="E2071" s="270" t="s">
        <v>1607</v>
      </c>
      <c r="F2071" s="384">
        <v>280000</v>
      </c>
      <c r="G2071" s="270">
        <v>690643672</v>
      </c>
      <c r="H2071" s="270"/>
    </row>
    <row r="2072" spans="1:8" x14ac:dyDescent="0.25">
      <c r="A2072" s="257">
        <v>2075</v>
      </c>
      <c r="B2072" s="267">
        <v>2071</v>
      </c>
      <c r="C2072" s="268" t="s">
        <v>3252</v>
      </c>
      <c r="D2072" s="269">
        <v>42207</v>
      </c>
      <c r="E2072" s="270" t="s">
        <v>526</v>
      </c>
      <c r="F2072" s="384">
        <v>240000</v>
      </c>
      <c r="G2072" s="270">
        <v>691536906</v>
      </c>
      <c r="H2072" s="270"/>
    </row>
    <row r="2073" spans="1:8" x14ac:dyDescent="0.25">
      <c r="A2073" s="257">
        <v>2076</v>
      </c>
      <c r="B2073" s="267">
        <v>2072</v>
      </c>
      <c r="C2073" s="268" t="s">
        <v>3312</v>
      </c>
      <c r="D2073" s="269">
        <v>42207</v>
      </c>
      <c r="E2073" s="270" t="s">
        <v>3504</v>
      </c>
      <c r="F2073" s="384">
        <v>63000</v>
      </c>
      <c r="G2073" s="270">
        <v>191750982</v>
      </c>
      <c r="H2073" s="270"/>
    </row>
    <row r="2074" spans="1:8" x14ac:dyDescent="0.25">
      <c r="A2074" s="257">
        <v>2077</v>
      </c>
      <c r="B2074" s="267">
        <v>2073</v>
      </c>
      <c r="C2074" s="268" t="s">
        <v>3637</v>
      </c>
      <c r="D2074" s="269">
        <v>42207</v>
      </c>
      <c r="E2074" s="270" t="s">
        <v>3266</v>
      </c>
      <c r="F2074" s="384">
        <v>435000</v>
      </c>
      <c r="G2074" s="270">
        <v>190894133</v>
      </c>
      <c r="H2074" s="270"/>
    </row>
    <row r="2075" spans="1:8" x14ac:dyDescent="0.25">
      <c r="A2075" s="257">
        <v>2078</v>
      </c>
      <c r="B2075" s="267">
        <v>2074</v>
      </c>
      <c r="C2075" s="268" t="s">
        <v>136</v>
      </c>
      <c r="D2075" s="269">
        <v>42207</v>
      </c>
      <c r="E2075" s="270" t="s">
        <v>1617</v>
      </c>
      <c r="F2075" s="384">
        <v>280000</v>
      </c>
      <c r="G2075" s="270">
        <v>190916377</v>
      </c>
      <c r="H2075" s="270"/>
    </row>
    <row r="2076" spans="1:8" x14ac:dyDescent="0.25">
      <c r="A2076" s="257">
        <v>2079</v>
      </c>
      <c r="B2076" s="267">
        <v>2075</v>
      </c>
      <c r="C2076" s="268" t="s">
        <v>3739</v>
      </c>
      <c r="D2076" s="269">
        <v>42214</v>
      </c>
      <c r="E2076" s="270" t="s">
        <v>3502</v>
      </c>
      <c r="F2076" s="384">
        <v>240000</v>
      </c>
      <c r="G2076" s="270">
        <v>101581495</v>
      </c>
      <c r="H2076" s="270"/>
    </row>
    <row r="2077" spans="1:8" x14ac:dyDescent="0.25">
      <c r="A2077" s="257">
        <v>2080</v>
      </c>
      <c r="B2077" s="267">
        <v>2076</v>
      </c>
      <c r="C2077" s="268" t="s">
        <v>680</v>
      </c>
      <c r="D2077" s="269">
        <v>42214</v>
      </c>
      <c r="E2077" s="270" t="s">
        <v>3598</v>
      </c>
      <c r="F2077" s="384">
        <v>435000</v>
      </c>
      <c r="G2077" s="270">
        <v>190221603</v>
      </c>
      <c r="H2077" s="270"/>
    </row>
    <row r="2078" spans="1:8" x14ac:dyDescent="0.25">
      <c r="A2078" s="257">
        <v>2081</v>
      </c>
      <c r="B2078" s="267">
        <v>2077</v>
      </c>
      <c r="C2078" s="268" t="s">
        <v>2863</v>
      </c>
      <c r="D2078" s="269">
        <v>42214</v>
      </c>
      <c r="E2078" s="270" t="s">
        <v>2862</v>
      </c>
      <c r="F2078" s="384">
        <v>480000</v>
      </c>
      <c r="G2078" s="270">
        <v>101271576</v>
      </c>
      <c r="H2078" s="270"/>
    </row>
    <row r="2079" spans="1:8" x14ac:dyDescent="0.25">
      <c r="A2079" s="257">
        <v>2082</v>
      </c>
      <c r="B2079" s="267">
        <v>2078</v>
      </c>
      <c r="C2079" s="268" t="s">
        <v>3253</v>
      </c>
      <c r="D2079" s="269">
        <v>42214</v>
      </c>
      <c r="E2079" s="270" t="s">
        <v>3631</v>
      </c>
      <c r="F2079" s="384">
        <v>155000</v>
      </c>
      <c r="G2079" s="270">
        <v>691380883</v>
      </c>
      <c r="H2079" s="270"/>
    </row>
    <row r="2080" spans="1:8" x14ac:dyDescent="0.25">
      <c r="A2080" s="257">
        <v>2083</v>
      </c>
      <c r="B2080" s="267">
        <v>2079</v>
      </c>
      <c r="C2080" s="268" t="s">
        <v>2963</v>
      </c>
      <c r="D2080" s="269">
        <v>42214</v>
      </c>
      <c r="E2080" s="270" t="s">
        <v>220</v>
      </c>
      <c r="F2080" s="384">
        <v>1912000</v>
      </c>
      <c r="G2080" s="270">
        <v>100230496</v>
      </c>
      <c r="H2080" s="270"/>
    </row>
    <row r="2081" spans="1:8" x14ac:dyDescent="0.25">
      <c r="A2081" s="257">
        <v>2084</v>
      </c>
      <c r="B2081" s="267">
        <v>2080</v>
      </c>
      <c r="C2081" s="268" t="s">
        <v>2716</v>
      </c>
      <c r="D2081" s="269">
        <v>42214</v>
      </c>
      <c r="E2081" s="270" t="s">
        <v>2760</v>
      </c>
      <c r="F2081" s="384">
        <v>165000</v>
      </c>
      <c r="G2081" s="270">
        <v>100801936</v>
      </c>
      <c r="H2081" s="270"/>
    </row>
    <row r="2082" spans="1:8" x14ac:dyDescent="0.25">
      <c r="A2082" s="257">
        <v>2085</v>
      </c>
      <c r="B2082" s="267">
        <v>2081</v>
      </c>
      <c r="C2082" s="268" t="s">
        <v>3626</v>
      </c>
      <c r="D2082" s="269">
        <v>42214</v>
      </c>
      <c r="E2082" s="270" t="s">
        <v>236</v>
      </c>
      <c r="F2082" s="384">
        <v>435000</v>
      </c>
      <c r="G2082" s="270">
        <v>391157231</v>
      </c>
      <c r="H2082" s="270"/>
    </row>
    <row r="2083" spans="1:8" x14ac:dyDescent="0.25">
      <c r="A2083" s="257">
        <v>2086</v>
      </c>
      <c r="B2083" s="267">
        <v>2082</v>
      </c>
      <c r="C2083" s="268" t="s">
        <v>1639</v>
      </c>
      <c r="D2083" s="269">
        <v>42215</v>
      </c>
      <c r="E2083" s="270" t="s">
        <v>3850</v>
      </c>
      <c r="F2083" s="384">
        <v>149000</v>
      </c>
      <c r="G2083" s="270">
        <v>800011635</v>
      </c>
      <c r="H2083" s="270"/>
    </row>
    <row r="2084" spans="1:8" x14ac:dyDescent="0.25">
      <c r="A2084" s="257">
        <v>2087</v>
      </c>
      <c r="B2084" s="267">
        <v>2083</v>
      </c>
      <c r="C2084" s="268" t="s">
        <v>1686</v>
      </c>
      <c r="D2084" s="269">
        <v>42215</v>
      </c>
      <c r="E2084" s="270" t="s">
        <v>1670</v>
      </c>
      <c r="F2084" s="384">
        <v>435000</v>
      </c>
      <c r="G2084" s="270">
        <v>691600724</v>
      </c>
      <c r="H2084" s="270"/>
    </row>
    <row r="2085" spans="1:8" x14ac:dyDescent="0.25">
      <c r="A2085" s="257">
        <v>2088</v>
      </c>
      <c r="B2085" s="267">
        <v>2084</v>
      </c>
      <c r="C2085" s="268" t="s">
        <v>231</v>
      </c>
      <c r="D2085" s="269">
        <v>42215</v>
      </c>
      <c r="E2085" s="270" t="s">
        <v>955</v>
      </c>
      <c r="F2085" s="384">
        <v>405000</v>
      </c>
      <c r="G2085" s="270">
        <v>191835639</v>
      </c>
      <c r="H2085" s="270"/>
    </row>
    <row r="2086" spans="1:8" x14ac:dyDescent="0.25">
      <c r="A2086" s="257">
        <v>2089</v>
      </c>
      <c r="B2086" s="267">
        <v>2085</v>
      </c>
      <c r="C2086" s="268" t="s">
        <v>371</v>
      </c>
      <c r="D2086" s="269">
        <v>42215</v>
      </c>
      <c r="E2086" s="270" t="s">
        <v>370</v>
      </c>
      <c r="F2086" s="384">
        <v>280000</v>
      </c>
      <c r="G2086" s="270">
        <v>101293399</v>
      </c>
      <c r="H2086" s="270"/>
    </row>
    <row r="2087" spans="1:8" x14ac:dyDescent="0.25">
      <c r="A2087" s="257">
        <v>2090</v>
      </c>
      <c r="B2087" s="267">
        <v>2086</v>
      </c>
      <c r="C2087" s="268" t="s">
        <v>3660</v>
      </c>
      <c r="D2087" s="269">
        <v>42216</v>
      </c>
      <c r="E2087" s="270" t="s">
        <v>156</v>
      </c>
      <c r="F2087" s="384">
        <v>280000</v>
      </c>
      <c r="G2087" s="270">
        <v>690559664</v>
      </c>
      <c r="H2087" s="270"/>
    </row>
    <row r="2088" spans="1:8" x14ac:dyDescent="0.25">
      <c r="A2088" s="257">
        <v>2091</v>
      </c>
      <c r="B2088" s="267">
        <v>2087</v>
      </c>
      <c r="C2088" s="268" t="s">
        <v>895</v>
      </c>
      <c r="D2088" s="269">
        <v>42216</v>
      </c>
      <c r="E2088" s="270" t="s">
        <v>2804</v>
      </c>
      <c r="F2088" s="384">
        <v>715000</v>
      </c>
      <c r="G2088" s="270">
        <v>691433174</v>
      </c>
      <c r="H2088" s="270"/>
    </row>
    <row r="2089" spans="1:8" x14ac:dyDescent="0.25">
      <c r="A2089" s="257">
        <v>2092</v>
      </c>
      <c r="B2089" s="267">
        <v>2088</v>
      </c>
      <c r="C2089" s="268" t="s">
        <v>67</v>
      </c>
      <c r="D2089" s="269">
        <v>42216</v>
      </c>
      <c r="E2089" s="270" t="s">
        <v>914</v>
      </c>
      <c r="F2089" s="384">
        <v>31000</v>
      </c>
      <c r="G2089" s="270">
        <v>190114911</v>
      </c>
      <c r="H2089" s="270"/>
    </row>
    <row r="2090" spans="1:8" x14ac:dyDescent="0.25">
      <c r="A2090" s="257">
        <v>2093</v>
      </c>
      <c r="B2090" s="267">
        <v>2089</v>
      </c>
      <c r="C2090" s="268" t="s">
        <v>2634</v>
      </c>
      <c r="D2090" s="269">
        <v>42216</v>
      </c>
      <c r="E2090" s="270" t="s">
        <v>1126</v>
      </c>
      <c r="F2090" s="384">
        <v>560000</v>
      </c>
      <c r="G2090" s="270">
        <v>101325710</v>
      </c>
      <c r="H2090" s="270"/>
    </row>
    <row r="2091" spans="1:8" x14ac:dyDescent="0.25">
      <c r="A2091" s="257">
        <v>2094</v>
      </c>
      <c r="B2091" s="267">
        <v>2090</v>
      </c>
      <c r="C2091" s="268" t="s">
        <v>375</v>
      </c>
      <c r="D2091" s="269">
        <v>42216</v>
      </c>
      <c r="E2091" s="270" t="s">
        <v>2696</v>
      </c>
      <c r="F2091" s="384">
        <v>240000</v>
      </c>
      <c r="G2091" s="270">
        <v>600182119</v>
      </c>
      <c r="H2091" s="270"/>
    </row>
    <row r="2092" spans="1:8" x14ac:dyDescent="0.25">
      <c r="A2092" s="257">
        <v>2095</v>
      </c>
      <c r="B2092" s="267">
        <v>2091</v>
      </c>
      <c r="C2092" s="268" t="s">
        <v>375</v>
      </c>
      <c r="D2092" s="269">
        <v>42216</v>
      </c>
      <c r="E2092" s="270" t="s">
        <v>263</v>
      </c>
      <c r="F2092" s="384">
        <v>240000</v>
      </c>
      <c r="G2092" s="270">
        <v>600182119</v>
      </c>
      <c r="H2092" s="270"/>
    </row>
    <row r="2093" spans="1:8" x14ac:dyDescent="0.25">
      <c r="A2093" s="257">
        <v>2096</v>
      </c>
      <c r="B2093" s="267">
        <v>2092</v>
      </c>
      <c r="C2093" s="268" t="s">
        <v>3207</v>
      </c>
      <c r="D2093" s="269">
        <v>42216</v>
      </c>
      <c r="E2093" s="270" t="s">
        <v>2785</v>
      </c>
      <c r="F2093" s="384">
        <v>280000</v>
      </c>
      <c r="G2093" s="270">
        <v>190902091</v>
      </c>
      <c r="H2093" s="270"/>
    </row>
    <row r="2094" spans="1:8" x14ac:dyDescent="0.25">
      <c r="A2094" s="257">
        <v>2097</v>
      </c>
      <c r="B2094" s="267">
        <v>2093</v>
      </c>
      <c r="C2094" s="268" t="s">
        <v>1648</v>
      </c>
      <c r="D2094" s="269">
        <v>42217</v>
      </c>
      <c r="E2094" s="270" t="s">
        <v>2739</v>
      </c>
      <c r="F2094" s="384">
        <v>36000</v>
      </c>
      <c r="G2094" s="270">
        <v>690648207</v>
      </c>
      <c r="H2094" s="270"/>
    </row>
    <row r="2095" spans="1:8" x14ac:dyDescent="0.25">
      <c r="A2095" s="257">
        <v>2098</v>
      </c>
      <c r="B2095" s="267">
        <v>2094</v>
      </c>
      <c r="C2095" s="268" t="s">
        <v>3618</v>
      </c>
      <c r="D2095" s="269">
        <v>42219</v>
      </c>
      <c r="E2095" s="270" t="s">
        <v>163</v>
      </c>
      <c r="F2095" s="384">
        <v>155000</v>
      </c>
      <c r="G2095" s="270">
        <v>100843354</v>
      </c>
      <c r="H2095" s="270"/>
    </row>
    <row r="2096" spans="1:8" x14ac:dyDescent="0.25">
      <c r="A2096" s="257">
        <v>2099</v>
      </c>
      <c r="B2096" s="267">
        <v>2095</v>
      </c>
      <c r="C2096" s="268" t="s">
        <v>395</v>
      </c>
      <c r="D2096" s="269">
        <v>42219</v>
      </c>
      <c r="E2096" s="270" t="s">
        <v>310</v>
      </c>
      <c r="F2096" s="384">
        <v>280000</v>
      </c>
      <c r="G2096" s="270">
        <v>101116094</v>
      </c>
      <c r="H2096" s="270"/>
    </row>
    <row r="2097" spans="1:8" x14ac:dyDescent="0.25">
      <c r="A2097" s="257">
        <v>2100</v>
      </c>
      <c r="B2097" s="267">
        <v>2096</v>
      </c>
      <c r="C2097" s="268" t="s">
        <v>2889</v>
      </c>
      <c r="D2097" s="269">
        <v>42219</v>
      </c>
      <c r="E2097" s="270" t="s">
        <v>523</v>
      </c>
      <c r="F2097" s="384">
        <v>435000</v>
      </c>
      <c r="G2097" s="270">
        <v>691539111</v>
      </c>
      <c r="H2097" s="270"/>
    </row>
    <row r="2098" spans="1:8" x14ac:dyDescent="0.25">
      <c r="A2098" s="257">
        <v>2101</v>
      </c>
      <c r="B2098" s="267">
        <v>2097</v>
      </c>
      <c r="C2098" s="268" t="s">
        <v>375</v>
      </c>
      <c r="D2098" s="269">
        <v>42219</v>
      </c>
      <c r="E2098" s="270" t="s">
        <v>263</v>
      </c>
      <c r="F2098" s="384">
        <v>36000</v>
      </c>
      <c r="G2098" s="270">
        <v>600182119</v>
      </c>
      <c r="H2098" s="270"/>
    </row>
    <row r="2099" spans="1:8" x14ac:dyDescent="0.25">
      <c r="A2099" s="257">
        <v>2102</v>
      </c>
      <c r="B2099" s="267">
        <v>2098</v>
      </c>
      <c r="C2099" s="268" t="s">
        <v>3763</v>
      </c>
      <c r="D2099" s="269">
        <v>42219</v>
      </c>
      <c r="E2099" s="270" t="s">
        <v>2447</v>
      </c>
      <c r="F2099" s="384">
        <v>435000</v>
      </c>
      <c r="G2099" s="270">
        <v>190007543</v>
      </c>
      <c r="H2099" s="270"/>
    </row>
    <row r="2100" spans="1:8" x14ac:dyDescent="0.25">
      <c r="A2100" s="257">
        <v>2103</v>
      </c>
      <c r="B2100" s="267">
        <v>2099</v>
      </c>
      <c r="C2100" s="268" t="s">
        <v>3618</v>
      </c>
      <c r="D2100" s="269">
        <v>42219</v>
      </c>
      <c r="E2100" s="270" t="s">
        <v>163</v>
      </c>
      <c r="F2100" s="384">
        <v>155000</v>
      </c>
      <c r="G2100" s="270">
        <v>100843354</v>
      </c>
      <c r="H2100" s="270"/>
    </row>
    <row r="2101" spans="1:8" x14ac:dyDescent="0.25">
      <c r="A2101" s="257">
        <v>2104</v>
      </c>
      <c r="B2101" s="267">
        <v>2100</v>
      </c>
      <c r="C2101" s="268" t="s">
        <v>3253</v>
      </c>
      <c r="D2101" s="269">
        <v>42219</v>
      </c>
      <c r="E2101" s="270" t="s">
        <v>3631</v>
      </c>
      <c r="F2101" s="384">
        <v>435000</v>
      </c>
      <c r="G2101" s="270">
        <v>691380883</v>
      </c>
      <c r="H2101" s="270"/>
    </row>
    <row r="2102" spans="1:8" x14ac:dyDescent="0.25">
      <c r="A2102" s="257">
        <v>2105</v>
      </c>
      <c r="B2102" s="267">
        <v>2101</v>
      </c>
      <c r="C2102" s="268" t="s">
        <v>190</v>
      </c>
      <c r="D2102" s="269">
        <v>42220</v>
      </c>
      <c r="E2102" s="270" t="s">
        <v>188</v>
      </c>
      <c r="F2102" s="384">
        <v>280000</v>
      </c>
      <c r="G2102" s="270">
        <v>190270596</v>
      </c>
      <c r="H2102" s="270"/>
    </row>
    <row r="2103" spans="1:8" x14ac:dyDescent="0.25">
      <c r="A2103" s="257">
        <v>2106</v>
      </c>
      <c r="B2103" s="267">
        <v>2102</v>
      </c>
      <c r="C2103" s="268" t="s">
        <v>3568</v>
      </c>
      <c r="D2103" s="269">
        <v>42220</v>
      </c>
      <c r="E2103" s="270" t="s">
        <v>3548</v>
      </c>
      <c r="F2103" s="384">
        <v>63000</v>
      </c>
      <c r="G2103" s="270">
        <v>100192928</v>
      </c>
      <c r="H2103" s="270"/>
    </row>
    <row r="2104" spans="1:8" x14ac:dyDescent="0.25">
      <c r="A2104" s="257">
        <v>2107</v>
      </c>
      <c r="B2104" s="267">
        <v>2103</v>
      </c>
      <c r="C2104" s="268" t="s">
        <v>3729</v>
      </c>
      <c r="D2104" s="269">
        <v>42220</v>
      </c>
      <c r="E2104" s="270" t="s">
        <v>2164</v>
      </c>
      <c r="F2104" s="384">
        <v>80000</v>
      </c>
      <c r="G2104" s="270">
        <v>100987897</v>
      </c>
      <c r="H2104" s="270"/>
    </row>
    <row r="2105" spans="1:8" x14ac:dyDescent="0.25">
      <c r="A2105" s="257">
        <v>2108</v>
      </c>
      <c r="B2105" s="267">
        <v>2104</v>
      </c>
      <c r="C2105" s="268" t="s">
        <v>333</v>
      </c>
      <c r="D2105" s="269">
        <v>42223</v>
      </c>
      <c r="E2105" s="270" t="s">
        <v>209</v>
      </c>
      <c r="F2105" s="384">
        <v>160000</v>
      </c>
      <c r="G2105" s="270">
        <v>191118996</v>
      </c>
      <c r="H2105" s="270"/>
    </row>
    <row r="2106" spans="1:8" x14ac:dyDescent="0.25">
      <c r="A2106" s="257">
        <v>2109</v>
      </c>
      <c r="B2106" s="267">
        <v>2105</v>
      </c>
      <c r="C2106" s="268" t="s">
        <v>841</v>
      </c>
      <c r="D2106" s="269">
        <v>42223</v>
      </c>
      <c r="E2106" s="270" t="s">
        <v>1527</v>
      </c>
      <c r="F2106" s="384">
        <v>198000</v>
      </c>
      <c r="G2106" s="270">
        <v>691774585</v>
      </c>
      <c r="H2106" s="270"/>
    </row>
    <row r="2107" spans="1:8" x14ac:dyDescent="0.25">
      <c r="A2107" s="257">
        <v>2110</v>
      </c>
      <c r="B2107" s="267">
        <v>2106</v>
      </c>
      <c r="C2107" s="268" t="s">
        <v>72</v>
      </c>
      <c r="D2107" s="269">
        <v>42223</v>
      </c>
      <c r="E2107" s="270" t="s">
        <v>1699</v>
      </c>
      <c r="F2107" s="384">
        <v>435000</v>
      </c>
      <c r="G2107" s="270">
        <v>190438575</v>
      </c>
      <c r="H2107" s="270"/>
    </row>
    <row r="2108" spans="1:8" x14ac:dyDescent="0.25">
      <c r="A2108" s="257">
        <v>2111</v>
      </c>
      <c r="B2108" s="267">
        <v>2107</v>
      </c>
      <c r="C2108" s="268" t="s">
        <v>2095</v>
      </c>
      <c r="D2108" s="269">
        <v>42223</v>
      </c>
      <c r="E2108" s="270" t="s">
        <v>2859</v>
      </c>
      <c r="F2108" s="384">
        <v>715000</v>
      </c>
      <c r="G2108" s="270">
        <v>100261801</v>
      </c>
      <c r="H2108" s="270"/>
    </row>
    <row r="2109" spans="1:8" x14ac:dyDescent="0.25">
      <c r="A2109" s="257">
        <v>2112</v>
      </c>
      <c r="B2109" s="267">
        <v>2108</v>
      </c>
      <c r="C2109" s="268" t="s">
        <v>2604</v>
      </c>
      <c r="D2109" s="269">
        <v>42223</v>
      </c>
      <c r="E2109" s="270" t="s">
        <v>2866</v>
      </c>
      <c r="F2109" s="384">
        <v>198000</v>
      </c>
      <c r="G2109" s="270">
        <v>100080014</v>
      </c>
      <c r="H2109" s="270"/>
    </row>
    <row r="2110" spans="1:8" x14ac:dyDescent="0.25">
      <c r="A2110" s="257">
        <v>2113</v>
      </c>
      <c r="B2110" s="267">
        <v>2109</v>
      </c>
      <c r="C2110" s="268" t="s">
        <v>2604</v>
      </c>
      <c r="D2110" s="269">
        <v>42223</v>
      </c>
      <c r="E2110" s="270" t="s">
        <v>2866</v>
      </c>
      <c r="F2110" s="384">
        <v>63000</v>
      </c>
      <c r="G2110" s="270">
        <v>100080014</v>
      </c>
      <c r="H2110" s="270"/>
    </row>
    <row r="2111" spans="1:8" x14ac:dyDescent="0.25">
      <c r="A2111" s="257">
        <v>2114</v>
      </c>
      <c r="B2111" s="267">
        <v>2110</v>
      </c>
      <c r="C2111" s="268" t="s">
        <v>494</v>
      </c>
      <c r="D2111" s="269">
        <v>42226</v>
      </c>
      <c r="E2111" s="270" t="s">
        <v>339</v>
      </c>
      <c r="F2111" s="384">
        <v>155000</v>
      </c>
      <c r="G2111" s="270">
        <v>690629013</v>
      </c>
      <c r="H2111" s="270"/>
    </row>
    <row r="2112" spans="1:8" x14ac:dyDescent="0.25">
      <c r="A2112" s="257">
        <v>2115</v>
      </c>
      <c r="B2112" s="267">
        <v>2111</v>
      </c>
      <c r="C2112" s="268" t="s">
        <v>2613</v>
      </c>
      <c r="D2112" s="269">
        <v>42226</v>
      </c>
      <c r="E2112" s="270" t="s">
        <v>916</v>
      </c>
      <c r="F2112" s="384">
        <v>1476000</v>
      </c>
      <c r="G2112" s="270">
        <v>101553117</v>
      </c>
      <c r="H2112" s="270"/>
    </row>
    <row r="2113" spans="1:8" x14ac:dyDescent="0.25">
      <c r="A2113" s="257">
        <v>2116</v>
      </c>
      <c r="B2113" s="267">
        <v>2112</v>
      </c>
      <c r="C2113" s="268" t="s">
        <v>3849</v>
      </c>
      <c r="D2113" s="269">
        <v>42226</v>
      </c>
      <c r="E2113" s="270" t="s">
        <v>3755</v>
      </c>
      <c r="F2113" s="384">
        <v>113000</v>
      </c>
      <c r="G2113" s="270">
        <v>190460526</v>
      </c>
      <c r="H2113" s="270"/>
    </row>
    <row r="2114" spans="1:8" x14ac:dyDescent="0.25">
      <c r="A2114" s="257">
        <v>2117</v>
      </c>
      <c r="B2114" s="267">
        <v>2113</v>
      </c>
      <c r="C2114" s="268" t="s">
        <v>193</v>
      </c>
      <c r="D2114" s="269">
        <v>42226</v>
      </c>
      <c r="E2114" s="270" t="s">
        <v>872</v>
      </c>
      <c r="F2114" s="384">
        <v>280000</v>
      </c>
      <c r="G2114" s="270">
        <v>690835924</v>
      </c>
      <c r="H2114" s="270"/>
    </row>
    <row r="2115" spans="1:8" x14ac:dyDescent="0.25">
      <c r="A2115" s="257">
        <v>2118</v>
      </c>
      <c r="B2115" s="267">
        <v>2114</v>
      </c>
      <c r="C2115" s="268" t="s">
        <v>374</v>
      </c>
      <c r="D2115" s="269">
        <v>42230</v>
      </c>
      <c r="E2115" s="270" t="s">
        <v>49</v>
      </c>
      <c r="F2115" s="384">
        <v>792000</v>
      </c>
      <c r="G2115" s="270">
        <v>100843288</v>
      </c>
      <c r="H2115" s="270"/>
    </row>
    <row r="2116" spans="1:8" x14ac:dyDescent="0.25">
      <c r="A2116" s="257">
        <v>2119</v>
      </c>
      <c r="B2116" s="267">
        <v>2115</v>
      </c>
      <c r="C2116" s="268" t="s">
        <v>2879</v>
      </c>
      <c r="D2116" s="269">
        <v>42230</v>
      </c>
      <c r="E2116" s="270" t="s">
        <v>1665</v>
      </c>
      <c r="F2116" s="384">
        <v>160000</v>
      </c>
      <c r="G2116" s="270">
        <v>191746843</v>
      </c>
      <c r="H2116" s="270"/>
    </row>
    <row r="2117" spans="1:8" x14ac:dyDescent="0.25">
      <c r="A2117" s="257">
        <v>2120</v>
      </c>
      <c r="B2117" s="267">
        <v>2116</v>
      </c>
      <c r="C2117" s="268" t="s">
        <v>3748</v>
      </c>
      <c r="D2117" s="269">
        <v>42230</v>
      </c>
      <c r="E2117" s="270" t="s">
        <v>1788</v>
      </c>
      <c r="F2117" s="384">
        <v>990000</v>
      </c>
      <c r="G2117" s="270">
        <v>800001327</v>
      </c>
      <c r="H2117" s="270"/>
    </row>
    <row r="2118" spans="1:8" x14ac:dyDescent="0.25">
      <c r="A2118" s="257">
        <v>2121</v>
      </c>
      <c r="B2118" s="267">
        <v>2117</v>
      </c>
      <c r="C2118" s="268" t="s">
        <v>2373</v>
      </c>
      <c r="D2118" s="269">
        <v>42230</v>
      </c>
      <c r="E2118" s="270" t="s">
        <v>894</v>
      </c>
      <c r="F2118" s="384">
        <v>155000</v>
      </c>
      <c r="G2118" s="270">
        <v>191077280</v>
      </c>
      <c r="H2118" s="270"/>
    </row>
    <row r="2119" spans="1:8" x14ac:dyDescent="0.25">
      <c r="A2119" s="257">
        <v>2122</v>
      </c>
      <c r="B2119" s="267">
        <v>2118</v>
      </c>
      <c r="C2119" s="268" t="s">
        <v>856</v>
      </c>
      <c r="D2119" s="269">
        <v>42234</v>
      </c>
      <c r="E2119" s="270" t="s">
        <v>2856</v>
      </c>
      <c r="F2119" s="384">
        <v>2175000</v>
      </c>
      <c r="G2119" s="270">
        <v>191753979</v>
      </c>
      <c r="H2119" s="270"/>
    </row>
    <row r="2120" spans="1:8" x14ac:dyDescent="0.25">
      <c r="A2120" s="257">
        <v>2123</v>
      </c>
      <c r="B2120" s="267">
        <v>2119</v>
      </c>
      <c r="C2120" s="268" t="s">
        <v>2835</v>
      </c>
      <c r="D2120" s="269">
        <v>42234</v>
      </c>
      <c r="E2120" s="270" t="s">
        <v>2890</v>
      </c>
      <c r="F2120" s="384">
        <v>198000</v>
      </c>
      <c r="G2120" s="270">
        <v>690367172</v>
      </c>
      <c r="H2120" s="270"/>
    </row>
    <row r="2121" spans="1:8" x14ac:dyDescent="0.25">
      <c r="A2121" s="257">
        <v>2124</v>
      </c>
      <c r="B2121" s="267">
        <v>2120</v>
      </c>
      <c r="C2121" s="268" t="s">
        <v>2835</v>
      </c>
      <c r="D2121" s="269">
        <v>42234</v>
      </c>
      <c r="E2121" s="270" t="s">
        <v>2890</v>
      </c>
      <c r="F2121" s="384">
        <v>280000</v>
      </c>
      <c r="G2121" s="270">
        <v>690367172</v>
      </c>
      <c r="H2121" s="270"/>
    </row>
    <row r="2122" spans="1:8" x14ac:dyDescent="0.25">
      <c r="A2122" s="257">
        <v>2125</v>
      </c>
      <c r="B2122" s="267">
        <v>2121</v>
      </c>
      <c r="C2122" s="268" t="s">
        <v>3262</v>
      </c>
      <c r="D2122" s="269">
        <v>42234</v>
      </c>
      <c r="E2122" s="270" t="s">
        <v>147</v>
      </c>
      <c r="F2122" s="384">
        <v>240000</v>
      </c>
      <c r="G2122" s="270">
        <v>100041360</v>
      </c>
      <c r="H2122" s="270"/>
    </row>
    <row r="2123" spans="1:8" x14ac:dyDescent="0.25">
      <c r="A2123" s="257">
        <v>2126</v>
      </c>
      <c r="B2123" s="267">
        <v>2122</v>
      </c>
      <c r="C2123" s="268" t="s">
        <v>4221</v>
      </c>
      <c r="D2123" s="269">
        <v>42234</v>
      </c>
      <c r="E2123" s="270" t="s">
        <v>3774</v>
      </c>
      <c r="F2123" s="384">
        <v>280000</v>
      </c>
      <c r="G2123" s="270">
        <v>690019524</v>
      </c>
      <c r="H2123" s="270"/>
    </row>
    <row r="2124" spans="1:8" x14ac:dyDescent="0.25">
      <c r="A2124" s="257">
        <v>2127</v>
      </c>
      <c r="B2124" s="267">
        <v>2123</v>
      </c>
      <c r="C2124" s="268" t="s">
        <v>2751</v>
      </c>
      <c r="D2124" s="269">
        <v>42234</v>
      </c>
      <c r="E2124" s="270" t="s">
        <v>449</v>
      </c>
      <c r="F2124" s="384">
        <v>1305000</v>
      </c>
      <c r="G2124" s="270">
        <v>100025732</v>
      </c>
      <c r="H2124" s="270"/>
    </row>
    <row r="2125" spans="1:8" x14ac:dyDescent="0.25">
      <c r="A2125" s="257">
        <v>2128</v>
      </c>
      <c r="B2125" s="267">
        <v>2124</v>
      </c>
      <c r="C2125" s="268" t="s">
        <v>2735</v>
      </c>
      <c r="D2125" s="269">
        <v>42234</v>
      </c>
      <c r="E2125" s="270" t="s">
        <v>141</v>
      </c>
      <c r="F2125" s="384">
        <v>198000</v>
      </c>
      <c r="G2125" s="270">
        <v>600049547</v>
      </c>
      <c r="H2125" s="270"/>
    </row>
    <row r="2126" spans="1:8" x14ac:dyDescent="0.25">
      <c r="A2126" s="257">
        <v>2129</v>
      </c>
      <c r="B2126" s="267">
        <v>2125</v>
      </c>
      <c r="C2126" s="268" t="s">
        <v>419</v>
      </c>
      <c r="D2126" s="269">
        <v>42235</v>
      </c>
      <c r="E2126" s="270" t="s">
        <v>418</v>
      </c>
      <c r="F2126" s="384">
        <v>358000</v>
      </c>
      <c r="G2126" s="270">
        <v>190703972</v>
      </c>
      <c r="H2126" s="270"/>
    </row>
    <row r="2127" spans="1:8" x14ac:dyDescent="0.25">
      <c r="A2127" s="257">
        <v>2130</v>
      </c>
      <c r="B2127" s="267">
        <v>2126</v>
      </c>
      <c r="C2127" s="268" t="s">
        <v>2893</v>
      </c>
      <c r="D2127" s="269">
        <v>42235</v>
      </c>
      <c r="E2127" s="270" t="s">
        <v>3220</v>
      </c>
      <c r="F2127" s="384">
        <v>280000</v>
      </c>
      <c r="G2127" s="270">
        <v>101371967</v>
      </c>
      <c r="H2127" s="270"/>
    </row>
    <row r="2128" spans="1:8" x14ac:dyDescent="0.25">
      <c r="A2128" s="257">
        <v>2131</v>
      </c>
      <c r="B2128" s="267">
        <v>2127</v>
      </c>
      <c r="C2128" s="268" t="s">
        <v>1689</v>
      </c>
      <c r="D2128" s="269">
        <v>42235</v>
      </c>
      <c r="E2128" s="270" t="s">
        <v>2780</v>
      </c>
      <c r="F2128" s="384">
        <v>198000</v>
      </c>
      <c r="G2128" s="270">
        <v>101191189</v>
      </c>
      <c r="H2128" s="270"/>
    </row>
    <row r="2129" spans="1:8" x14ac:dyDescent="0.25">
      <c r="A2129" s="257">
        <v>2132</v>
      </c>
      <c r="B2129" s="267">
        <v>2128</v>
      </c>
      <c r="C2129" s="268" t="s">
        <v>67</v>
      </c>
      <c r="D2129" s="269">
        <v>42235</v>
      </c>
      <c r="E2129" s="270" t="s">
        <v>914</v>
      </c>
      <c r="F2129" s="384">
        <v>2175000</v>
      </c>
      <c r="G2129" s="270">
        <v>190114911</v>
      </c>
      <c r="H2129" s="270"/>
    </row>
    <row r="2130" spans="1:8" x14ac:dyDescent="0.25">
      <c r="A2130" s="257">
        <v>2133</v>
      </c>
      <c r="B2130" s="267">
        <v>2129</v>
      </c>
      <c r="C2130" s="268" t="s">
        <v>2867</v>
      </c>
      <c r="D2130" s="269">
        <v>42235</v>
      </c>
      <c r="E2130" s="270" t="s">
        <v>3318</v>
      </c>
      <c r="F2130" s="384">
        <v>435000</v>
      </c>
      <c r="G2130" s="270">
        <v>190583578</v>
      </c>
      <c r="H2130" s="270"/>
    </row>
    <row r="2131" spans="1:8" x14ac:dyDescent="0.25">
      <c r="A2131" s="257">
        <v>2134</v>
      </c>
      <c r="B2131" s="267">
        <v>2130</v>
      </c>
      <c r="C2131" s="268" t="s">
        <v>2752</v>
      </c>
      <c r="D2131" s="269">
        <v>42235</v>
      </c>
      <c r="E2131" s="270" t="s">
        <v>2367</v>
      </c>
      <c r="F2131" s="384">
        <v>198000</v>
      </c>
      <c r="G2131" s="270">
        <v>191439699</v>
      </c>
      <c r="H2131" s="270"/>
    </row>
    <row r="2132" spans="1:8" x14ac:dyDescent="0.25">
      <c r="A2132" s="257">
        <v>2135</v>
      </c>
      <c r="B2132" s="267">
        <v>2131</v>
      </c>
      <c r="C2132" s="268" t="s">
        <v>1658</v>
      </c>
      <c r="D2132" s="269">
        <v>42235</v>
      </c>
      <c r="E2132" s="270" t="s">
        <v>825</v>
      </c>
      <c r="F2132" s="384">
        <v>280000</v>
      </c>
      <c r="G2132" s="270">
        <v>100951254</v>
      </c>
      <c r="H2132" s="270"/>
    </row>
    <row r="2133" spans="1:8" x14ac:dyDescent="0.25">
      <c r="A2133" s="257">
        <v>2136</v>
      </c>
      <c r="B2133" s="267">
        <v>2132</v>
      </c>
      <c r="C2133" s="268" t="s">
        <v>160</v>
      </c>
      <c r="D2133" s="269">
        <v>42235</v>
      </c>
      <c r="E2133" s="270" t="s">
        <v>851</v>
      </c>
      <c r="F2133" s="384">
        <v>94000</v>
      </c>
      <c r="G2133" s="270">
        <v>190587716</v>
      </c>
      <c r="H2133" s="270"/>
    </row>
    <row r="2134" spans="1:8" x14ac:dyDescent="0.25">
      <c r="A2134" s="257">
        <v>2137</v>
      </c>
      <c r="B2134" s="267">
        <v>2133</v>
      </c>
      <c r="C2134" s="268" t="s">
        <v>2752</v>
      </c>
      <c r="D2134" s="269">
        <v>42236</v>
      </c>
      <c r="E2134" s="270" t="s">
        <v>2367</v>
      </c>
      <c r="F2134" s="384">
        <v>67000</v>
      </c>
      <c r="G2134" s="270">
        <v>191439699</v>
      </c>
      <c r="H2134" s="270"/>
    </row>
    <row r="2135" spans="1:8" x14ac:dyDescent="0.25">
      <c r="A2135" s="257">
        <v>2138</v>
      </c>
      <c r="B2135" s="267">
        <v>2134</v>
      </c>
      <c r="C2135" s="268" t="s">
        <v>2629</v>
      </c>
      <c r="D2135" s="269">
        <v>42236</v>
      </c>
      <c r="E2135" s="270" t="s">
        <v>448</v>
      </c>
      <c r="F2135" s="384">
        <v>240000</v>
      </c>
      <c r="G2135" s="270">
        <v>691430573</v>
      </c>
      <c r="H2135" s="270"/>
    </row>
    <row r="2136" spans="1:8" x14ac:dyDescent="0.25">
      <c r="A2136" s="257">
        <v>2139</v>
      </c>
      <c r="B2136" s="267">
        <v>2135</v>
      </c>
      <c r="C2136" s="268" t="s">
        <v>2629</v>
      </c>
      <c r="D2136" s="269">
        <v>42236</v>
      </c>
      <c r="E2136" s="270" t="s">
        <v>448</v>
      </c>
      <c r="F2136" s="384">
        <v>240000</v>
      </c>
      <c r="G2136" s="270">
        <v>691430573</v>
      </c>
      <c r="H2136" s="270"/>
    </row>
    <row r="2137" spans="1:8" x14ac:dyDescent="0.25">
      <c r="A2137" s="257">
        <v>2140</v>
      </c>
      <c r="B2137" s="267">
        <v>2136</v>
      </c>
      <c r="C2137" s="268" t="s">
        <v>2889</v>
      </c>
      <c r="D2137" s="269">
        <v>42236</v>
      </c>
      <c r="E2137" s="270" t="s">
        <v>523</v>
      </c>
      <c r="F2137" s="384">
        <v>155000</v>
      </c>
      <c r="G2137" s="270">
        <v>691539111</v>
      </c>
      <c r="H2137" s="270"/>
    </row>
    <row r="2138" spans="1:8" x14ac:dyDescent="0.25">
      <c r="A2138" s="257">
        <v>2141</v>
      </c>
      <c r="B2138" s="267">
        <v>2137</v>
      </c>
      <c r="C2138" s="268" t="s">
        <v>2835</v>
      </c>
      <c r="D2138" s="269">
        <v>42236</v>
      </c>
      <c r="E2138" s="270" t="s">
        <v>2890</v>
      </c>
      <c r="F2138" s="384">
        <v>170000</v>
      </c>
      <c r="G2138" s="270">
        <v>690367172</v>
      </c>
      <c r="H2138" s="270"/>
    </row>
    <row r="2139" spans="1:8" x14ac:dyDescent="0.25">
      <c r="A2139" s="257">
        <v>2142</v>
      </c>
      <c r="B2139" s="267">
        <v>2138</v>
      </c>
      <c r="C2139" s="268" t="s">
        <v>1689</v>
      </c>
      <c r="D2139" s="269">
        <v>42236</v>
      </c>
      <c r="E2139" s="270" t="s">
        <v>2780</v>
      </c>
      <c r="F2139" s="384">
        <v>144000</v>
      </c>
      <c r="G2139" s="270">
        <v>101191189</v>
      </c>
      <c r="H2139" s="270"/>
    </row>
    <row r="2140" spans="1:8" x14ac:dyDescent="0.25">
      <c r="A2140" s="257">
        <v>2143</v>
      </c>
      <c r="B2140" s="267">
        <v>2139</v>
      </c>
      <c r="C2140" s="268" t="s">
        <v>2602</v>
      </c>
      <c r="D2140" s="269">
        <v>42236</v>
      </c>
      <c r="E2140" s="270" t="s">
        <v>3321</v>
      </c>
      <c r="F2140" s="384">
        <v>435000</v>
      </c>
      <c r="G2140" s="270">
        <v>490492602</v>
      </c>
      <c r="H2140" s="270"/>
    </row>
    <row r="2141" spans="1:8" x14ac:dyDescent="0.25">
      <c r="A2141" s="257">
        <v>2144</v>
      </c>
      <c r="B2141" s="267">
        <v>2140</v>
      </c>
      <c r="C2141" s="268" t="s">
        <v>2893</v>
      </c>
      <c r="D2141" s="269">
        <v>42237</v>
      </c>
      <c r="E2141" s="270" t="s">
        <v>3220</v>
      </c>
      <c r="F2141" s="384">
        <v>67000</v>
      </c>
      <c r="G2141" s="270">
        <v>101371967</v>
      </c>
      <c r="H2141" s="270"/>
    </row>
    <row r="2142" spans="1:8" x14ac:dyDescent="0.25">
      <c r="A2142" s="257">
        <v>2145</v>
      </c>
      <c r="B2142" s="267">
        <v>2141</v>
      </c>
      <c r="C2142" s="268" t="s">
        <v>680</v>
      </c>
      <c r="D2142" s="269">
        <v>42237</v>
      </c>
      <c r="E2142" s="270" t="s">
        <v>3598</v>
      </c>
      <c r="F2142" s="384">
        <v>590000</v>
      </c>
      <c r="G2142" s="270">
        <v>190221603</v>
      </c>
      <c r="H2142" s="270"/>
    </row>
    <row r="2143" spans="1:8" x14ac:dyDescent="0.25">
      <c r="A2143" s="257">
        <v>2146</v>
      </c>
      <c r="B2143" s="267">
        <v>2142</v>
      </c>
      <c r="C2143" s="268" t="s">
        <v>2958</v>
      </c>
      <c r="D2143" s="269">
        <v>42237</v>
      </c>
      <c r="E2143" s="270" t="s">
        <v>2718</v>
      </c>
      <c r="F2143" s="384">
        <v>363000</v>
      </c>
      <c r="G2143" s="270">
        <v>101467757</v>
      </c>
      <c r="H2143" s="270"/>
    </row>
    <row r="2144" spans="1:8" x14ac:dyDescent="0.25">
      <c r="A2144" s="257">
        <v>2147</v>
      </c>
      <c r="B2144" s="267">
        <v>2143</v>
      </c>
      <c r="C2144" s="268" t="s">
        <v>1026</v>
      </c>
      <c r="D2144" s="269">
        <v>42237</v>
      </c>
      <c r="E2144" s="270" t="s">
        <v>234</v>
      </c>
      <c r="F2144" s="384">
        <v>165000</v>
      </c>
      <c r="G2144" s="270">
        <v>100736767</v>
      </c>
      <c r="H2144" s="270"/>
    </row>
    <row r="2145" spans="1:8" x14ac:dyDescent="0.25">
      <c r="A2145" s="257">
        <v>2148</v>
      </c>
      <c r="B2145" s="267">
        <v>2144</v>
      </c>
      <c r="C2145" s="268" t="s">
        <v>722</v>
      </c>
      <c r="D2145" s="269">
        <v>42237</v>
      </c>
      <c r="E2145" s="270" t="s">
        <v>692</v>
      </c>
      <c r="F2145" s="384">
        <v>435000</v>
      </c>
      <c r="G2145" s="270">
        <v>391157231</v>
      </c>
      <c r="H2145" s="270"/>
    </row>
    <row r="2146" spans="1:8" x14ac:dyDescent="0.25">
      <c r="A2146" s="257">
        <v>2149</v>
      </c>
      <c r="B2146" s="267">
        <v>2145</v>
      </c>
      <c r="C2146" s="268" t="s">
        <v>2829</v>
      </c>
      <c r="D2146" s="269">
        <v>42237</v>
      </c>
      <c r="E2146" s="270" t="s">
        <v>70</v>
      </c>
      <c r="F2146" s="384">
        <v>240000</v>
      </c>
      <c r="G2146" s="270">
        <v>600048566</v>
      </c>
      <c r="H2146" s="270"/>
    </row>
    <row r="2147" spans="1:8" x14ac:dyDescent="0.25">
      <c r="A2147" s="257">
        <v>2150</v>
      </c>
      <c r="B2147" s="267">
        <v>2146</v>
      </c>
      <c r="C2147" s="268" t="s">
        <v>2832</v>
      </c>
      <c r="D2147" s="269">
        <v>42237</v>
      </c>
      <c r="E2147" s="270" t="s">
        <v>1854</v>
      </c>
      <c r="F2147" s="384">
        <v>198000</v>
      </c>
      <c r="G2147" s="270">
        <v>190841681</v>
      </c>
      <c r="H2147" s="270"/>
    </row>
    <row r="2148" spans="1:8" x14ac:dyDescent="0.25">
      <c r="A2148" s="257">
        <v>2151</v>
      </c>
      <c r="B2148" s="267">
        <v>2147</v>
      </c>
      <c r="C2148" s="268" t="s">
        <v>375</v>
      </c>
      <c r="D2148" s="269">
        <v>42237</v>
      </c>
      <c r="E2148" s="270" t="s">
        <v>263</v>
      </c>
      <c r="F2148" s="384">
        <v>435000</v>
      </c>
      <c r="G2148" s="270">
        <v>600182119</v>
      </c>
      <c r="H2148" s="270"/>
    </row>
    <row r="2149" spans="1:8" x14ac:dyDescent="0.25">
      <c r="A2149" s="257">
        <v>2152</v>
      </c>
      <c r="B2149" s="267">
        <v>2148</v>
      </c>
      <c r="C2149" s="268" t="s">
        <v>2434</v>
      </c>
      <c r="D2149" s="269">
        <v>42237</v>
      </c>
      <c r="E2149" s="270" t="s">
        <v>820</v>
      </c>
      <c r="F2149" s="384">
        <v>435000</v>
      </c>
      <c r="G2149" s="270">
        <v>191301074</v>
      </c>
      <c r="H2149" s="270"/>
    </row>
    <row r="2150" spans="1:8" x14ac:dyDescent="0.25">
      <c r="A2150" s="257">
        <v>2153</v>
      </c>
      <c r="B2150" s="267">
        <v>2149</v>
      </c>
      <c r="C2150" s="268" t="s">
        <v>3656</v>
      </c>
      <c r="D2150" s="269">
        <v>42238</v>
      </c>
      <c r="E2150" s="270" t="s">
        <v>2158</v>
      </c>
      <c r="F2150" s="384">
        <v>198000</v>
      </c>
      <c r="G2150" s="270">
        <v>100264535</v>
      </c>
      <c r="H2150" s="270"/>
    </row>
    <row r="2151" spans="1:8" x14ac:dyDescent="0.25">
      <c r="A2151" s="257">
        <v>2154</v>
      </c>
      <c r="B2151" s="267">
        <v>2150</v>
      </c>
      <c r="C2151" s="268" t="s">
        <v>3626</v>
      </c>
      <c r="D2151" s="269">
        <v>42238</v>
      </c>
      <c r="E2151" s="270" t="s">
        <v>236</v>
      </c>
      <c r="F2151" s="384">
        <v>63000</v>
      </c>
      <c r="G2151" s="270">
        <v>391157231</v>
      </c>
      <c r="H2151" s="270"/>
    </row>
    <row r="2152" spans="1:8" x14ac:dyDescent="0.25">
      <c r="A2152" s="257">
        <v>2155</v>
      </c>
      <c r="B2152" s="267">
        <v>2151</v>
      </c>
      <c r="C2152" s="268" t="s">
        <v>3096</v>
      </c>
      <c r="D2152" s="269">
        <v>42240</v>
      </c>
      <c r="E2152" s="270" t="s">
        <v>407</v>
      </c>
      <c r="F2152" s="384">
        <v>240000</v>
      </c>
      <c r="G2152" s="270">
        <v>800013574</v>
      </c>
      <c r="H2152" s="270"/>
    </row>
    <row r="2153" spans="1:8" x14ac:dyDescent="0.25">
      <c r="A2153" s="257">
        <v>2156</v>
      </c>
      <c r="B2153" s="267">
        <v>2152</v>
      </c>
      <c r="C2153" s="268" t="s">
        <v>1026</v>
      </c>
      <c r="D2153" s="269">
        <v>42240</v>
      </c>
      <c r="E2153" s="270" t="s">
        <v>234</v>
      </c>
      <c r="F2153" s="384">
        <v>160000</v>
      </c>
      <c r="G2153" s="270">
        <v>100736767</v>
      </c>
      <c r="H2153" s="270"/>
    </row>
    <row r="2154" spans="1:8" x14ac:dyDescent="0.25">
      <c r="A2154" s="257">
        <v>2158</v>
      </c>
      <c r="B2154" s="267">
        <v>2154</v>
      </c>
      <c r="C2154" s="268" t="s">
        <v>2751</v>
      </c>
      <c r="D2154" s="269">
        <v>42240</v>
      </c>
      <c r="E2154" s="270" t="s">
        <v>449</v>
      </c>
      <c r="F2154" s="384">
        <v>2175000</v>
      </c>
      <c r="G2154" s="270">
        <v>100025732</v>
      </c>
      <c r="H2154" s="270"/>
    </row>
    <row r="2155" spans="1:8" x14ac:dyDescent="0.25">
      <c r="A2155" s="257">
        <v>2159</v>
      </c>
      <c r="B2155" s="267">
        <v>2154</v>
      </c>
      <c r="C2155" s="268" t="s">
        <v>1700</v>
      </c>
      <c r="D2155" s="269">
        <v>42240</v>
      </c>
      <c r="E2155" s="270" t="s">
        <v>2157</v>
      </c>
      <c r="F2155" s="384">
        <v>198000</v>
      </c>
      <c r="G2155" s="270">
        <v>690850280</v>
      </c>
      <c r="H2155" s="270"/>
    </row>
    <row r="2156" spans="1:8" x14ac:dyDescent="0.25">
      <c r="A2156" s="257">
        <v>2160</v>
      </c>
      <c r="B2156" s="267">
        <v>2155</v>
      </c>
      <c r="C2156" s="268" t="s">
        <v>3740</v>
      </c>
      <c r="D2156" s="269">
        <v>42240</v>
      </c>
      <c r="E2156" s="270" t="s">
        <v>263</v>
      </c>
      <c r="F2156" s="384">
        <v>31000</v>
      </c>
      <c r="G2156" s="270">
        <v>600182119</v>
      </c>
      <c r="H2156" s="270"/>
    </row>
    <row r="2157" spans="1:8" x14ac:dyDescent="0.25">
      <c r="A2157" s="257">
        <v>2161</v>
      </c>
      <c r="B2157" s="267">
        <v>2156</v>
      </c>
      <c r="C2157" s="268" t="s">
        <v>1613</v>
      </c>
      <c r="D2157" s="269">
        <v>42241</v>
      </c>
      <c r="E2157" s="270" t="s">
        <v>514</v>
      </c>
      <c r="F2157" s="384">
        <v>94000</v>
      </c>
      <c r="G2157" s="270">
        <v>190273406</v>
      </c>
      <c r="H2157" s="270"/>
    </row>
    <row r="2158" spans="1:8" x14ac:dyDescent="0.25">
      <c r="A2158" s="257">
        <v>2162</v>
      </c>
      <c r="B2158" s="267">
        <v>2157</v>
      </c>
      <c r="C2158" s="268" t="s">
        <v>387</v>
      </c>
      <c r="D2158" s="269">
        <v>42241</v>
      </c>
      <c r="E2158" s="270" t="s">
        <v>2837</v>
      </c>
      <c r="F2158" s="384">
        <v>280000</v>
      </c>
      <c r="G2158" s="270">
        <v>100320487</v>
      </c>
      <c r="H2158" s="270"/>
    </row>
    <row r="2159" spans="1:8" x14ac:dyDescent="0.25">
      <c r="A2159" s="257">
        <v>2163</v>
      </c>
      <c r="B2159" s="267">
        <v>2158</v>
      </c>
      <c r="C2159" s="268" t="s">
        <v>3105</v>
      </c>
      <c r="D2159" s="269">
        <v>42241</v>
      </c>
      <c r="E2159" s="270" t="s">
        <v>2817</v>
      </c>
      <c r="F2159" s="384">
        <v>240000</v>
      </c>
      <c r="G2159" s="270">
        <v>808001220</v>
      </c>
      <c r="H2159" s="270"/>
    </row>
    <row r="2160" spans="1:8" x14ac:dyDescent="0.25">
      <c r="A2160" s="257">
        <v>2164</v>
      </c>
      <c r="B2160" s="267">
        <v>2159</v>
      </c>
      <c r="C2160" s="268" t="s">
        <v>910</v>
      </c>
      <c r="D2160" s="269">
        <v>42241</v>
      </c>
      <c r="E2160" s="270" t="s">
        <v>1656</v>
      </c>
      <c r="F2160" s="384">
        <v>198000</v>
      </c>
      <c r="G2160" s="270">
        <v>101439397</v>
      </c>
      <c r="H2160" s="270"/>
    </row>
    <row r="2161" spans="1:8" x14ac:dyDescent="0.25">
      <c r="A2161" s="257">
        <v>2165</v>
      </c>
      <c r="B2161" s="267">
        <v>2160</v>
      </c>
      <c r="C2161" s="268" t="s">
        <v>3748</v>
      </c>
      <c r="D2161" s="269">
        <v>42241</v>
      </c>
      <c r="E2161" s="270" t="s">
        <v>1788</v>
      </c>
      <c r="F2161" s="384">
        <v>63000</v>
      </c>
      <c r="G2161" s="270">
        <v>800001327</v>
      </c>
      <c r="H2161" s="270"/>
    </row>
    <row r="2162" spans="1:8" x14ac:dyDescent="0.25">
      <c r="A2162" s="257">
        <v>2166</v>
      </c>
      <c r="B2162" s="267">
        <v>2161</v>
      </c>
      <c r="C2162" s="268" t="s">
        <v>2889</v>
      </c>
      <c r="D2162" s="269">
        <v>42241</v>
      </c>
      <c r="E2162" s="270" t="s">
        <v>523</v>
      </c>
      <c r="F2162" s="384">
        <v>155000</v>
      </c>
      <c r="G2162" s="270">
        <v>691539111</v>
      </c>
      <c r="H2162" s="270"/>
    </row>
    <row r="2163" spans="1:8" x14ac:dyDescent="0.25">
      <c r="A2163" s="257">
        <v>2167</v>
      </c>
      <c r="B2163" s="267">
        <v>2162</v>
      </c>
      <c r="C2163" s="268" t="s">
        <v>414</v>
      </c>
      <c r="D2163" s="269">
        <v>42241</v>
      </c>
      <c r="E2163" s="270" t="s">
        <v>3629</v>
      </c>
      <c r="F2163" s="384">
        <v>280000</v>
      </c>
      <c r="G2163" s="270">
        <v>100286955</v>
      </c>
      <c r="H2163" s="270"/>
    </row>
    <row r="2164" spans="1:8" x14ac:dyDescent="0.25">
      <c r="A2164" s="257">
        <v>2168</v>
      </c>
      <c r="B2164" s="267">
        <v>2163</v>
      </c>
      <c r="C2164" s="268" t="s">
        <v>2958</v>
      </c>
      <c r="D2164" s="269">
        <v>42241</v>
      </c>
      <c r="E2164" s="270" t="s">
        <v>2718</v>
      </c>
      <c r="F2164" s="384">
        <v>63000</v>
      </c>
      <c r="G2164" s="270">
        <v>101467757</v>
      </c>
      <c r="H2164" s="270"/>
    </row>
    <row r="2165" spans="1:8" x14ac:dyDescent="0.25">
      <c r="A2165" s="257">
        <v>2169</v>
      </c>
      <c r="B2165" s="267">
        <v>2164</v>
      </c>
      <c r="C2165" s="268" t="s">
        <v>884</v>
      </c>
      <c r="D2165" s="269">
        <v>42241</v>
      </c>
      <c r="E2165" s="270" t="s">
        <v>3114</v>
      </c>
      <c r="F2165" s="384">
        <v>160000</v>
      </c>
      <c r="G2165" s="270">
        <v>190599907</v>
      </c>
      <c r="H2165" s="270"/>
    </row>
    <row r="2166" spans="1:8" x14ac:dyDescent="0.25">
      <c r="A2166" s="257">
        <v>2170</v>
      </c>
      <c r="B2166" s="267">
        <v>2165</v>
      </c>
      <c r="C2166" s="268" t="s">
        <v>2444</v>
      </c>
      <c r="D2166" s="269">
        <v>42241</v>
      </c>
      <c r="E2166" s="270" t="s">
        <v>2631</v>
      </c>
      <c r="F2166" s="384">
        <v>198000</v>
      </c>
      <c r="G2166" s="270">
        <v>100008077</v>
      </c>
      <c r="H2166" s="270"/>
    </row>
    <row r="2167" spans="1:8" x14ac:dyDescent="0.25">
      <c r="A2167" s="257">
        <v>2171</v>
      </c>
      <c r="B2167" s="267">
        <v>2166</v>
      </c>
      <c r="C2167" s="268" t="s">
        <v>2716</v>
      </c>
      <c r="D2167" s="269">
        <v>42242</v>
      </c>
      <c r="E2167" s="270" t="s">
        <v>2760</v>
      </c>
      <c r="F2167" s="384">
        <v>560000</v>
      </c>
      <c r="G2167" s="270">
        <v>100801936</v>
      </c>
      <c r="H2167" s="270"/>
    </row>
    <row r="2168" spans="1:8" x14ac:dyDescent="0.25">
      <c r="A2168" s="257">
        <v>2172</v>
      </c>
      <c r="B2168" s="267">
        <v>2167</v>
      </c>
      <c r="C2168" s="268" t="s">
        <v>3657</v>
      </c>
      <c r="D2168" s="269">
        <v>42242</v>
      </c>
      <c r="E2168" s="270" t="s">
        <v>362</v>
      </c>
      <c r="F2168" s="384">
        <v>435000</v>
      </c>
      <c r="G2168" s="270">
        <v>100099082</v>
      </c>
      <c r="H2168" s="270"/>
    </row>
    <row r="2169" spans="1:8" x14ac:dyDescent="0.25">
      <c r="A2169" s="257">
        <v>2173</v>
      </c>
      <c r="B2169" s="267">
        <v>2168</v>
      </c>
      <c r="C2169" s="268" t="s">
        <v>1683</v>
      </c>
      <c r="D2169" s="269">
        <v>42242</v>
      </c>
      <c r="E2169" s="270" t="s">
        <v>1671</v>
      </c>
      <c r="F2169" s="384">
        <v>478000</v>
      </c>
      <c r="G2169" s="270">
        <v>290987701</v>
      </c>
      <c r="H2169" s="270"/>
    </row>
    <row r="2170" spans="1:8" x14ac:dyDescent="0.25">
      <c r="A2170" s="257">
        <v>2174</v>
      </c>
      <c r="B2170" s="267">
        <v>2169</v>
      </c>
      <c r="C2170" s="268" t="s">
        <v>207</v>
      </c>
      <c r="D2170" s="269">
        <v>42242</v>
      </c>
      <c r="E2170" s="270" t="s">
        <v>968</v>
      </c>
      <c r="F2170" s="384">
        <v>198000</v>
      </c>
      <c r="G2170" s="270">
        <v>191731799</v>
      </c>
      <c r="H2170" s="270"/>
    </row>
    <row r="2171" spans="1:8" x14ac:dyDescent="0.25">
      <c r="A2171" s="257">
        <v>2175</v>
      </c>
      <c r="B2171" s="267">
        <v>2170</v>
      </c>
      <c r="C2171" s="268" t="s">
        <v>1791</v>
      </c>
      <c r="D2171" s="269">
        <v>42243</v>
      </c>
      <c r="E2171" s="270" t="s">
        <v>3097</v>
      </c>
      <c r="F2171" s="384">
        <v>240000</v>
      </c>
      <c r="G2171" s="270">
        <v>101368638</v>
      </c>
      <c r="H2171" s="270"/>
    </row>
    <row r="2172" spans="1:8" x14ac:dyDescent="0.25">
      <c r="A2172" s="257">
        <v>2176</v>
      </c>
      <c r="B2172" s="267">
        <v>2171</v>
      </c>
      <c r="C2172" s="268" t="s">
        <v>680</v>
      </c>
      <c r="D2172" s="269">
        <v>42243</v>
      </c>
      <c r="E2172" s="270" t="s">
        <v>3598</v>
      </c>
      <c r="F2172" s="384">
        <v>435000</v>
      </c>
      <c r="G2172" s="270">
        <v>190221603</v>
      </c>
      <c r="H2172" s="270"/>
    </row>
    <row r="2173" spans="1:8" x14ac:dyDescent="0.25">
      <c r="A2173" s="257">
        <v>2177</v>
      </c>
      <c r="B2173" s="267">
        <v>2172</v>
      </c>
      <c r="C2173" s="268" t="s">
        <v>2674</v>
      </c>
      <c r="D2173" s="269">
        <v>42243</v>
      </c>
      <c r="E2173" s="270" t="s">
        <v>2072</v>
      </c>
      <c r="F2173" s="384">
        <v>275000</v>
      </c>
      <c r="G2173" s="270">
        <v>191251634</v>
      </c>
      <c r="H2173" s="270"/>
    </row>
    <row r="2174" spans="1:8" x14ac:dyDescent="0.25">
      <c r="A2174" s="257">
        <v>2178</v>
      </c>
      <c r="B2174" s="267">
        <v>2173</v>
      </c>
      <c r="C2174" s="268" t="s">
        <v>413</v>
      </c>
      <c r="D2174" s="269">
        <v>42243</v>
      </c>
      <c r="E2174" s="270" t="s">
        <v>455</v>
      </c>
      <c r="F2174" s="384">
        <v>1025000</v>
      </c>
      <c r="G2174" s="270">
        <v>190638152</v>
      </c>
      <c r="H2174" s="270"/>
    </row>
    <row r="2175" spans="1:8" x14ac:dyDescent="0.25">
      <c r="A2175" s="257">
        <v>2179</v>
      </c>
      <c r="B2175" s="267">
        <v>2174</v>
      </c>
      <c r="C2175" s="268" t="s">
        <v>884</v>
      </c>
      <c r="D2175" s="269">
        <v>42243</v>
      </c>
      <c r="E2175" s="270" t="s">
        <v>3114</v>
      </c>
      <c r="F2175" s="384">
        <v>94000</v>
      </c>
      <c r="G2175" s="270">
        <v>190599907</v>
      </c>
      <c r="H2175" s="270"/>
    </row>
    <row r="2176" spans="1:8" x14ac:dyDescent="0.25">
      <c r="A2176" s="257">
        <v>2180</v>
      </c>
      <c r="B2176" s="267">
        <v>2175</v>
      </c>
      <c r="C2176" s="268" t="s">
        <v>128</v>
      </c>
      <c r="D2176" s="269">
        <v>42244</v>
      </c>
      <c r="E2176" s="270" t="s">
        <v>3259</v>
      </c>
      <c r="F2176" s="384">
        <v>435000</v>
      </c>
      <c r="G2176" s="270">
        <v>190904186</v>
      </c>
      <c r="H2176" s="270"/>
    </row>
    <row r="2177" spans="1:8" x14ac:dyDescent="0.25">
      <c r="A2177" s="257">
        <v>2181</v>
      </c>
      <c r="B2177" s="267">
        <v>2176</v>
      </c>
      <c r="C2177" s="268" t="s">
        <v>2629</v>
      </c>
      <c r="D2177" s="269">
        <v>42244</v>
      </c>
      <c r="E2177" s="270" t="s">
        <v>2152</v>
      </c>
      <c r="F2177" s="384">
        <v>435000</v>
      </c>
      <c r="G2177" s="270">
        <v>191418262</v>
      </c>
      <c r="H2177" s="270"/>
    </row>
    <row r="2178" spans="1:8" x14ac:dyDescent="0.25">
      <c r="A2178" s="257">
        <v>2182</v>
      </c>
      <c r="B2178" s="267">
        <v>2177</v>
      </c>
      <c r="C2178" s="268" t="s">
        <v>3632</v>
      </c>
      <c r="D2178" s="269">
        <v>42246</v>
      </c>
      <c r="E2178" s="270" t="s">
        <v>2455</v>
      </c>
      <c r="F2178" s="384">
        <v>155000</v>
      </c>
      <c r="G2178" s="270">
        <v>691530048</v>
      </c>
      <c r="H2178" s="270"/>
    </row>
    <row r="2179" spans="1:8" x14ac:dyDescent="0.25">
      <c r="A2179" s="257">
        <v>2183</v>
      </c>
      <c r="B2179" s="267">
        <v>2178</v>
      </c>
      <c r="C2179" s="268" t="s">
        <v>2835</v>
      </c>
      <c r="D2179" s="269">
        <v>42247</v>
      </c>
      <c r="E2179" s="270" t="s">
        <v>2890</v>
      </c>
      <c r="F2179" s="384">
        <v>99000</v>
      </c>
      <c r="G2179" s="270">
        <v>690367172</v>
      </c>
      <c r="H2179" s="270"/>
    </row>
    <row r="2180" spans="1:8" x14ac:dyDescent="0.25">
      <c r="A2180" s="257">
        <v>2184</v>
      </c>
      <c r="B2180" s="267">
        <v>2179</v>
      </c>
      <c r="C2180" s="268" t="s">
        <v>3105</v>
      </c>
      <c r="D2180" s="269">
        <v>42247</v>
      </c>
      <c r="E2180" s="270" t="s">
        <v>2817</v>
      </c>
      <c r="F2180" s="384">
        <v>160000</v>
      </c>
      <c r="G2180" s="270">
        <v>808001220</v>
      </c>
      <c r="H2180" s="270"/>
    </row>
    <row r="2181" spans="1:8" x14ac:dyDescent="0.25">
      <c r="A2181" s="257">
        <v>2185</v>
      </c>
      <c r="B2181" s="267">
        <v>2180</v>
      </c>
      <c r="C2181" s="268" t="s">
        <v>1653</v>
      </c>
      <c r="D2181" s="269">
        <v>42247</v>
      </c>
      <c r="E2181" s="270" t="s">
        <v>171</v>
      </c>
      <c r="F2181" s="384">
        <v>240000</v>
      </c>
      <c r="G2181" s="270">
        <v>691074852</v>
      </c>
      <c r="H2181" s="270"/>
    </row>
    <row r="2182" spans="1:8" x14ac:dyDescent="0.25">
      <c r="A2182" s="257">
        <v>2186</v>
      </c>
      <c r="B2182" s="267">
        <v>2181</v>
      </c>
      <c r="C2182" s="268" t="s">
        <v>386</v>
      </c>
      <c r="D2182" s="269">
        <v>42247</v>
      </c>
      <c r="E2182" s="270" t="s">
        <v>1951</v>
      </c>
      <c r="F2182" s="384">
        <v>240000</v>
      </c>
      <c r="G2182" s="270">
        <v>400424686</v>
      </c>
      <c r="H2182" s="270"/>
    </row>
    <row r="2183" spans="1:8" x14ac:dyDescent="0.25">
      <c r="A2183" s="257">
        <v>2187</v>
      </c>
      <c r="B2183" s="267">
        <v>2182</v>
      </c>
      <c r="C2183" s="268" t="s">
        <v>3555</v>
      </c>
      <c r="D2183" s="269">
        <v>42247</v>
      </c>
      <c r="E2183" s="270" t="s">
        <v>184</v>
      </c>
      <c r="F2183" s="384">
        <v>280000</v>
      </c>
      <c r="G2183" s="270">
        <v>800008520</v>
      </c>
      <c r="H2183" s="270"/>
    </row>
    <row r="2184" spans="1:8" x14ac:dyDescent="0.25">
      <c r="A2184" s="257">
        <v>2188</v>
      </c>
      <c r="B2184" s="267">
        <v>2183</v>
      </c>
      <c r="C2184" s="268" t="s">
        <v>2645</v>
      </c>
      <c r="D2184" s="269">
        <v>42247</v>
      </c>
      <c r="E2184" s="270" t="s">
        <v>239</v>
      </c>
      <c r="F2184" s="384">
        <v>280000</v>
      </c>
      <c r="G2184" s="270">
        <v>101139097</v>
      </c>
      <c r="H2184" s="270"/>
    </row>
    <row r="2185" spans="1:8" x14ac:dyDescent="0.25">
      <c r="A2185" s="257">
        <v>2189</v>
      </c>
      <c r="B2185" s="267">
        <v>2184</v>
      </c>
      <c r="C2185" s="268" t="s">
        <v>423</v>
      </c>
      <c r="D2185" s="269">
        <v>42247</v>
      </c>
      <c r="E2185" s="270" t="s">
        <v>4216</v>
      </c>
      <c r="F2185" s="384">
        <v>396000</v>
      </c>
      <c r="G2185" s="270">
        <v>690265608</v>
      </c>
      <c r="H2185" s="270"/>
    </row>
    <row r="2186" spans="1:8" x14ac:dyDescent="0.25">
      <c r="A2186" s="257">
        <v>2190</v>
      </c>
      <c r="B2186" s="267">
        <v>2185</v>
      </c>
      <c r="C2186" s="268" t="s">
        <v>207</v>
      </c>
      <c r="D2186" s="269">
        <v>42247</v>
      </c>
      <c r="E2186" s="270" t="s">
        <v>968</v>
      </c>
      <c r="F2186" s="384">
        <v>98000</v>
      </c>
      <c r="G2186" s="270">
        <v>191731799</v>
      </c>
      <c r="H2186" s="270"/>
    </row>
    <row r="2187" spans="1:8" x14ac:dyDescent="0.25">
      <c r="A2187" s="257">
        <v>2191</v>
      </c>
      <c r="B2187" s="267">
        <v>2186</v>
      </c>
      <c r="C2187" s="268" t="s">
        <v>333</v>
      </c>
      <c r="D2187" s="269">
        <v>42247</v>
      </c>
      <c r="E2187" s="270" t="s">
        <v>209</v>
      </c>
      <c r="F2187" s="384">
        <v>63000</v>
      </c>
      <c r="G2187" s="270">
        <v>191118996</v>
      </c>
      <c r="H2187" s="270"/>
    </row>
    <row r="2188" spans="1:8" x14ac:dyDescent="0.25">
      <c r="A2188" s="257">
        <v>2192</v>
      </c>
      <c r="B2188" s="267">
        <v>2187</v>
      </c>
      <c r="C2188" s="268" t="s">
        <v>3216</v>
      </c>
      <c r="D2188" s="269">
        <v>42248</v>
      </c>
      <c r="E2188" s="270" t="s">
        <v>1644</v>
      </c>
      <c r="F2188" s="384">
        <v>1400000</v>
      </c>
      <c r="G2188" s="270">
        <v>100315288</v>
      </c>
      <c r="H2188" s="270"/>
    </row>
    <row r="2189" spans="1:8" x14ac:dyDescent="0.25">
      <c r="A2189" s="257">
        <v>2193</v>
      </c>
      <c r="B2189" s="267">
        <v>2188</v>
      </c>
      <c r="C2189" s="268" t="s">
        <v>3308</v>
      </c>
      <c r="D2189" s="269">
        <v>42248</v>
      </c>
      <c r="E2189" s="270" t="s">
        <v>2851</v>
      </c>
      <c r="F2189" s="384">
        <v>435000</v>
      </c>
      <c r="G2189" s="270">
        <v>691463537</v>
      </c>
      <c r="H2189" s="270"/>
    </row>
    <row r="2190" spans="1:8" x14ac:dyDescent="0.25">
      <c r="A2190" s="257">
        <v>2194</v>
      </c>
      <c r="B2190" s="267">
        <v>2189</v>
      </c>
      <c r="C2190" s="268" t="s">
        <v>2889</v>
      </c>
      <c r="D2190" s="269">
        <v>42248</v>
      </c>
      <c r="E2190" s="270" t="s">
        <v>523</v>
      </c>
      <c r="F2190" s="384">
        <v>435000</v>
      </c>
      <c r="G2190" s="270">
        <v>691539111</v>
      </c>
      <c r="H2190" s="270"/>
    </row>
    <row r="2191" spans="1:8" x14ac:dyDescent="0.25">
      <c r="A2191" s="257">
        <v>2195</v>
      </c>
      <c r="B2191" s="267">
        <v>2190</v>
      </c>
      <c r="C2191" s="268" t="s">
        <v>264</v>
      </c>
      <c r="D2191" s="269">
        <v>42248</v>
      </c>
      <c r="E2191" s="270" t="s">
        <v>2795</v>
      </c>
      <c r="F2191" s="384">
        <v>715000</v>
      </c>
      <c r="G2191" s="270">
        <v>691536707</v>
      </c>
      <c r="H2191" s="270"/>
    </row>
    <row r="2192" spans="1:8" x14ac:dyDescent="0.25">
      <c r="A2192" s="257">
        <v>2196</v>
      </c>
      <c r="B2192" s="267">
        <v>2191</v>
      </c>
      <c r="C2192" s="268" t="s">
        <v>3111</v>
      </c>
      <c r="D2192" s="269">
        <v>42248</v>
      </c>
      <c r="E2192" s="270" t="s">
        <v>1948</v>
      </c>
      <c r="F2192" s="384">
        <v>198000</v>
      </c>
      <c r="G2192" s="270">
        <v>808000755</v>
      </c>
      <c r="H2192" s="270"/>
    </row>
    <row r="2193" spans="1:8" x14ac:dyDescent="0.25">
      <c r="A2193" s="257">
        <v>2197</v>
      </c>
      <c r="B2193" s="267">
        <v>2192</v>
      </c>
      <c r="C2193" s="268" t="s">
        <v>159</v>
      </c>
      <c r="D2193" s="269">
        <v>42248</v>
      </c>
      <c r="E2193" s="270" t="s">
        <v>1684</v>
      </c>
      <c r="F2193" s="384">
        <v>1200000</v>
      </c>
      <c r="G2193" s="270">
        <v>100819821</v>
      </c>
      <c r="H2193" s="270"/>
    </row>
    <row r="2194" spans="1:8" x14ac:dyDescent="0.25">
      <c r="A2194" s="257">
        <v>2198</v>
      </c>
      <c r="B2194" s="267">
        <v>2193</v>
      </c>
      <c r="C2194" s="268" t="s">
        <v>2762</v>
      </c>
      <c r="D2194" s="269">
        <v>42248</v>
      </c>
      <c r="E2194" s="270" t="s">
        <v>238</v>
      </c>
      <c r="F2194" s="384">
        <v>31000</v>
      </c>
      <c r="G2194" s="270">
        <v>190800302</v>
      </c>
      <c r="H2194" s="270"/>
    </row>
    <row r="2195" spans="1:8" x14ac:dyDescent="0.25">
      <c r="A2195" s="257">
        <v>2199</v>
      </c>
      <c r="B2195" s="267">
        <v>2194</v>
      </c>
      <c r="C2195" s="268" t="s">
        <v>1814</v>
      </c>
      <c r="D2195" s="269">
        <v>42248</v>
      </c>
      <c r="E2195" s="270" t="s">
        <v>2400</v>
      </c>
      <c r="F2195" s="384">
        <v>198000</v>
      </c>
      <c r="G2195" s="270">
        <v>190593421</v>
      </c>
      <c r="H2195" s="270"/>
    </row>
    <row r="2196" spans="1:8" x14ac:dyDescent="0.25">
      <c r="A2196" s="257">
        <v>2200</v>
      </c>
      <c r="B2196" s="267">
        <v>2195</v>
      </c>
      <c r="C2196" s="268" t="s">
        <v>1049</v>
      </c>
      <c r="D2196" s="269">
        <v>42249</v>
      </c>
      <c r="E2196" s="270" t="s">
        <v>329</v>
      </c>
      <c r="F2196" s="384">
        <v>240000</v>
      </c>
      <c r="G2196" s="270">
        <v>190800080</v>
      </c>
      <c r="H2196" s="270"/>
    </row>
    <row r="2197" spans="1:8" x14ac:dyDescent="0.25">
      <c r="A2197" s="257">
        <v>2201</v>
      </c>
      <c r="B2197" s="267">
        <v>2196</v>
      </c>
      <c r="C2197" s="268" t="s">
        <v>1658</v>
      </c>
      <c r="D2197" s="269">
        <v>42249</v>
      </c>
      <c r="E2197" s="270" t="s">
        <v>825</v>
      </c>
      <c r="F2197" s="384">
        <v>435000</v>
      </c>
      <c r="G2197" s="270">
        <v>100951254</v>
      </c>
      <c r="H2197" s="270"/>
    </row>
    <row r="2198" spans="1:8" x14ac:dyDescent="0.25">
      <c r="A2198" s="257">
        <v>2202</v>
      </c>
      <c r="B2198" s="267">
        <v>2197</v>
      </c>
      <c r="C2198" s="268" t="s">
        <v>3618</v>
      </c>
      <c r="D2198" s="269">
        <v>42249</v>
      </c>
      <c r="E2198" s="270" t="s">
        <v>163</v>
      </c>
      <c r="F2198" s="384">
        <v>240000</v>
      </c>
      <c r="G2198" s="270">
        <v>100843354</v>
      </c>
      <c r="H2198" s="270"/>
    </row>
    <row r="2199" spans="1:8" x14ac:dyDescent="0.25">
      <c r="A2199" s="257">
        <v>2203</v>
      </c>
      <c r="B2199" s="267">
        <v>2198</v>
      </c>
      <c r="C2199" s="268" t="s">
        <v>3133</v>
      </c>
      <c r="D2199" s="269">
        <v>42249</v>
      </c>
      <c r="E2199" s="270" t="s">
        <v>3587</v>
      </c>
      <c r="F2199" s="384">
        <v>648000</v>
      </c>
      <c r="G2199" s="270">
        <v>101254783</v>
      </c>
      <c r="H2199" s="270"/>
    </row>
    <row r="2200" spans="1:8" x14ac:dyDescent="0.25">
      <c r="A2200" s="257">
        <v>2204</v>
      </c>
      <c r="B2200" s="267">
        <v>2199</v>
      </c>
      <c r="C2200" s="268" t="s">
        <v>314</v>
      </c>
      <c r="D2200" s="269">
        <v>42249</v>
      </c>
      <c r="E2200" s="270" t="s">
        <v>3495</v>
      </c>
      <c r="F2200" s="384">
        <v>63000</v>
      </c>
      <c r="G2200" s="270">
        <v>808000252</v>
      </c>
      <c r="H2200" s="270"/>
    </row>
    <row r="2201" spans="1:8" x14ac:dyDescent="0.25">
      <c r="A2201" s="257">
        <v>2205</v>
      </c>
      <c r="B2201" s="267">
        <v>2200</v>
      </c>
      <c r="C2201" s="268" t="s">
        <v>1650</v>
      </c>
      <c r="D2201" s="269">
        <v>42249</v>
      </c>
      <c r="E2201" s="270" t="s">
        <v>863</v>
      </c>
      <c r="F2201" s="384">
        <v>870000</v>
      </c>
      <c r="G2201" s="270">
        <v>690849523</v>
      </c>
      <c r="H2201" s="270"/>
    </row>
    <row r="2202" spans="1:8" x14ac:dyDescent="0.25">
      <c r="A2202" s="257">
        <v>2206</v>
      </c>
      <c r="B2202" s="267">
        <v>2201</v>
      </c>
      <c r="C2202" s="268" t="s">
        <v>1856</v>
      </c>
      <c r="D2202" s="269">
        <v>42249</v>
      </c>
      <c r="E2202" s="270" t="s">
        <v>1697</v>
      </c>
      <c r="F2202" s="384">
        <v>435000</v>
      </c>
      <c r="G2202" s="270">
        <v>190799594</v>
      </c>
      <c r="H2202" s="270"/>
    </row>
    <row r="2203" spans="1:8" x14ac:dyDescent="0.25">
      <c r="A2203" s="257">
        <v>2207</v>
      </c>
      <c r="B2203" s="267">
        <v>2202</v>
      </c>
      <c r="C2203" s="268" t="s">
        <v>3326</v>
      </c>
      <c r="D2203" s="269">
        <v>42249</v>
      </c>
      <c r="E2203" s="270" t="s">
        <v>164</v>
      </c>
      <c r="F2203" s="384">
        <v>142000</v>
      </c>
      <c r="G2203" s="270">
        <v>100534485</v>
      </c>
      <c r="H2203" s="270"/>
    </row>
    <row r="2204" spans="1:8" x14ac:dyDescent="0.25">
      <c r="A2204" s="257">
        <v>2208</v>
      </c>
      <c r="B2204" s="267">
        <v>2203</v>
      </c>
      <c r="C2204" s="268" t="s">
        <v>492</v>
      </c>
      <c r="D2204" s="269">
        <v>42249</v>
      </c>
      <c r="E2204" s="270" t="s">
        <v>1859</v>
      </c>
      <c r="F2204" s="384">
        <v>280000</v>
      </c>
      <c r="G2204" s="270">
        <v>101434885</v>
      </c>
      <c r="H2204" s="270"/>
    </row>
    <row r="2205" spans="1:8" x14ac:dyDescent="0.25">
      <c r="A2205" s="257">
        <v>2209</v>
      </c>
      <c r="B2205" s="267">
        <v>2204</v>
      </c>
      <c r="C2205" s="268" t="s">
        <v>2405</v>
      </c>
      <c r="D2205" s="269">
        <v>42249</v>
      </c>
      <c r="E2205" s="270" t="s">
        <v>1944</v>
      </c>
      <c r="F2205" s="384">
        <v>240000</v>
      </c>
      <c r="G2205" s="270">
        <v>100345799</v>
      </c>
      <c r="H2205" s="270"/>
    </row>
    <row r="2206" spans="1:8" x14ac:dyDescent="0.25">
      <c r="A2206" s="257">
        <v>2210</v>
      </c>
      <c r="B2206" s="267">
        <v>2205</v>
      </c>
      <c r="C2206" s="268" t="s">
        <v>3326</v>
      </c>
      <c r="D2206" s="269">
        <v>42249</v>
      </c>
      <c r="E2206" s="270" t="s">
        <v>164</v>
      </c>
      <c r="F2206" s="384">
        <v>75000</v>
      </c>
      <c r="G2206" s="270">
        <v>100534485</v>
      </c>
      <c r="H2206" s="270"/>
    </row>
    <row r="2207" spans="1:8" x14ac:dyDescent="0.25">
      <c r="A2207" s="257">
        <v>2211</v>
      </c>
      <c r="B2207" s="267">
        <v>2206</v>
      </c>
      <c r="C2207" s="268" t="s">
        <v>910</v>
      </c>
      <c r="D2207" s="269">
        <v>42249</v>
      </c>
      <c r="E2207" s="270" t="s">
        <v>1656</v>
      </c>
      <c r="F2207" s="384">
        <v>62000</v>
      </c>
      <c r="G2207" s="270">
        <v>101439397</v>
      </c>
      <c r="H2207" s="270"/>
    </row>
    <row r="2208" spans="1:8" x14ac:dyDescent="0.25">
      <c r="A2208" s="257">
        <v>2212</v>
      </c>
      <c r="B2208" s="267">
        <v>2207</v>
      </c>
      <c r="C2208" s="268" t="s">
        <v>196</v>
      </c>
      <c r="D2208" s="269">
        <v>42249</v>
      </c>
      <c r="E2208" s="270" t="s">
        <v>2717</v>
      </c>
      <c r="F2208" s="384">
        <v>435000</v>
      </c>
      <c r="G2208" s="270">
        <v>101538513</v>
      </c>
      <c r="H2208" s="270"/>
    </row>
    <row r="2209" spans="1:8" x14ac:dyDescent="0.25">
      <c r="A2209" s="257">
        <v>2213</v>
      </c>
      <c r="B2209" s="267">
        <v>2208</v>
      </c>
      <c r="C2209" s="268" t="s">
        <v>3618</v>
      </c>
      <c r="D2209" s="269">
        <v>42249</v>
      </c>
      <c r="E2209" s="270" t="s">
        <v>163</v>
      </c>
      <c r="F2209" s="384">
        <v>63000</v>
      </c>
      <c r="G2209" s="270">
        <v>100843354</v>
      </c>
      <c r="H2209" s="270"/>
    </row>
    <row r="2210" spans="1:8" x14ac:dyDescent="0.25">
      <c r="A2210" s="257">
        <v>2214</v>
      </c>
      <c r="B2210" s="267">
        <v>2209</v>
      </c>
      <c r="C2210" s="268" t="s">
        <v>3326</v>
      </c>
      <c r="D2210" s="269">
        <v>42250</v>
      </c>
      <c r="E2210" s="270" t="s">
        <v>164</v>
      </c>
      <c r="F2210" s="384">
        <v>198000</v>
      </c>
      <c r="G2210" s="270">
        <v>100534485</v>
      </c>
      <c r="H2210" s="270"/>
    </row>
    <row r="2211" spans="1:8" x14ac:dyDescent="0.25">
      <c r="A2211" s="257">
        <v>2215</v>
      </c>
      <c r="B2211" s="267">
        <v>2210</v>
      </c>
      <c r="C2211" s="268" t="s">
        <v>1658</v>
      </c>
      <c r="D2211" s="269">
        <v>42250</v>
      </c>
      <c r="E2211" s="270" t="s">
        <v>825</v>
      </c>
      <c r="F2211" s="384">
        <v>435000</v>
      </c>
      <c r="G2211" s="270">
        <v>100951254</v>
      </c>
      <c r="H2211" s="270"/>
    </row>
    <row r="2212" spans="1:8" x14ac:dyDescent="0.25">
      <c r="A2212" s="257">
        <v>2216</v>
      </c>
      <c r="B2212" s="267">
        <v>2211</v>
      </c>
      <c r="C2212" s="268" t="s">
        <v>842</v>
      </c>
      <c r="D2212" s="269">
        <v>42250</v>
      </c>
      <c r="E2212" s="270" t="s">
        <v>3293</v>
      </c>
      <c r="F2212" s="384">
        <v>435000</v>
      </c>
      <c r="G2212" s="270">
        <v>100024394</v>
      </c>
      <c r="H2212" s="270"/>
    </row>
    <row r="2213" spans="1:8" x14ac:dyDescent="0.25">
      <c r="A2213" s="257">
        <v>2217</v>
      </c>
      <c r="B2213" s="267">
        <v>2212</v>
      </c>
      <c r="C2213" s="268" t="s">
        <v>2793</v>
      </c>
      <c r="D2213" s="269">
        <v>42250</v>
      </c>
      <c r="E2213" s="270" t="s">
        <v>1530</v>
      </c>
      <c r="F2213" s="384">
        <v>280000</v>
      </c>
      <c r="G2213" s="270">
        <v>190821953</v>
      </c>
      <c r="H2213" s="270"/>
    </row>
    <row r="2214" spans="1:8" x14ac:dyDescent="0.25">
      <c r="A2214" s="257">
        <v>2218</v>
      </c>
      <c r="B2214" s="267">
        <v>2213</v>
      </c>
      <c r="C2214" s="268" t="s">
        <v>4201</v>
      </c>
      <c r="D2214" s="269">
        <v>42250</v>
      </c>
      <c r="E2214" s="270" t="s">
        <v>349</v>
      </c>
      <c r="F2214" s="384">
        <v>155000</v>
      </c>
      <c r="G2214" s="270">
        <v>690604750</v>
      </c>
      <c r="H2214" s="270"/>
    </row>
    <row r="2215" spans="1:8" x14ac:dyDescent="0.25">
      <c r="A2215" s="257">
        <v>2219</v>
      </c>
      <c r="B2215" s="267">
        <v>2214</v>
      </c>
      <c r="C2215" s="268" t="s">
        <v>269</v>
      </c>
      <c r="D2215" s="269">
        <v>42250</v>
      </c>
      <c r="E2215" s="270" t="s">
        <v>3611</v>
      </c>
      <c r="F2215" s="384">
        <v>240000</v>
      </c>
      <c r="G2215" s="270">
        <v>190098681</v>
      </c>
      <c r="H2215" s="270"/>
    </row>
    <row r="2216" spans="1:8" x14ac:dyDescent="0.25">
      <c r="A2216" s="257">
        <v>2220</v>
      </c>
      <c r="B2216" s="267">
        <v>2215</v>
      </c>
      <c r="C2216" s="268" t="s">
        <v>1659</v>
      </c>
      <c r="D2216" s="269">
        <v>42250</v>
      </c>
      <c r="E2216" s="270" t="s">
        <v>344</v>
      </c>
      <c r="F2216" s="384">
        <v>633000</v>
      </c>
      <c r="G2216" s="270">
        <v>601062727</v>
      </c>
      <c r="H2216" s="270"/>
    </row>
    <row r="2217" spans="1:8" x14ac:dyDescent="0.25">
      <c r="A2217" s="257">
        <v>2221</v>
      </c>
      <c r="B2217" s="267">
        <v>2216</v>
      </c>
      <c r="C2217" s="268" t="s">
        <v>3101</v>
      </c>
      <c r="D2217" s="269">
        <v>42250</v>
      </c>
      <c r="E2217" s="270" t="s">
        <v>1022</v>
      </c>
      <c r="F2217" s="384">
        <v>240000</v>
      </c>
      <c r="G2217" s="270">
        <v>690591512</v>
      </c>
      <c r="H2217" s="270"/>
    </row>
    <row r="2218" spans="1:8" x14ac:dyDescent="0.25">
      <c r="A2218" s="257">
        <v>2222</v>
      </c>
      <c r="B2218" s="267">
        <v>2217</v>
      </c>
      <c r="C2218" s="268" t="s">
        <v>884</v>
      </c>
      <c r="D2218" s="269">
        <v>42250</v>
      </c>
      <c r="E2218" s="270" t="s">
        <v>3114</v>
      </c>
      <c r="F2218" s="384">
        <v>63000</v>
      </c>
      <c r="G2218" s="270">
        <v>190599907</v>
      </c>
      <c r="H2218" s="270"/>
    </row>
    <row r="2219" spans="1:8" x14ac:dyDescent="0.25">
      <c r="A2219" s="257">
        <v>2223</v>
      </c>
      <c r="B2219" s="267">
        <v>2218</v>
      </c>
      <c r="C2219" s="268" t="s">
        <v>3734</v>
      </c>
      <c r="D2219" s="269">
        <v>42250</v>
      </c>
      <c r="E2219" s="270" t="s">
        <v>2358</v>
      </c>
      <c r="F2219" s="384">
        <v>435000</v>
      </c>
      <c r="G2219" s="270">
        <v>800008903</v>
      </c>
      <c r="H2219" s="270"/>
    </row>
    <row r="2220" spans="1:8" x14ac:dyDescent="0.25">
      <c r="A2220" s="257">
        <v>2224</v>
      </c>
      <c r="B2220" s="267">
        <v>2219</v>
      </c>
      <c r="C2220" s="268" t="s">
        <v>3734</v>
      </c>
      <c r="D2220" s="269">
        <v>42250</v>
      </c>
      <c r="E2220" s="270" t="s">
        <v>2358</v>
      </c>
      <c r="F2220" s="384">
        <v>155000</v>
      </c>
      <c r="G2220" s="270">
        <v>800008903</v>
      </c>
      <c r="H2220" s="270"/>
    </row>
    <row r="2221" spans="1:8" x14ac:dyDescent="0.25">
      <c r="A2221" s="257">
        <v>2225</v>
      </c>
      <c r="B2221" s="267">
        <v>2220</v>
      </c>
      <c r="C2221" s="268" t="s">
        <v>314</v>
      </c>
      <c r="D2221" s="269">
        <v>42250</v>
      </c>
      <c r="E2221" s="270" t="s">
        <v>3495</v>
      </c>
      <c r="F2221" s="384">
        <v>63000</v>
      </c>
      <c r="G2221" s="270">
        <v>808000252</v>
      </c>
      <c r="H2221" s="270"/>
    </row>
    <row r="2222" spans="1:8" x14ac:dyDescent="0.25">
      <c r="A2222" s="257">
        <v>2226</v>
      </c>
      <c r="B2222" s="267">
        <v>2221</v>
      </c>
      <c r="C2222" s="268" t="s">
        <v>2793</v>
      </c>
      <c r="D2222" s="269">
        <v>42251</v>
      </c>
      <c r="E2222" s="270" t="s">
        <v>1530</v>
      </c>
      <c r="F2222" s="384">
        <v>155000</v>
      </c>
      <c r="G2222" s="270">
        <v>190821953</v>
      </c>
      <c r="H2222" s="270"/>
    </row>
    <row r="2223" spans="1:8" x14ac:dyDescent="0.25">
      <c r="A2223" s="257">
        <v>2227</v>
      </c>
      <c r="B2223" s="267">
        <v>2222</v>
      </c>
      <c r="C2223" s="268" t="s">
        <v>260</v>
      </c>
      <c r="D2223" s="269">
        <v>42251</v>
      </c>
      <c r="E2223" s="270" t="s">
        <v>2610</v>
      </c>
      <c r="F2223" s="384">
        <v>198000</v>
      </c>
      <c r="G2223" s="270">
        <v>190482576</v>
      </c>
      <c r="H2223" s="270"/>
    </row>
    <row r="2224" spans="1:8" x14ac:dyDescent="0.25">
      <c r="A2224" s="257">
        <v>2228</v>
      </c>
      <c r="B2224" s="267">
        <v>2223</v>
      </c>
      <c r="C2224" s="268" t="s">
        <v>314</v>
      </c>
      <c r="D2224" s="269">
        <v>42251</v>
      </c>
      <c r="E2224" s="270" t="s">
        <v>3495</v>
      </c>
      <c r="F2224" s="384">
        <v>63000</v>
      </c>
      <c r="G2224" s="270">
        <v>808000252</v>
      </c>
      <c r="H2224" s="270"/>
    </row>
    <row r="2225" spans="1:8" x14ac:dyDescent="0.25">
      <c r="A2225" s="257">
        <v>2229</v>
      </c>
      <c r="B2225" s="267">
        <v>2224</v>
      </c>
      <c r="C2225" s="268" t="s">
        <v>1056</v>
      </c>
      <c r="D2225" s="269">
        <v>42251</v>
      </c>
      <c r="E2225" s="270" t="s">
        <v>4235</v>
      </c>
      <c r="F2225" s="384">
        <v>435000</v>
      </c>
      <c r="G2225" s="270">
        <v>101185261</v>
      </c>
      <c r="H2225" s="270"/>
    </row>
    <row r="2226" spans="1:8" x14ac:dyDescent="0.25">
      <c r="A2226" s="257">
        <v>2230</v>
      </c>
      <c r="B2226" s="267">
        <v>2225</v>
      </c>
      <c r="C2226" s="268" t="s">
        <v>196</v>
      </c>
      <c r="D2226" s="269">
        <v>42254</v>
      </c>
      <c r="E2226" s="270" t="s">
        <v>2717</v>
      </c>
      <c r="F2226" s="384">
        <v>435000</v>
      </c>
      <c r="G2226" s="270">
        <v>101538513</v>
      </c>
      <c r="H2226" s="270"/>
    </row>
    <row r="2227" spans="1:8" x14ac:dyDescent="0.25">
      <c r="A2227" s="257">
        <v>2231</v>
      </c>
      <c r="B2227" s="267">
        <v>2226</v>
      </c>
      <c r="C2227" s="268" t="s">
        <v>3221</v>
      </c>
      <c r="D2227" s="269">
        <v>42255</v>
      </c>
      <c r="E2227" s="270" t="s">
        <v>903</v>
      </c>
      <c r="F2227" s="384">
        <v>198000</v>
      </c>
      <c r="G2227" s="270">
        <v>191764339</v>
      </c>
      <c r="H2227" s="270"/>
    </row>
    <row r="2228" spans="1:8" x14ac:dyDescent="0.25">
      <c r="A2228" s="257">
        <v>2232</v>
      </c>
      <c r="B2228" s="267">
        <v>2227</v>
      </c>
      <c r="C2228" s="268" t="s">
        <v>1658</v>
      </c>
      <c r="D2228" s="269">
        <v>42255</v>
      </c>
      <c r="E2228" s="270" t="s">
        <v>825</v>
      </c>
      <c r="F2228" s="384">
        <v>435000</v>
      </c>
      <c r="G2228" s="270">
        <v>100951254</v>
      </c>
      <c r="H2228" s="270"/>
    </row>
    <row r="2229" spans="1:8" x14ac:dyDescent="0.25">
      <c r="A2229" s="257">
        <v>2233</v>
      </c>
      <c r="B2229" s="267">
        <v>2228</v>
      </c>
      <c r="C2229" s="268" t="s">
        <v>3607</v>
      </c>
      <c r="D2229" s="269">
        <v>42255</v>
      </c>
      <c r="E2229" s="270" t="s">
        <v>3565</v>
      </c>
      <c r="F2229" s="384">
        <v>198000</v>
      </c>
      <c r="G2229" s="270">
        <v>100068501</v>
      </c>
      <c r="H2229" s="270"/>
    </row>
    <row r="2230" spans="1:8" x14ac:dyDescent="0.25">
      <c r="A2230" s="257">
        <v>2234</v>
      </c>
      <c r="B2230" s="267">
        <v>2229</v>
      </c>
      <c r="C2230" s="268" t="s">
        <v>2751</v>
      </c>
      <c r="D2230" s="269">
        <v>42255</v>
      </c>
      <c r="E2230" s="270" t="s">
        <v>449</v>
      </c>
      <c r="F2230" s="384">
        <v>2175000</v>
      </c>
      <c r="G2230" s="270">
        <v>100025732</v>
      </c>
      <c r="H2230" s="270"/>
    </row>
    <row r="2231" spans="1:8" x14ac:dyDescent="0.25">
      <c r="A2231" s="257">
        <v>2235</v>
      </c>
      <c r="B2231" s="267">
        <v>2230</v>
      </c>
      <c r="C2231" s="268" t="s">
        <v>1917</v>
      </c>
      <c r="D2231" s="269">
        <v>42255</v>
      </c>
      <c r="E2231" s="270" t="s">
        <v>874</v>
      </c>
      <c r="F2231" s="384">
        <v>435000</v>
      </c>
      <c r="G2231" s="270">
        <v>191360926</v>
      </c>
      <c r="H2231" s="270"/>
    </row>
    <row r="2232" spans="1:8" x14ac:dyDescent="0.25">
      <c r="A2232" s="257">
        <v>2236</v>
      </c>
      <c r="B2232" s="267">
        <v>2231</v>
      </c>
      <c r="C2232" s="268" t="s">
        <v>3657</v>
      </c>
      <c r="D2232" s="269">
        <v>42255</v>
      </c>
      <c r="E2232" s="270" t="s">
        <v>362</v>
      </c>
      <c r="F2232" s="384">
        <v>435000</v>
      </c>
      <c r="G2232" s="270">
        <v>100099082</v>
      </c>
      <c r="H2232" s="270"/>
    </row>
    <row r="2233" spans="1:8" x14ac:dyDescent="0.25">
      <c r="A2233" s="257">
        <v>2237</v>
      </c>
      <c r="B2233" s="267">
        <v>2232</v>
      </c>
      <c r="C2233" s="268" t="s">
        <v>1917</v>
      </c>
      <c r="D2233" s="269">
        <v>42255</v>
      </c>
      <c r="E2233" s="270" t="s">
        <v>874</v>
      </c>
      <c r="F2233" s="384">
        <v>435000</v>
      </c>
      <c r="G2233" s="270">
        <v>191360926</v>
      </c>
      <c r="H2233" s="270"/>
    </row>
    <row r="2234" spans="1:8" x14ac:dyDescent="0.25">
      <c r="A2234" s="257">
        <v>2238</v>
      </c>
      <c r="B2234" s="267">
        <v>2233</v>
      </c>
      <c r="C2234" s="268" t="s">
        <v>190</v>
      </c>
      <c r="D2234" s="269">
        <v>42255</v>
      </c>
      <c r="E2234" s="270" t="s">
        <v>188</v>
      </c>
      <c r="F2234" s="384">
        <v>280000</v>
      </c>
      <c r="G2234" s="270">
        <v>190270596</v>
      </c>
      <c r="H2234" s="270"/>
    </row>
    <row r="2235" spans="1:8" x14ac:dyDescent="0.25">
      <c r="A2235" s="257">
        <v>2239</v>
      </c>
      <c r="B2235" s="267">
        <v>2234</v>
      </c>
      <c r="C2235" s="268" t="s">
        <v>1941</v>
      </c>
      <c r="D2235" s="269">
        <v>42255</v>
      </c>
      <c r="E2235" s="270" t="s">
        <v>2871</v>
      </c>
      <c r="F2235" s="384">
        <v>63000</v>
      </c>
      <c r="G2235" s="270">
        <v>101015738</v>
      </c>
      <c r="H2235" s="270"/>
    </row>
    <row r="2236" spans="1:8" x14ac:dyDescent="0.25">
      <c r="A2236" s="257">
        <v>2240</v>
      </c>
      <c r="B2236" s="267">
        <v>2235</v>
      </c>
      <c r="C2236" s="268" t="s">
        <v>3740</v>
      </c>
      <c r="D2236" s="269">
        <v>42258</v>
      </c>
      <c r="E2236" s="270" t="s">
        <v>263</v>
      </c>
      <c r="F2236" s="384">
        <v>240000</v>
      </c>
      <c r="G2236" s="270">
        <v>600182119</v>
      </c>
      <c r="H2236" s="270"/>
    </row>
    <row r="2237" spans="1:8" x14ac:dyDescent="0.25">
      <c r="A2237" s="257">
        <v>2241</v>
      </c>
      <c r="B2237" s="267">
        <v>2236</v>
      </c>
      <c r="C2237" s="268" t="s">
        <v>3658</v>
      </c>
      <c r="D2237" s="269">
        <v>42258</v>
      </c>
      <c r="E2237" s="270" t="s">
        <v>3552</v>
      </c>
      <c r="F2237" s="384">
        <v>155000</v>
      </c>
      <c r="G2237" s="270">
        <v>191569368</v>
      </c>
      <c r="H2237" s="270"/>
    </row>
    <row r="2238" spans="1:8" x14ac:dyDescent="0.25">
      <c r="A2238" s="257">
        <v>2242</v>
      </c>
      <c r="B2238" s="267">
        <v>2237</v>
      </c>
      <c r="C2238" s="268" t="s">
        <v>802</v>
      </c>
      <c r="D2238" s="269">
        <v>42258</v>
      </c>
      <c r="E2238" s="270" t="s">
        <v>1641</v>
      </c>
      <c r="F2238" s="384">
        <v>1895000</v>
      </c>
      <c r="G2238" s="270">
        <v>100135464</v>
      </c>
      <c r="H2238" s="270"/>
    </row>
    <row r="2239" spans="1:8" x14ac:dyDescent="0.25">
      <c r="A2239" s="257">
        <v>2243</v>
      </c>
      <c r="B2239" s="267">
        <v>2238</v>
      </c>
      <c r="C2239" s="268" t="s">
        <v>3534</v>
      </c>
      <c r="D2239" s="269">
        <v>42258</v>
      </c>
      <c r="E2239" s="270" t="s">
        <v>380</v>
      </c>
      <c r="F2239" s="384">
        <v>240000</v>
      </c>
      <c r="G2239" s="270">
        <v>191597159</v>
      </c>
      <c r="H2239" s="270"/>
    </row>
    <row r="2240" spans="1:8" x14ac:dyDescent="0.25">
      <c r="A2240" s="257">
        <v>2244</v>
      </c>
      <c r="B2240" s="267">
        <v>2239</v>
      </c>
      <c r="C2240" s="268" t="s">
        <v>1056</v>
      </c>
      <c r="D2240" s="269">
        <v>42258</v>
      </c>
      <c r="E2240" s="270" t="s">
        <v>4235</v>
      </c>
      <c r="F2240" s="384">
        <v>435000</v>
      </c>
      <c r="G2240" s="270">
        <v>101185261</v>
      </c>
      <c r="H2240" s="270"/>
    </row>
    <row r="2241" spans="1:8" x14ac:dyDescent="0.25">
      <c r="A2241" s="257">
        <v>2245</v>
      </c>
      <c r="B2241" s="267">
        <v>2240</v>
      </c>
      <c r="C2241" s="268" t="s">
        <v>260</v>
      </c>
      <c r="D2241" s="269">
        <v>42258</v>
      </c>
      <c r="E2241" s="270" t="s">
        <v>2610</v>
      </c>
      <c r="F2241" s="384">
        <v>165000</v>
      </c>
      <c r="G2241" s="270">
        <v>190482576</v>
      </c>
      <c r="H2241" s="270"/>
    </row>
    <row r="2242" spans="1:8" x14ac:dyDescent="0.25">
      <c r="A2242" s="257">
        <v>2246</v>
      </c>
      <c r="B2242" s="267">
        <v>2241</v>
      </c>
      <c r="C2242" s="268" t="s">
        <v>2377</v>
      </c>
      <c r="D2242" s="269">
        <v>42259</v>
      </c>
      <c r="E2242" s="270" t="s">
        <v>226</v>
      </c>
      <c r="F2242" s="384">
        <v>960000</v>
      </c>
      <c r="G2242" s="270">
        <v>190654467</v>
      </c>
      <c r="H2242" s="270"/>
    </row>
    <row r="2243" spans="1:8" x14ac:dyDescent="0.25">
      <c r="A2243" s="257">
        <v>2247</v>
      </c>
      <c r="B2243" s="267">
        <v>2242</v>
      </c>
      <c r="C2243" s="268" t="s">
        <v>1056</v>
      </c>
      <c r="D2243" s="269">
        <v>42259</v>
      </c>
      <c r="E2243" s="270" t="s">
        <v>4235</v>
      </c>
      <c r="F2243" s="384">
        <v>61000</v>
      </c>
      <c r="G2243" s="270">
        <v>101185261</v>
      </c>
      <c r="H2243" s="270"/>
    </row>
    <row r="2244" spans="1:8" x14ac:dyDescent="0.25">
      <c r="A2244" s="257">
        <v>2248</v>
      </c>
      <c r="B2244" s="267">
        <v>2243</v>
      </c>
      <c r="C2244" s="268" t="s">
        <v>1049</v>
      </c>
      <c r="D2244" s="269">
        <v>42262</v>
      </c>
      <c r="E2244" s="270" t="s">
        <v>329</v>
      </c>
      <c r="F2244" s="384">
        <v>36000</v>
      </c>
      <c r="G2244" s="270">
        <v>190800080</v>
      </c>
      <c r="H2244" s="270"/>
    </row>
    <row r="2245" spans="1:8" x14ac:dyDescent="0.25">
      <c r="A2245" s="257">
        <v>2249</v>
      </c>
      <c r="B2245" s="267">
        <v>2244</v>
      </c>
      <c r="C2245" s="268" t="s">
        <v>2618</v>
      </c>
      <c r="D2245" s="269">
        <v>42262</v>
      </c>
      <c r="E2245" s="270" t="s">
        <v>1622</v>
      </c>
      <c r="F2245" s="384">
        <v>2175000</v>
      </c>
      <c r="G2245" s="270">
        <v>190513098</v>
      </c>
      <c r="H2245" s="270"/>
    </row>
    <row r="2246" spans="1:8" x14ac:dyDescent="0.25">
      <c r="A2246" s="257">
        <v>2250</v>
      </c>
      <c r="B2246" s="267">
        <v>2245</v>
      </c>
      <c r="C2246" s="268" t="s">
        <v>3624</v>
      </c>
      <c r="D2246" s="269">
        <v>42262</v>
      </c>
      <c r="E2246" s="270" t="s">
        <v>528</v>
      </c>
      <c r="F2246" s="384">
        <v>124000</v>
      </c>
      <c r="G2246" s="270">
        <v>100068356</v>
      </c>
      <c r="H2246" s="270"/>
    </row>
    <row r="2247" spans="1:8" x14ac:dyDescent="0.25">
      <c r="A2247" s="257">
        <v>2251</v>
      </c>
      <c r="B2247" s="267">
        <v>2246</v>
      </c>
      <c r="C2247" s="268" t="s">
        <v>887</v>
      </c>
      <c r="D2247" s="269">
        <v>42262</v>
      </c>
      <c r="E2247" s="270" t="s">
        <v>2831</v>
      </c>
      <c r="F2247" s="384">
        <v>435000</v>
      </c>
      <c r="G2247" s="270">
        <v>191604225</v>
      </c>
      <c r="H2247" s="270"/>
    </row>
    <row r="2248" spans="1:8" x14ac:dyDescent="0.25">
      <c r="A2248" s="257">
        <v>2252</v>
      </c>
      <c r="B2248" s="267">
        <v>2247</v>
      </c>
      <c r="C2248" s="268" t="s">
        <v>3534</v>
      </c>
      <c r="D2248" s="269">
        <v>42262</v>
      </c>
      <c r="E2248" s="270" t="s">
        <v>380</v>
      </c>
      <c r="F2248" s="384">
        <v>155000</v>
      </c>
      <c r="G2248" s="270">
        <v>191597159</v>
      </c>
      <c r="H2248" s="270"/>
    </row>
    <row r="2249" spans="1:8" x14ac:dyDescent="0.25">
      <c r="A2249" s="257">
        <v>2253</v>
      </c>
      <c r="B2249" s="267">
        <v>2248</v>
      </c>
      <c r="C2249" s="268" t="s">
        <v>2629</v>
      </c>
      <c r="D2249" s="269">
        <v>42262</v>
      </c>
      <c r="E2249" s="270" t="s">
        <v>2152</v>
      </c>
      <c r="F2249" s="384">
        <v>197000</v>
      </c>
      <c r="G2249" s="270">
        <v>191418262</v>
      </c>
      <c r="H2249" s="270"/>
    </row>
    <row r="2250" spans="1:8" x14ac:dyDescent="0.25">
      <c r="A2250" s="257">
        <v>2254</v>
      </c>
      <c r="B2250" s="267">
        <v>2249</v>
      </c>
      <c r="C2250" s="268" t="s">
        <v>4205</v>
      </c>
      <c r="D2250" s="269">
        <v>42263</v>
      </c>
      <c r="E2250" s="270" t="s">
        <v>2669</v>
      </c>
      <c r="F2250" s="384">
        <v>435000</v>
      </c>
      <c r="G2250" s="270">
        <v>191684046</v>
      </c>
      <c r="H2250" s="270"/>
    </row>
    <row r="2251" spans="1:8" x14ac:dyDescent="0.25">
      <c r="A2251" s="257">
        <v>2255</v>
      </c>
      <c r="B2251" s="267">
        <v>2250</v>
      </c>
      <c r="C2251" s="268" t="s">
        <v>2870</v>
      </c>
      <c r="D2251" s="269">
        <v>42263</v>
      </c>
      <c r="E2251" s="270" t="s">
        <v>877</v>
      </c>
      <c r="F2251" s="384">
        <v>280000</v>
      </c>
      <c r="G2251" s="270">
        <v>100064641</v>
      </c>
      <c r="H2251" s="270"/>
    </row>
    <row r="2252" spans="1:8" x14ac:dyDescent="0.25">
      <c r="A2252" s="257">
        <v>2256</v>
      </c>
      <c r="B2252" s="267">
        <v>2251</v>
      </c>
      <c r="C2252" s="268" t="s">
        <v>1658</v>
      </c>
      <c r="D2252" s="269">
        <v>42263</v>
      </c>
      <c r="E2252" s="270" t="s">
        <v>825</v>
      </c>
      <c r="F2252" s="384">
        <v>435000</v>
      </c>
      <c r="G2252" s="270">
        <v>100951254</v>
      </c>
      <c r="H2252" s="270"/>
    </row>
    <row r="2253" spans="1:8" x14ac:dyDescent="0.25">
      <c r="A2253" s="257">
        <v>2257</v>
      </c>
      <c r="B2253" s="267">
        <v>2252</v>
      </c>
      <c r="C2253" s="268" t="s">
        <v>1658</v>
      </c>
      <c r="D2253" s="269">
        <v>42263</v>
      </c>
      <c r="E2253" s="270" t="s">
        <v>825</v>
      </c>
      <c r="F2253" s="384">
        <v>435000</v>
      </c>
      <c r="G2253" s="270">
        <v>100951254</v>
      </c>
      <c r="H2253" s="270"/>
    </row>
    <row r="2254" spans="1:8" x14ac:dyDescent="0.25">
      <c r="A2254" s="257">
        <v>2258</v>
      </c>
      <c r="B2254" s="267">
        <v>2253</v>
      </c>
      <c r="C2254" s="268" t="s">
        <v>3253</v>
      </c>
      <c r="D2254" s="269">
        <v>42266</v>
      </c>
      <c r="E2254" s="270" t="s">
        <v>3631</v>
      </c>
      <c r="F2254" s="384">
        <v>280000</v>
      </c>
      <c r="G2254" s="270">
        <v>691380883</v>
      </c>
      <c r="H2254" s="270"/>
    </row>
    <row r="2255" spans="1:8" x14ac:dyDescent="0.25">
      <c r="A2255" s="257">
        <v>2259</v>
      </c>
      <c r="B2255" s="267">
        <v>2254</v>
      </c>
      <c r="C2255" s="268" t="s">
        <v>2788</v>
      </c>
      <c r="D2255" s="269">
        <v>42266</v>
      </c>
      <c r="E2255" s="270" t="s">
        <v>2816</v>
      </c>
      <c r="F2255" s="384">
        <v>240000</v>
      </c>
      <c r="G2255" s="270">
        <v>691336216</v>
      </c>
      <c r="H2255" s="270"/>
    </row>
    <row r="2256" spans="1:8" x14ac:dyDescent="0.25">
      <c r="A2256" s="257">
        <v>2260</v>
      </c>
      <c r="B2256" s="267">
        <v>2255</v>
      </c>
      <c r="C2256" s="268" t="s">
        <v>3300</v>
      </c>
      <c r="D2256" s="269">
        <v>42267</v>
      </c>
      <c r="E2256" s="270" t="s">
        <v>2678</v>
      </c>
      <c r="F2256" s="384">
        <v>31000</v>
      </c>
      <c r="G2256" s="270">
        <v>691584652</v>
      </c>
      <c r="H2256" s="270"/>
    </row>
    <row r="2257" spans="1:8" x14ac:dyDescent="0.25">
      <c r="A2257" s="257">
        <v>2261</v>
      </c>
      <c r="B2257" s="267">
        <v>2256</v>
      </c>
      <c r="C2257" s="268" t="s">
        <v>1659</v>
      </c>
      <c r="D2257" s="269">
        <v>42268</v>
      </c>
      <c r="E2257" s="270" t="s">
        <v>344</v>
      </c>
      <c r="F2257" s="384">
        <v>165000</v>
      </c>
      <c r="G2257" s="270">
        <v>601062727</v>
      </c>
      <c r="H2257" s="270"/>
    </row>
    <row r="2258" spans="1:8" x14ac:dyDescent="0.25">
      <c r="A2258" s="257">
        <v>2262</v>
      </c>
      <c r="B2258" s="267">
        <v>2257</v>
      </c>
      <c r="C2258" s="268" t="s">
        <v>2966</v>
      </c>
      <c r="D2258" s="269">
        <v>42270</v>
      </c>
      <c r="E2258" s="270" t="s">
        <v>2885</v>
      </c>
      <c r="F2258" s="384">
        <v>435000</v>
      </c>
      <c r="G2258" s="270">
        <v>691132355</v>
      </c>
      <c r="H2258" s="270"/>
    </row>
    <row r="2259" spans="1:8" x14ac:dyDescent="0.25">
      <c r="A2259" s="257">
        <v>2263</v>
      </c>
      <c r="B2259" s="267">
        <v>2258</v>
      </c>
      <c r="C2259" s="268" t="s">
        <v>680</v>
      </c>
      <c r="D2259" s="269">
        <v>42270</v>
      </c>
      <c r="E2259" s="270" t="s">
        <v>3598</v>
      </c>
      <c r="F2259" s="384">
        <v>870000</v>
      </c>
      <c r="G2259" s="270">
        <v>190221603</v>
      </c>
      <c r="H2259" s="270"/>
    </row>
    <row r="2260" spans="1:8" x14ac:dyDescent="0.25">
      <c r="A2260" s="257">
        <v>2264</v>
      </c>
      <c r="B2260" s="267">
        <v>2259</v>
      </c>
      <c r="C2260" s="268" t="s">
        <v>196</v>
      </c>
      <c r="D2260" s="269">
        <v>42270</v>
      </c>
      <c r="E2260" s="270" t="s">
        <v>2717</v>
      </c>
      <c r="F2260" s="384">
        <v>870000</v>
      </c>
      <c r="G2260" s="270">
        <v>101538513</v>
      </c>
      <c r="H2260" s="270"/>
    </row>
    <row r="2261" spans="1:8" x14ac:dyDescent="0.25">
      <c r="A2261" s="257">
        <v>2265</v>
      </c>
      <c r="B2261" s="267">
        <v>2260</v>
      </c>
      <c r="C2261" s="268" t="s">
        <v>732</v>
      </c>
      <c r="D2261" s="269">
        <v>42270</v>
      </c>
      <c r="E2261" s="270" t="s">
        <v>3238</v>
      </c>
      <c r="F2261" s="384">
        <v>715000</v>
      </c>
      <c r="G2261" s="270">
        <v>191870208</v>
      </c>
      <c r="H2261" s="270"/>
    </row>
    <row r="2262" spans="1:8" x14ac:dyDescent="0.25">
      <c r="A2262" s="257">
        <v>2266</v>
      </c>
      <c r="B2262" s="267">
        <v>2261</v>
      </c>
      <c r="C2262" s="268" t="s">
        <v>199</v>
      </c>
      <c r="D2262" s="269">
        <v>42270</v>
      </c>
      <c r="E2262" s="270" t="s">
        <v>2826</v>
      </c>
      <c r="F2262" s="384">
        <v>63000</v>
      </c>
      <c r="G2262" s="270">
        <v>101117856</v>
      </c>
      <c r="H2262" s="270"/>
    </row>
    <row r="2263" spans="1:8" x14ac:dyDescent="0.25">
      <c r="A2263" s="257">
        <v>2267</v>
      </c>
      <c r="B2263" s="267">
        <v>2262</v>
      </c>
      <c r="C2263" s="268" t="s">
        <v>2870</v>
      </c>
      <c r="D2263" s="269">
        <v>42270</v>
      </c>
      <c r="E2263" s="270" t="s">
        <v>877</v>
      </c>
      <c r="F2263" s="384">
        <v>67000</v>
      </c>
      <c r="G2263" s="270">
        <v>100064641</v>
      </c>
      <c r="H2263" s="270"/>
    </row>
    <row r="2264" spans="1:8" x14ac:dyDescent="0.25">
      <c r="A2264" s="257">
        <v>2268</v>
      </c>
      <c r="B2264" s="267">
        <v>2263</v>
      </c>
      <c r="C2264" s="268" t="s">
        <v>4221</v>
      </c>
      <c r="D2264" s="269">
        <v>42270</v>
      </c>
      <c r="E2264" s="270" t="s">
        <v>3774</v>
      </c>
      <c r="F2264" s="384">
        <v>213000</v>
      </c>
      <c r="G2264" s="270">
        <v>690019524</v>
      </c>
      <c r="H2264" s="270"/>
    </row>
    <row r="2265" spans="1:8" x14ac:dyDescent="0.25">
      <c r="A2265" s="257">
        <v>2269</v>
      </c>
      <c r="B2265" s="267">
        <v>2264</v>
      </c>
      <c r="C2265" s="268" t="s">
        <v>978</v>
      </c>
      <c r="D2265" s="269">
        <v>42270</v>
      </c>
      <c r="E2265" s="270" t="s">
        <v>847</v>
      </c>
      <c r="F2265" s="384">
        <v>435000</v>
      </c>
      <c r="G2265" s="270">
        <v>190853326</v>
      </c>
      <c r="H2265" s="270"/>
    </row>
    <row r="2266" spans="1:8" x14ac:dyDescent="0.25">
      <c r="A2266" s="257">
        <v>2270</v>
      </c>
      <c r="B2266" s="267">
        <v>2265</v>
      </c>
      <c r="C2266" s="268" t="s">
        <v>190</v>
      </c>
      <c r="D2266" s="269">
        <v>42270</v>
      </c>
      <c r="E2266" s="270" t="s">
        <v>188</v>
      </c>
      <c r="F2266" s="384">
        <v>435000</v>
      </c>
      <c r="G2266" s="270">
        <v>190270596</v>
      </c>
      <c r="H2266" s="270"/>
    </row>
    <row r="2267" spans="1:8" x14ac:dyDescent="0.25">
      <c r="A2267" s="257">
        <v>2271</v>
      </c>
      <c r="B2267" s="267">
        <v>2266</v>
      </c>
      <c r="C2267" s="268" t="s">
        <v>2860</v>
      </c>
      <c r="D2267" s="269">
        <v>42270</v>
      </c>
      <c r="E2267" s="270" t="s">
        <v>3222</v>
      </c>
      <c r="F2267" s="384">
        <v>280000</v>
      </c>
      <c r="G2267" s="270">
        <v>691535754</v>
      </c>
      <c r="H2267" s="270"/>
    </row>
    <row r="2268" spans="1:8" x14ac:dyDescent="0.25">
      <c r="A2268" s="257">
        <v>2272</v>
      </c>
      <c r="B2268" s="267">
        <v>2267</v>
      </c>
      <c r="C2268" s="268" t="s">
        <v>252</v>
      </c>
      <c r="D2268" s="269">
        <v>42270</v>
      </c>
      <c r="E2268" s="270" t="s">
        <v>3582</v>
      </c>
      <c r="F2268" s="384">
        <v>280000</v>
      </c>
      <c r="G2268" s="270">
        <v>100338635</v>
      </c>
      <c r="H2268" s="270"/>
    </row>
    <row r="2269" spans="1:8" x14ac:dyDescent="0.25">
      <c r="A2269" s="257">
        <v>2273</v>
      </c>
      <c r="B2269" s="267">
        <v>2268</v>
      </c>
      <c r="C2269" s="268" t="s">
        <v>895</v>
      </c>
      <c r="D2269" s="269">
        <v>42271</v>
      </c>
      <c r="E2269" s="270" t="s">
        <v>2804</v>
      </c>
      <c r="F2269" s="384">
        <v>435000</v>
      </c>
      <c r="G2269" s="270">
        <v>691433174</v>
      </c>
      <c r="H2269" s="270"/>
    </row>
    <row r="2270" spans="1:8" x14ac:dyDescent="0.25">
      <c r="A2270" s="257">
        <v>2274</v>
      </c>
      <c r="B2270" s="267">
        <v>2269</v>
      </c>
      <c r="C2270" s="268" t="s">
        <v>367</v>
      </c>
      <c r="D2270" s="269">
        <v>42271</v>
      </c>
      <c r="E2270" s="270" t="s">
        <v>839</v>
      </c>
      <c r="F2270" s="384">
        <v>67000</v>
      </c>
      <c r="G2270" s="270">
        <v>101166741</v>
      </c>
      <c r="H2270" s="270"/>
    </row>
    <row r="2271" spans="1:8" x14ac:dyDescent="0.25">
      <c r="A2271" s="257">
        <v>2275</v>
      </c>
      <c r="B2271" s="267">
        <v>2270</v>
      </c>
      <c r="C2271" s="268" t="s">
        <v>3310</v>
      </c>
      <c r="D2271" s="269">
        <v>42271</v>
      </c>
      <c r="E2271" s="270" t="s">
        <v>2435</v>
      </c>
      <c r="F2271" s="384">
        <v>280000</v>
      </c>
      <c r="G2271" s="270">
        <v>690640433</v>
      </c>
      <c r="H2271" s="270"/>
    </row>
    <row r="2272" spans="1:8" x14ac:dyDescent="0.25">
      <c r="A2272" s="257">
        <v>2276</v>
      </c>
      <c r="B2272" s="267">
        <v>2271</v>
      </c>
      <c r="C2272" s="268" t="s">
        <v>4201</v>
      </c>
      <c r="D2272" s="269">
        <v>42271</v>
      </c>
      <c r="E2272" s="270" t="s">
        <v>349</v>
      </c>
      <c r="F2272" s="384">
        <v>155000</v>
      </c>
      <c r="G2272" s="270">
        <v>690604750</v>
      </c>
      <c r="H2272" s="270"/>
    </row>
    <row r="2273" spans="1:8" x14ac:dyDescent="0.25">
      <c r="A2273" s="257">
        <v>2277</v>
      </c>
      <c r="B2273" s="267">
        <v>2272</v>
      </c>
      <c r="C2273" s="268" t="s">
        <v>3855</v>
      </c>
      <c r="D2273" s="269">
        <v>42271</v>
      </c>
      <c r="E2273" s="270" t="s">
        <v>2700</v>
      </c>
      <c r="F2273" s="384">
        <v>300000</v>
      </c>
      <c r="G2273" s="270">
        <v>100422536</v>
      </c>
      <c r="H2273" s="270"/>
    </row>
    <row r="2274" spans="1:8" x14ac:dyDescent="0.25">
      <c r="A2274" s="257">
        <v>2278</v>
      </c>
      <c r="B2274" s="267">
        <v>2273</v>
      </c>
      <c r="C2274" s="268" t="s">
        <v>53</v>
      </c>
      <c r="D2274" s="269">
        <v>42271</v>
      </c>
      <c r="E2274" s="270" t="s">
        <v>893</v>
      </c>
      <c r="F2274" s="384">
        <v>435000</v>
      </c>
      <c r="G2274" s="270">
        <v>691535129</v>
      </c>
      <c r="H2274" s="270"/>
    </row>
    <row r="2275" spans="1:8" x14ac:dyDescent="0.25">
      <c r="A2275" s="257">
        <v>2279</v>
      </c>
      <c r="B2275" s="267">
        <v>2274</v>
      </c>
      <c r="C2275" s="268" t="s">
        <v>2959</v>
      </c>
      <c r="D2275" s="269">
        <v>42272</v>
      </c>
      <c r="E2275" s="270" t="s">
        <v>726</v>
      </c>
      <c r="F2275" s="384">
        <v>66000</v>
      </c>
      <c r="G2275" s="270">
        <v>100211261</v>
      </c>
      <c r="H2275" s="270"/>
    </row>
    <row r="2276" spans="1:8" x14ac:dyDescent="0.25">
      <c r="A2276" s="257">
        <v>2280</v>
      </c>
      <c r="B2276" s="267">
        <v>2275</v>
      </c>
      <c r="C2276" s="268" t="s">
        <v>3757</v>
      </c>
      <c r="D2276" s="269">
        <v>42272</v>
      </c>
      <c r="E2276" s="270" t="s">
        <v>235</v>
      </c>
      <c r="F2276" s="384">
        <v>1335000</v>
      </c>
      <c r="G2276" s="270">
        <v>190080211</v>
      </c>
      <c r="H2276" s="270"/>
    </row>
    <row r="2277" spans="1:8" x14ac:dyDescent="0.25">
      <c r="A2277" s="257">
        <v>2281</v>
      </c>
      <c r="B2277" s="267">
        <v>2276</v>
      </c>
      <c r="C2277" s="268" t="s">
        <v>3656</v>
      </c>
      <c r="D2277" s="269">
        <v>42273</v>
      </c>
      <c r="E2277" s="270" t="s">
        <v>2158</v>
      </c>
      <c r="F2277" s="384">
        <v>31000</v>
      </c>
      <c r="G2277" s="270">
        <v>100264535</v>
      </c>
      <c r="H2277" s="270"/>
    </row>
    <row r="2278" spans="1:8" x14ac:dyDescent="0.25">
      <c r="A2278" s="257">
        <v>2282</v>
      </c>
      <c r="B2278" s="267">
        <v>2277</v>
      </c>
      <c r="C2278" s="268" t="s">
        <v>3656</v>
      </c>
      <c r="D2278" s="269">
        <v>42273</v>
      </c>
      <c r="E2278" s="270" t="s">
        <v>2158</v>
      </c>
      <c r="F2278" s="384">
        <v>198000</v>
      </c>
      <c r="G2278" s="270">
        <v>100264535</v>
      </c>
      <c r="H2278" s="270"/>
    </row>
    <row r="2279" spans="1:8" x14ac:dyDescent="0.25">
      <c r="A2279" s="257">
        <v>2283</v>
      </c>
      <c r="B2279" s="267">
        <v>2278</v>
      </c>
      <c r="C2279" s="268" t="s">
        <v>910</v>
      </c>
      <c r="D2279" s="269">
        <v>42275</v>
      </c>
      <c r="E2279" s="270" t="s">
        <v>1656</v>
      </c>
      <c r="F2279" s="384">
        <v>280000</v>
      </c>
      <c r="G2279" s="270">
        <v>101439397</v>
      </c>
      <c r="H2279" s="270"/>
    </row>
    <row r="2280" spans="1:8" x14ac:dyDescent="0.25">
      <c r="A2280" s="257">
        <v>2284</v>
      </c>
      <c r="B2280" s="267">
        <v>2279</v>
      </c>
      <c r="C2280" s="268" t="s">
        <v>137</v>
      </c>
      <c r="D2280" s="269">
        <v>42275</v>
      </c>
      <c r="E2280" s="270" t="s">
        <v>405</v>
      </c>
      <c r="F2280" s="384">
        <v>198000</v>
      </c>
      <c r="G2280" s="270">
        <v>190778354</v>
      </c>
      <c r="H2280" s="270"/>
    </row>
    <row r="2281" spans="1:8" x14ac:dyDescent="0.25">
      <c r="A2281" s="257">
        <v>2285</v>
      </c>
      <c r="B2281" s="267">
        <v>2280</v>
      </c>
      <c r="C2281" s="268" t="s">
        <v>2864</v>
      </c>
      <c r="D2281" s="269">
        <v>42275</v>
      </c>
      <c r="E2281" s="270" t="s">
        <v>2456</v>
      </c>
      <c r="F2281" s="384">
        <v>280000</v>
      </c>
      <c r="G2281" s="270">
        <v>100039768</v>
      </c>
      <c r="H2281" s="270"/>
    </row>
    <row r="2282" spans="1:8" x14ac:dyDescent="0.25">
      <c r="A2282" s="257">
        <v>2286</v>
      </c>
      <c r="B2282" s="267">
        <v>2281</v>
      </c>
      <c r="C2282" s="268" t="s">
        <v>386</v>
      </c>
      <c r="D2282" s="269">
        <v>42275</v>
      </c>
      <c r="E2282" s="270" t="s">
        <v>1951</v>
      </c>
      <c r="F2282" s="384">
        <v>300000</v>
      </c>
      <c r="G2282" s="270">
        <v>400424686</v>
      </c>
      <c r="H2282" s="270"/>
    </row>
    <row r="2283" spans="1:8" x14ac:dyDescent="0.25">
      <c r="A2283" s="257">
        <v>2287</v>
      </c>
      <c r="B2283" s="267">
        <v>2282</v>
      </c>
      <c r="C2283" s="268" t="s">
        <v>2683</v>
      </c>
      <c r="D2283" s="269">
        <v>42276</v>
      </c>
      <c r="E2283" s="270" t="s">
        <v>4190</v>
      </c>
      <c r="F2283" s="384">
        <v>198000</v>
      </c>
      <c r="G2283" s="270">
        <v>800001184</v>
      </c>
      <c r="H2283" s="270"/>
    </row>
    <row r="2284" spans="1:8" x14ac:dyDescent="0.25">
      <c r="A2284" s="257">
        <v>2288</v>
      </c>
      <c r="B2284" s="267">
        <v>2283</v>
      </c>
      <c r="C2284" s="268" t="s">
        <v>3102</v>
      </c>
      <c r="D2284" s="269">
        <v>42276</v>
      </c>
      <c r="E2284" s="270" t="s">
        <v>2825</v>
      </c>
      <c r="F2284" s="384">
        <v>435000</v>
      </c>
      <c r="G2284" s="270">
        <v>500011238</v>
      </c>
      <c r="H2284" s="270"/>
    </row>
    <row r="2285" spans="1:8" x14ac:dyDescent="0.25">
      <c r="A2285" s="257">
        <v>2289</v>
      </c>
      <c r="B2285" s="267">
        <v>2284</v>
      </c>
      <c r="C2285" s="268" t="s">
        <v>2687</v>
      </c>
      <c r="D2285" s="269">
        <v>42276</v>
      </c>
      <c r="E2285" s="270" t="s">
        <v>2775</v>
      </c>
      <c r="F2285" s="384">
        <v>280000</v>
      </c>
      <c r="G2285" s="270">
        <v>691301525</v>
      </c>
      <c r="H2285" s="270"/>
    </row>
    <row r="2286" spans="1:8" x14ac:dyDescent="0.25">
      <c r="A2286" s="257">
        <v>2290</v>
      </c>
      <c r="B2286" s="267">
        <v>2285</v>
      </c>
      <c r="C2286" s="268" t="s">
        <v>732</v>
      </c>
      <c r="D2286" s="269">
        <v>42276</v>
      </c>
      <c r="E2286" s="270" t="s">
        <v>3238</v>
      </c>
      <c r="F2286" s="384">
        <v>280000</v>
      </c>
      <c r="G2286" s="270">
        <v>191870208</v>
      </c>
      <c r="H2286" s="270"/>
    </row>
    <row r="2287" spans="1:8" x14ac:dyDescent="0.25">
      <c r="A2287" s="257">
        <v>2291</v>
      </c>
      <c r="B2287" s="267">
        <v>2286</v>
      </c>
      <c r="C2287" s="268" t="s">
        <v>3102</v>
      </c>
      <c r="D2287" s="269">
        <v>42276</v>
      </c>
      <c r="E2287" s="270" t="s">
        <v>2825</v>
      </c>
      <c r="F2287" s="384">
        <v>460000</v>
      </c>
      <c r="G2287" s="270">
        <v>500011238</v>
      </c>
      <c r="H2287" s="270"/>
    </row>
    <row r="2288" spans="1:8" x14ac:dyDescent="0.25">
      <c r="A2288" s="257">
        <v>2292</v>
      </c>
      <c r="B2288" s="267">
        <v>2287</v>
      </c>
      <c r="C2288" s="268" t="s">
        <v>2793</v>
      </c>
      <c r="D2288" s="269">
        <v>42276</v>
      </c>
      <c r="E2288" s="270" t="s">
        <v>1530</v>
      </c>
      <c r="F2288" s="384">
        <v>31000</v>
      </c>
      <c r="G2288" s="270">
        <v>190821953</v>
      </c>
      <c r="H2288" s="270"/>
    </row>
    <row r="2289" spans="1:8" x14ac:dyDescent="0.25">
      <c r="A2289" s="257">
        <v>2293</v>
      </c>
      <c r="B2289" s="267">
        <v>2288</v>
      </c>
      <c r="C2289" s="268" t="s">
        <v>2368</v>
      </c>
      <c r="D2289" s="269">
        <v>42276</v>
      </c>
      <c r="E2289" s="270" t="s">
        <v>3597</v>
      </c>
      <c r="F2289" s="384">
        <v>160000</v>
      </c>
      <c r="G2289" s="270">
        <v>192007734</v>
      </c>
      <c r="H2289" s="270"/>
    </row>
    <row r="2290" spans="1:8" x14ac:dyDescent="0.25">
      <c r="A2290" s="257">
        <v>2294</v>
      </c>
      <c r="B2290" s="267">
        <v>2289</v>
      </c>
      <c r="C2290" s="268" t="s">
        <v>462</v>
      </c>
      <c r="D2290" s="269">
        <v>42277</v>
      </c>
      <c r="E2290" s="270" t="s">
        <v>183</v>
      </c>
      <c r="F2290" s="384">
        <v>435000</v>
      </c>
      <c r="G2290" s="270">
        <v>190905167</v>
      </c>
      <c r="H2290" s="270"/>
    </row>
    <row r="2291" spans="1:8" x14ac:dyDescent="0.25">
      <c r="A2291" s="257">
        <v>2295</v>
      </c>
      <c r="B2291" s="267">
        <v>2290</v>
      </c>
      <c r="C2291" s="268" t="s">
        <v>1918</v>
      </c>
      <c r="D2291" s="269">
        <v>42277</v>
      </c>
      <c r="E2291" s="270" t="s">
        <v>1607</v>
      </c>
      <c r="F2291" s="384">
        <v>435000</v>
      </c>
      <c r="G2291" s="270">
        <v>690643672</v>
      </c>
      <c r="H2291" s="270"/>
    </row>
    <row r="2292" spans="1:8" x14ac:dyDescent="0.25">
      <c r="A2292" s="257">
        <v>2296</v>
      </c>
      <c r="B2292" s="267">
        <v>2291</v>
      </c>
      <c r="C2292" s="268" t="s">
        <v>262</v>
      </c>
      <c r="D2292" s="269">
        <v>42277</v>
      </c>
      <c r="E2292" s="270" t="s">
        <v>927</v>
      </c>
      <c r="F2292" s="384">
        <v>160000</v>
      </c>
      <c r="G2292" s="270">
        <v>190454318</v>
      </c>
      <c r="H2292" s="270"/>
    </row>
    <row r="2293" spans="1:8" x14ac:dyDescent="0.25">
      <c r="A2293" s="257">
        <v>2297</v>
      </c>
      <c r="B2293" s="267">
        <v>2292</v>
      </c>
      <c r="C2293" s="268" t="s">
        <v>2143</v>
      </c>
      <c r="D2293" s="269">
        <v>42277</v>
      </c>
      <c r="E2293" s="270" t="s">
        <v>1927</v>
      </c>
      <c r="F2293" s="384">
        <v>913000</v>
      </c>
      <c r="G2293" s="270">
        <v>190032958</v>
      </c>
      <c r="H2293" s="270"/>
    </row>
    <row r="2294" spans="1:8" x14ac:dyDescent="0.25">
      <c r="A2294" s="257">
        <v>2298</v>
      </c>
      <c r="B2294" s="267">
        <v>2293</v>
      </c>
      <c r="C2294" s="268" t="s">
        <v>925</v>
      </c>
      <c r="D2294" s="269">
        <v>42277</v>
      </c>
      <c r="E2294" s="270" t="s">
        <v>4217</v>
      </c>
      <c r="F2294" s="384">
        <v>435000</v>
      </c>
      <c r="G2294" s="270">
        <v>101090386</v>
      </c>
      <c r="H2294" s="270"/>
    </row>
    <row r="2295" spans="1:8" x14ac:dyDescent="0.25">
      <c r="A2295" s="257">
        <v>2299</v>
      </c>
      <c r="B2295" s="267">
        <v>2294</v>
      </c>
      <c r="C2295" s="268" t="s">
        <v>680</v>
      </c>
      <c r="D2295" s="269">
        <v>42277</v>
      </c>
      <c r="E2295" s="270" t="s">
        <v>3598</v>
      </c>
      <c r="F2295" s="384">
        <v>435000</v>
      </c>
      <c r="G2295" s="270">
        <v>190221603</v>
      </c>
      <c r="H2295" s="270"/>
    </row>
    <row r="2296" spans="1:8" x14ac:dyDescent="0.25">
      <c r="A2296" s="257">
        <v>2300</v>
      </c>
      <c r="B2296" s="267">
        <v>2295</v>
      </c>
      <c r="C2296" s="268" t="s">
        <v>870</v>
      </c>
      <c r="D2296" s="269">
        <v>42277</v>
      </c>
      <c r="E2296" s="270" t="s">
        <v>428</v>
      </c>
      <c r="F2296" s="384">
        <v>160000</v>
      </c>
      <c r="G2296" s="270">
        <v>100783448</v>
      </c>
      <c r="H2296" s="270"/>
    </row>
    <row r="2297" spans="1:8" x14ac:dyDescent="0.25">
      <c r="A2297" s="257">
        <v>2301</v>
      </c>
      <c r="B2297" s="267">
        <v>2296</v>
      </c>
      <c r="C2297" s="268" t="s">
        <v>375</v>
      </c>
      <c r="D2297" s="269">
        <v>42277</v>
      </c>
      <c r="E2297" s="270" t="s">
        <v>263</v>
      </c>
      <c r="F2297" s="384">
        <v>870000</v>
      </c>
      <c r="G2297" s="270">
        <v>600182119</v>
      </c>
      <c r="H2297" s="270"/>
    </row>
    <row r="2298" spans="1:8" x14ac:dyDescent="0.25">
      <c r="A2298" s="257">
        <v>2302</v>
      </c>
      <c r="B2298" s="267">
        <v>2297</v>
      </c>
      <c r="C2298" s="268" t="s">
        <v>2368</v>
      </c>
      <c r="D2298" s="269">
        <v>42277</v>
      </c>
      <c r="E2298" s="270" t="s">
        <v>2874</v>
      </c>
      <c r="F2298" s="384">
        <v>240000</v>
      </c>
      <c r="G2298" s="270">
        <v>601058856</v>
      </c>
      <c r="H2298" s="270"/>
    </row>
    <row r="2299" spans="1:8" x14ac:dyDescent="0.25">
      <c r="A2299" s="257">
        <v>2303</v>
      </c>
      <c r="B2299" s="267">
        <v>2298</v>
      </c>
      <c r="C2299" s="268" t="s">
        <v>4201</v>
      </c>
      <c r="D2299" s="269">
        <v>42277</v>
      </c>
      <c r="E2299" s="270" t="s">
        <v>349</v>
      </c>
      <c r="F2299" s="384">
        <v>280000</v>
      </c>
      <c r="G2299" s="270">
        <v>690604750</v>
      </c>
      <c r="H2299" s="270"/>
    </row>
    <row r="2300" spans="1:8" x14ac:dyDescent="0.25">
      <c r="A2300" s="257">
        <v>2304</v>
      </c>
      <c r="B2300" s="267">
        <v>2299</v>
      </c>
      <c r="C2300" s="268" t="s">
        <v>2036</v>
      </c>
      <c r="D2300" s="269">
        <v>42278</v>
      </c>
      <c r="E2300" s="270" t="s">
        <v>3594</v>
      </c>
      <c r="F2300" s="384">
        <v>1305000</v>
      </c>
      <c r="G2300" s="270">
        <v>190882802</v>
      </c>
      <c r="H2300" s="270"/>
    </row>
    <row r="2301" spans="1:8" x14ac:dyDescent="0.25">
      <c r="A2301" s="257">
        <v>2305</v>
      </c>
      <c r="B2301" s="267">
        <v>2300</v>
      </c>
      <c r="C2301" s="268" t="s">
        <v>3102</v>
      </c>
      <c r="D2301" s="269">
        <v>42278</v>
      </c>
      <c r="E2301" s="270" t="s">
        <v>2825</v>
      </c>
      <c r="F2301" s="384">
        <v>435000</v>
      </c>
      <c r="G2301" s="270">
        <v>500011238</v>
      </c>
      <c r="H2301" s="270"/>
    </row>
    <row r="2302" spans="1:8" x14ac:dyDescent="0.25">
      <c r="A2302" s="257">
        <v>2306</v>
      </c>
      <c r="B2302" s="267">
        <v>2301</v>
      </c>
      <c r="C2302" s="268" t="s">
        <v>680</v>
      </c>
      <c r="D2302" s="269">
        <v>42278</v>
      </c>
      <c r="E2302" s="270" t="s">
        <v>3598</v>
      </c>
      <c r="F2302" s="384">
        <v>435000</v>
      </c>
      <c r="G2302" s="270">
        <v>190221603</v>
      </c>
      <c r="H2302" s="270"/>
    </row>
    <row r="2303" spans="1:8" x14ac:dyDescent="0.25">
      <c r="A2303" s="257">
        <v>2307</v>
      </c>
      <c r="B2303" s="267">
        <v>2302</v>
      </c>
      <c r="C2303" s="268" t="s">
        <v>910</v>
      </c>
      <c r="D2303" s="269">
        <v>42278</v>
      </c>
      <c r="E2303" s="270" t="s">
        <v>1656</v>
      </c>
      <c r="F2303" s="384">
        <v>63000</v>
      </c>
      <c r="G2303" s="270">
        <v>101439397</v>
      </c>
      <c r="H2303" s="270"/>
    </row>
    <row r="2304" spans="1:8" x14ac:dyDescent="0.25">
      <c r="A2304" s="257">
        <v>2308</v>
      </c>
      <c r="B2304" s="267">
        <v>2303</v>
      </c>
      <c r="C2304" s="268" t="s">
        <v>2645</v>
      </c>
      <c r="D2304" s="269">
        <v>42278</v>
      </c>
      <c r="E2304" s="270" t="s">
        <v>239</v>
      </c>
      <c r="F2304" s="384">
        <v>1305000</v>
      </c>
      <c r="G2304" s="270">
        <v>101139097</v>
      </c>
      <c r="H2304" s="270"/>
    </row>
    <row r="2305" spans="1:8" x14ac:dyDescent="0.25">
      <c r="A2305" s="257">
        <v>2309</v>
      </c>
      <c r="B2305" s="267">
        <v>2304</v>
      </c>
      <c r="C2305" s="268" t="s">
        <v>1108</v>
      </c>
      <c r="D2305" s="269">
        <v>42278</v>
      </c>
      <c r="E2305" s="270" t="s">
        <v>4193</v>
      </c>
      <c r="F2305" s="384">
        <v>520000</v>
      </c>
      <c r="G2305" s="270">
        <v>100387745</v>
      </c>
      <c r="H2305" s="270"/>
    </row>
    <row r="2306" spans="1:8" x14ac:dyDescent="0.25">
      <c r="A2306" s="257">
        <v>2310</v>
      </c>
      <c r="B2306" s="267">
        <v>2305</v>
      </c>
      <c r="C2306" s="268" t="s">
        <v>1525</v>
      </c>
      <c r="D2306" s="269">
        <v>42278</v>
      </c>
      <c r="E2306" s="270" t="s">
        <v>1005</v>
      </c>
      <c r="F2306" s="384">
        <v>300000</v>
      </c>
      <c r="G2306" s="270">
        <v>101116081</v>
      </c>
      <c r="H2306" s="270"/>
    </row>
    <row r="2307" spans="1:8" x14ac:dyDescent="0.25">
      <c r="A2307" s="257">
        <v>2311</v>
      </c>
      <c r="B2307" s="267">
        <v>2306</v>
      </c>
      <c r="C2307" s="268" t="s">
        <v>3734</v>
      </c>
      <c r="D2307" s="269">
        <v>42278</v>
      </c>
      <c r="E2307" s="270" t="s">
        <v>2358</v>
      </c>
      <c r="F2307" s="384">
        <v>155000</v>
      </c>
      <c r="G2307" s="270">
        <v>800008903</v>
      </c>
      <c r="H2307" s="270"/>
    </row>
    <row r="2308" spans="1:8" x14ac:dyDescent="0.25">
      <c r="A2308" s="257">
        <v>2312</v>
      </c>
      <c r="B2308" s="267">
        <v>2307</v>
      </c>
      <c r="C2308" s="268" t="s">
        <v>414</v>
      </c>
      <c r="D2308" s="269">
        <v>42278</v>
      </c>
      <c r="E2308" s="270" t="s">
        <v>3629</v>
      </c>
      <c r="F2308" s="384">
        <v>830000</v>
      </c>
      <c r="G2308" s="270">
        <v>100286955</v>
      </c>
      <c r="H2308" s="270"/>
    </row>
    <row r="2309" spans="1:8" x14ac:dyDescent="0.25">
      <c r="A2309" s="257">
        <v>2313</v>
      </c>
      <c r="B2309" s="267">
        <v>2308</v>
      </c>
      <c r="C2309" s="268" t="s">
        <v>680</v>
      </c>
      <c r="D2309" s="269">
        <v>42279</v>
      </c>
      <c r="E2309" s="270" t="s">
        <v>3598</v>
      </c>
      <c r="F2309" s="384">
        <v>63000</v>
      </c>
      <c r="G2309" s="270">
        <v>190221603</v>
      </c>
      <c r="H2309" s="270"/>
    </row>
    <row r="2310" spans="1:8" x14ac:dyDescent="0.25">
      <c r="A2310" s="257">
        <v>2314</v>
      </c>
      <c r="B2310" s="267">
        <v>2309</v>
      </c>
      <c r="C2310" s="268" t="s">
        <v>4237</v>
      </c>
      <c r="D2310" s="269">
        <v>42279</v>
      </c>
      <c r="E2310" s="270" t="s">
        <v>1539</v>
      </c>
      <c r="F2310" s="384">
        <v>124000</v>
      </c>
      <c r="G2310" s="270">
        <v>191307470</v>
      </c>
      <c r="H2310" s="270"/>
    </row>
    <row r="2311" spans="1:8" x14ac:dyDescent="0.25">
      <c r="A2311" s="257">
        <v>2315</v>
      </c>
      <c r="B2311" s="267">
        <v>2310</v>
      </c>
      <c r="C2311" s="268" t="s">
        <v>465</v>
      </c>
      <c r="D2311" s="269">
        <v>42279</v>
      </c>
      <c r="E2311" s="270" t="s">
        <v>2876</v>
      </c>
      <c r="F2311" s="384">
        <v>435000</v>
      </c>
      <c r="G2311" s="270">
        <v>690653143</v>
      </c>
      <c r="H2311" s="270"/>
    </row>
    <row r="2312" spans="1:8" x14ac:dyDescent="0.25">
      <c r="A2312" s="257">
        <v>2316</v>
      </c>
      <c r="B2312" s="267">
        <v>2311</v>
      </c>
      <c r="C2312" s="268" t="s">
        <v>3632</v>
      </c>
      <c r="D2312" s="269">
        <v>42279</v>
      </c>
      <c r="E2312" s="270" t="s">
        <v>2455</v>
      </c>
      <c r="F2312" s="384">
        <v>435000</v>
      </c>
      <c r="G2312" s="270">
        <v>691530048</v>
      </c>
      <c r="H2312" s="270"/>
    </row>
    <row r="2313" spans="1:8" x14ac:dyDescent="0.25">
      <c r="A2313" s="257">
        <v>2317</v>
      </c>
      <c r="B2313" s="267">
        <v>2312</v>
      </c>
      <c r="C2313" s="268" t="s">
        <v>1911</v>
      </c>
      <c r="D2313" s="269">
        <v>42279</v>
      </c>
      <c r="E2313" s="270" t="s">
        <v>2818</v>
      </c>
      <c r="F2313" s="384">
        <v>435000</v>
      </c>
      <c r="G2313" s="270">
        <v>192039296</v>
      </c>
      <c r="H2313" s="270"/>
    </row>
    <row r="2314" spans="1:8" x14ac:dyDescent="0.25">
      <c r="A2314" s="257">
        <v>2318</v>
      </c>
      <c r="B2314" s="267">
        <v>2313</v>
      </c>
      <c r="C2314" s="268" t="s">
        <v>3308</v>
      </c>
      <c r="D2314" s="269">
        <v>42279</v>
      </c>
      <c r="E2314" s="270" t="s">
        <v>2851</v>
      </c>
      <c r="F2314" s="384">
        <v>280000</v>
      </c>
      <c r="G2314" s="270">
        <v>691463537</v>
      </c>
      <c r="H2314" s="270"/>
    </row>
    <row r="2315" spans="1:8" x14ac:dyDescent="0.25">
      <c r="A2315" s="257">
        <v>2319</v>
      </c>
      <c r="B2315" s="267">
        <v>2314</v>
      </c>
      <c r="C2315" s="268" t="s">
        <v>1056</v>
      </c>
      <c r="D2315" s="269">
        <v>42279</v>
      </c>
      <c r="E2315" s="270" t="s">
        <v>4235</v>
      </c>
      <c r="F2315" s="384">
        <v>435000</v>
      </c>
      <c r="G2315" s="270">
        <v>101185261</v>
      </c>
      <c r="H2315" s="270"/>
    </row>
    <row r="2316" spans="1:8" x14ac:dyDescent="0.25">
      <c r="A2316" s="257">
        <v>2320</v>
      </c>
      <c r="B2316" s="267">
        <v>2315</v>
      </c>
      <c r="C2316" s="268" t="s">
        <v>1658</v>
      </c>
      <c r="D2316" s="269">
        <v>42279</v>
      </c>
      <c r="E2316" s="270" t="s">
        <v>825</v>
      </c>
      <c r="F2316" s="384">
        <v>435000</v>
      </c>
      <c r="G2316" s="270">
        <v>100951254</v>
      </c>
      <c r="H2316" s="270"/>
    </row>
    <row r="2317" spans="1:8" x14ac:dyDescent="0.25">
      <c r="A2317" s="257">
        <v>2321</v>
      </c>
      <c r="B2317" s="267">
        <v>2316</v>
      </c>
      <c r="C2317" s="268" t="s">
        <v>2618</v>
      </c>
      <c r="D2317" s="269">
        <v>42279</v>
      </c>
      <c r="E2317" s="270" t="s">
        <v>1622</v>
      </c>
      <c r="F2317" s="384">
        <v>435000</v>
      </c>
      <c r="G2317" s="270">
        <v>190513098</v>
      </c>
      <c r="H2317" s="270"/>
    </row>
    <row r="2318" spans="1:8" x14ac:dyDescent="0.25">
      <c r="A2318" s="257">
        <v>2322</v>
      </c>
      <c r="B2318" s="267">
        <v>2317</v>
      </c>
      <c r="C2318" s="268" t="s">
        <v>910</v>
      </c>
      <c r="D2318" s="269">
        <v>42279</v>
      </c>
      <c r="E2318" s="270" t="s">
        <v>1656</v>
      </c>
      <c r="F2318" s="384">
        <v>63000</v>
      </c>
      <c r="G2318" s="270">
        <v>101439397</v>
      </c>
      <c r="H2318" s="270"/>
    </row>
    <row r="2319" spans="1:8" x14ac:dyDescent="0.25">
      <c r="A2319" s="257">
        <v>2323</v>
      </c>
      <c r="B2319" s="267">
        <v>2318</v>
      </c>
      <c r="C2319" s="268" t="s">
        <v>3734</v>
      </c>
      <c r="D2319" s="269">
        <v>42279</v>
      </c>
      <c r="E2319" s="270" t="s">
        <v>2358</v>
      </c>
      <c r="F2319" s="384">
        <v>435000</v>
      </c>
      <c r="G2319" s="270">
        <v>800008903</v>
      </c>
      <c r="H2319" s="270"/>
    </row>
    <row r="2320" spans="1:8" x14ac:dyDescent="0.25">
      <c r="A2320" s="257">
        <v>2324</v>
      </c>
      <c r="B2320" s="267">
        <v>2319</v>
      </c>
      <c r="C2320" s="268" t="s">
        <v>2369</v>
      </c>
      <c r="D2320" s="269">
        <v>42282</v>
      </c>
      <c r="E2320" s="270" t="s">
        <v>515</v>
      </c>
      <c r="F2320" s="384">
        <v>280000</v>
      </c>
      <c r="G2320" s="270">
        <v>690387347</v>
      </c>
      <c r="H2320" s="270"/>
    </row>
    <row r="2321" spans="1:8" x14ac:dyDescent="0.25">
      <c r="A2321" s="257">
        <v>2325</v>
      </c>
      <c r="B2321" s="267">
        <v>2320</v>
      </c>
      <c r="C2321" s="268" t="s">
        <v>910</v>
      </c>
      <c r="D2321" s="269">
        <v>42282</v>
      </c>
      <c r="E2321" s="270" t="s">
        <v>1656</v>
      </c>
      <c r="F2321" s="384">
        <v>198000</v>
      </c>
      <c r="G2321" s="270">
        <v>101439397</v>
      </c>
      <c r="H2321" s="270"/>
    </row>
    <row r="2322" spans="1:8" x14ac:dyDescent="0.25">
      <c r="A2322" s="257">
        <v>2326</v>
      </c>
      <c r="B2322" s="267">
        <v>2321</v>
      </c>
      <c r="C2322" s="268" t="s">
        <v>3569</v>
      </c>
      <c r="D2322" s="269">
        <v>42282</v>
      </c>
      <c r="E2322" s="270" t="s">
        <v>3135</v>
      </c>
      <c r="F2322" s="384">
        <v>63000</v>
      </c>
      <c r="G2322" s="270">
        <v>190644876</v>
      </c>
      <c r="H2322" s="270"/>
    </row>
    <row r="2323" spans="1:8" x14ac:dyDescent="0.25">
      <c r="A2323" s="257">
        <v>2327</v>
      </c>
      <c r="B2323" s="267">
        <v>2322</v>
      </c>
      <c r="C2323" s="268" t="s">
        <v>1943</v>
      </c>
      <c r="D2323" s="269">
        <v>42282</v>
      </c>
      <c r="E2323" s="270" t="s">
        <v>3560</v>
      </c>
      <c r="F2323" s="384">
        <v>280000</v>
      </c>
      <c r="G2323" s="270">
        <v>691580552</v>
      </c>
      <c r="H2323" s="270"/>
    </row>
    <row r="2324" spans="1:8" x14ac:dyDescent="0.25">
      <c r="A2324" s="257">
        <v>2328</v>
      </c>
      <c r="B2324" s="267">
        <v>2323</v>
      </c>
      <c r="C2324" s="268" t="s">
        <v>179</v>
      </c>
      <c r="D2324" s="269">
        <v>42282</v>
      </c>
      <c r="E2324" s="270" t="s">
        <v>3861</v>
      </c>
      <c r="F2324" s="384">
        <v>165000</v>
      </c>
      <c r="G2324" s="270">
        <v>190474061</v>
      </c>
      <c r="H2324" s="270"/>
    </row>
    <row r="2325" spans="1:8" x14ac:dyDescent="0.25">
      <c r="A2325" s="257">
        <v>2329</v>
      </c>
      <c r="B2325" s="267">
        <v>2324</v>
      </c>
      <c r="C2325" s="268" t="s">
        <v>2869</v>
      </c>
      <c r="D2325" s="269">
        <v>42282</v>
      </c>
      <c r="E2325" s="270" t="s">
        <v>970</v>
      </c>
      <c r="F2325" s="384">
        <v>280000</v>
      </c>
      <c r="G2325" s="270">
        <v>590779700</v>
      </c>
      <c r="H2325" s="270"/>
    </row>
    <row r="2326" spans="1:8" x14ac:dyDescent="0.25">
      <c r="A2326" s="257">
        <v>2330</v>
      </c>
      <c r="B2326" s="267">
        <v>2325</v>
      </c>
      <c r="C2326" s="268" t="s">
        <v>179</v>
      </c>
      <c r="D2326" s="269">
        <v>42282</v>
      </c>
      <c r="E2326" s="270" t="s">
        <v>3861</v>
      </c>
      <c r="F2326" s="384">
        <v>165000</v>
      </c>
      <c r="G2326" s="270">
        <v>190474061</v>
      </c>
      <c r="H2326" s="270"/>
    </row>
    <row r="2327" spans="1:8" x14ac:dyDescent="0.25">
      <c r="A2327" s="257">
        <v>2331</v>
      </c>
      <c r="B2327" s="267">
        <v>2326</v>
      </c>
      <c r="C2327" s="268" t="s">
        <v>1943</v>
      </c>
      <c r="D2327" s="269">
        <v>42282</v>
      </c>
      <c r="E2327" s="270" t="s">
        <v>3560</v>
      </c>
      <c r="F2327" s="384">
        <v>435000</v>
      </c>
      <c r="G2327" s="270">
        <v>691580552</v>
      </c>
      <c r="H2327" s="270"/>
    </row>
    <row r="2328" spans="1:8" x14ac:dyDescent="0.25">
      <c r="A2328" s="257">
        <v>2332</v>
      </c>
      <c r="B2328" s="267">
        <v>2327</v>
      </c>
      <c r="C2328" s="268" t="s">
        <v>3326</v>
      </c>
      <c r="D2328" s="269">
        <v>42282</v>
      </c>
      <c r="E2328" s="270" t="s">
        <v>164</v>
      </c>
      <c r="F2328" s="384">
        <v>5880000</v>
      </c>
      <c r="G2328" s="270">
        <v>100534485</v>
      </c>
      <c r="H2328" s="270"/>
    </row>
    <row r="2329" spans="1:8" x14ac:dyDescent="0.25">
      <c r="A2329" s="257">
        <v>2333</v>
      </c>
      <c r="B2329" s="267">
        <v>2328</v>
      </c>
      <c r="C2329" s="268" t="s">
        <v>333</v>
      </c>
      <c r="D2329" s="269">
        <v>42282</v>
      </c>
      <c r="E2329" s="270" t="s">
        <v>209</v>
      </c>
      <c r="F2329" s="384">
        <v>160000</v>
      </c>
      <c r="G2329" s="270">
        <v>191118996</v>
      </c>
      <c r="H2329" s="270"/>
    </row>
    <row r="2330" spans="1:8" x14ac:dyDescent="0.25">
      <c r="A2330" s="257">
        <v>2334</v>
      </c>
      <c r="B2330" s="267">
        <v>2329</v>
      </c>
      <c r="C2330" s="268" t="s">
        <v>427</v>
      </c>
      <c r="D2330" s="269">
        <v>42282</v>
      </c>
      <c r="E2330" s="270" t="s">
        <v>2747</v>
      </c>
      <c r="F2330" s="384">
        <v>280000</v>
      </c>
      <c r="G2330" s="270">
        <v>191269969.37890899</v>
      </c>
      <c r="H2330" s="270"/>
    </row>
    <row r="2331" spans="1:8" x14ac:dyDescent="0.25">
      <c r="A2331" s="257">
        <v>2335</v>
      </c>
      <c r="B2331" s="267">
        <v>2330</v>
      </c>
      <c r="C2331" s="268" t="s">
        <v>3133</v>
      </c>
      <c r="D2331" s="269">
        <v>42282</v>
      </c>
      <c r="E2331" s="270" t="s">
        <v>3587</v>
      </c>
      <c r="F2331" s="384">
        <v>960000</v>
      </c>
      <c r="G2331" s="270">
        <v>101254783</v>
      </c>
      <c r="H2331" s="270"/>
    </row>
    <row r="2332" spans="1:8" x14ac:dyDescent="0.25">
      <c r="A2332" s="257">
        <v>2336</v>
      </c>
      <c r="B2332" s="267">
        <v>2331</v>
      </c>
      <c r="C2332" s="268" t="s">
        <v>196</v>
      </c>
      <c r="D2332" s="269">
        <v>42282</v>
      </c>
      <c r="E2332" s="270" t="s">
        <v>2717</v>
      </c>
      <c r="F2332" s="384">
        <v>1025000</v>
      </c>
      <c r="G2332" s="270">
        <v>101538513</v>
      </c>
      <c r="H2332" s="270"/>
    </row>
    <row r="2333" spans="1:8" x14ac:dyDescent="0.25">
      <c r="A2333" s="257">
        <v>2337</v>
      </c>
      <c r="B2333" s="267">
        <v>2332</v>
      </c>
      <c r="C2333" s="268" t="s">
        <v>1021</v>
      </c>
      <c r="D2333" s="269">
        <v>42282</v>
      </c>
      <c r="E2333" s="270" t="s">
        <v>320</v>
      </c>
      <c r="F2333" s="384">
        <v>435000</v>
      </c>
      <c r="G2333" s="270">
        <v>690831296</v>
      </c>
      <c r="H2333" s="270"/>
    </row>
    <row r="2334" spans="1:8" x14ac:dyDescent="0.25">
      <c r="A2334" s="257">
        <v>2338</v>
      </c>
      <c r="B2334" s="267">
        <v>2333</v>
      </c>
      <c r="C2334" s="268" t="s">
        <v>2604</v>
      </c>
      <c r="D2334" s="269">
        <v>42283</v>
      </c>
      <c r="E2334" s="270" t="s">
        <v>2866</v>
      </c>
      <c r="F2334" s="384">
        <v>198000</v>
      </c>
      <c r="G2334" s="270">
        <v>100080014</v>
      </c>
      <c r="H2334" s="270"/>
    </row>
    <row r="2335" spans="1:8" x14ac:dyDescent="0.25">
      <c r="A2335" s="257">
        <v>2339</v>
      </c>
      <c r="B2335" s="267">
        <v>2334</v>
      </c>
      <c r="C2335" s="268" t="s">
        <v>2604</v>
      </c>
      <c r="D2335" s="269">
        <v>42283</v>
      </c>
      <c r="E2335" s="270" t="s">
        <v>2866</v>
      </c>
      <c r="F2335" s="384">
        <v>160000</v>
      </c>
      <c r="G2335" s="270">
        <v>100080014</v>
      </c>
      <c r="H2335" s="270"/>
    </row>
    <row r="2336" spans="1:8" x14ac:dyDescent="0.25">
      <c r="A2336" s="257">
        <v>2340</v>
      </c>
      <c r="B2336" s="267">
        <v>2335</v>
      </c>
      <c r="C2336" s="268" t="s">
        <v>137</v>
      </c>
      <c r="D2336" s="269">
        <v>42283</v>
      </c>
      <c r="E2336" s="270" t="s">
        <v>405</v>
      </c>
      <c r="F2336" s="384">
        <v>165000</v>
      </c>
      <c r="G2336" s="270">
        <v>190778354</v>
      </c>
      <c r="H2336" s="270"/>
    </row>
    <row r="2337" spans="1:8" x14ac:dyDescent="0.25">
      <c r="A2337" s="257">
        <v>2341</v>
      </c>
      <c r="B2337" s="267">
        <v>2336</v>
      </c>
      <c r="C2337" s="268" t="s">
        <v>1918</v>
      </c>
      <c r="D2337" s="269">
        <v>42283</v>
      </c>
      <c r="E2337" s="270" t="s">
        <v>1607</v>
      </c>
      <c r="F2337" s="384">
        <v>435000</v>
      </c>
      <c r="G2337" s="270">
        <v>690643672</v>
      </c>
      <c r="H2337" s="270"/>
    </row>
    <row r="2338" spans="1:8" x14ac:dyDescent="0.25">
      <c r="A2338" s="257">
        <v>2342</v>
      </c>
      <c r="B2338" s="267">
        <v>2337</v>
      </c>
      <c r="C2338" s="268" t="s">
        <v>137</v>
      </c>
      <c r="D2338" s="269">
        <v>42283</v>
      </c>
      <c r="E2338" s="270" t="s">
        <v>405</v>
      </c>
      <c r="F2338" s="384">
        <v>198000</v>
      </c>
      <c r="G2338" s="270">
        <v>190778354</v>
      </c>
      <c r="H2338" s="270"/>
    </row>
    <row r="2339" spans="1:8" x14ac:dyDescent="0.25">
      <c r="A2339" s="257">
        <v>2343</v>
      </c>
      <c r="B2339" s="267">
        <v>2338</v>
      </c>
      <c r="C2339" s="268" t="s">
        <v>67</v>
      </c>
      <c r="D2339" s="269">
        <v>42283</v>
      </c>
      <c r="E2339" s="270" t="s">
        <v>914</v>
      </c>
      <c r="F2339" s="384">
        <v>63000</v>
      </c>
      <c r="G2339" s="270">
        <v>190114911</v>
      </c>
      <c r="H2339" s="270"/>
    </row>
    <row r="2340" spans="1:8" x14ac:dyDescent="0.25">
      <c r="A2340" s="257">
        <v>2344</v>
      </c>
      <c r="B2340" s="267">
        <v>2339</v>
      </c>
      <c r="C2340" s="268" t="s">
        <v>2604</v>
      </c>
      <c r="D2340" s="269">
        <v>42283</v>
      </c>
      <c r="E2340" s="270" t="s">
        <v>2866</v>
      </c>
      <c r="F2340" s="384">
        <v>170000</v>
      </c>
      <c r="G2340" s="270">
        <v>100080014</v>
      </c>
      <c r="H2340" s="270"/>
    </row>
    <row r="2341" spans="1:8" x14ac:dyDescent="0.25">
      <c r="A2341" s="257">
        <v>2345</v>
      </c>
      <c r="B2341" s="267">
        <v>2340</v>
      </c>
      <c r="C2341" s="268" t="s">
        <v>3520</v>
      </c>
      <c r="D2341" s="269">
        <v>42283</v>
      </c>
      <c r="E2341" s="270" t="s">
        <v>911</v>
      </c>
      <c r="F2341" s="384">
        <v>560000</v>
      </c>
      <c r="G2341" s="270">
        <v>191224163</v>
      </c>
      <c r="H2341" s="270"/>
    </row>
    <row r="2342" spans="1:8" x14ac:dyDescent="0.25">
      <c r="A2342" s="257">
        <v>2346</v>
      </c>
      <c r="B2342" s="267">
        <v>2341</v>
      </c>
      <c r="C2342" s="268" t="s">
        <v>1802</v>
      </c>
      <c r="D2342" s="269">
        <v>42283</v>
      </c>
      <c r="E2342" s="270" t="s">
        <v>158</v>
      </c>
      <c r="F2342" s="384">
        <v>435000</v>
      </c>
      <c r="G2342" s="270">
        <v>191357390</v>
      </c>
      <c r="H2342" s="270"/>
    </row>
    <row r="2343" spans="1:8" x14ac:dyDescent="0.25">
      <c r="A2343" s="257">
        <v>2347</v>
      </c>
      <c r="B2343" s="267">
        <v>2342</v>
      </c>
      <c r="C2343" s="268" t="s">
        <v>427</v>
      </c>
      <c r="D2343" s="269">
        <v>42283</v>
      </c>
      <c r="E2343" s="270" t="s">
        <v>2747</v>
      </c>
      <c r="F2343" s="384">
        <v>155000</v>
      </c>
      <c r="G2343" s="270">
        <v>191269969.37890899</v>
      </c>
      <c r="H2343" s="270"/>
    </row>
    <row r="2344" spans="1:8" x14ac:dyDescent="0.25">
      <c r="A2344" s="257">
        <v>2348</v>
      </c>
      <c r="B2344" s="267">
        <v>2343</v>
      </c>
      <c r="C2344" s="268" t="s">
        <v>1639</v>
      </c>
      <c r="D2344" s="269">
        <v>42283</v>
      </c>
      <c r="E2344" s="270" t="s">
        <v>3850</v>
      </c>
      <c r="F2344" s="384">
        <v>198000</v>
      </c>
      <c r="G2344" s="270">
        <v>800011635</v>
      </c>
      <c r="H2344" s="270"/>
    </row>
    <row r="2345" spans="1:8" x14ac:dyDescent="0.25">
      <c r="A2345" s="257">
        <v>2349</v>
      </c>
      <c r="B2345" s="267">
        <v>2344</v>
      </c>
      <c r="C2345" s="268" t="s">
        <v>1918</v>
      </c>
      <c r="D2345" s="269">
        <v>42283</v>
      </c>
      <c r="E2345" s="270" t="s">
        <v>1607</v>
      </c>
      <c r="F2345" s="384">
        <v>63000</v>
      </c>
      <c r="G2345" s="270">
        <v>690643672</v>
      </c>
      <c r="H2345" s="270"/>
    </row>
    <row r="2346" spans="1:8" x14ac:dyDescent="0.25">
      <c r="A2346" s="257">
        <v>2350</v>
      </c>
      <c r="B2346" s="267">
        <v>2345</v>
      </c>
      <c r="C2346" s="268" t="s">
        <v>190</v>
      </c>
      <c r="D2346" s="269">
        <v>42286</v>
      </c>
      <c r="E2346" s="270" t="s">
        <v>188</v>
      </c>
      <c r="F2346" s="384">
        <v>240000</v>
      </c>
      <c r="G2346" s="270">
        <v>190270596</v>
      </c>
      <c r="H2346" s="270"/>
    </row>
    <row r="2347" spans="1:8" x14ac:dyDescent="0.25">
      <c r="A2347" s="257">
        <v>2351</v>
      </c>
      <c r="B2347" s="267">
        <v>2346</v>
      </c>
      <c r="C2347" s="268" t="s">
        <v>494</v>
      </c>
      <c r="D2347" s="269">
        <v>42286</v>
      </c>
      <c r="E2347" s="270" t="s">
        <v>339</v>
      </c>
      <c r="F2347" s="384">
        <v>155000</v>
      </c>
      <c r="G2347" s="270">
        <v>690629013</v>
      </c>
      <c r="H2347" s="270"/>
    </row>
    <row r="2348" spans="1:8" x14ac:dyDescent="0.25">
      <c r="A2348" s="257">
        <v>2352</v>
      </c>
      <c r="B2348" s="267">
        <v>2347</v>
      </c>
      <c r="C2348" s="268" t="s">
        <v>414</v>
      </c>
      <c r="D2348" s="269">
        <v>42286</v>
      </c>
      <c r="E2348" s="270" t="s">
        <v>3629</v>
      </c>
      <c r="F2348" s="384">
        <v>36000</v>
      </c>
      <c r="G2348" s="270">
        <v>100286955</v>
      </c>
      <c r="H2348" s="270"/>
    </row>
    <row r="2349" spans="1:8" x14ac:dyDescent="0.25">
      <c r="A2349" s="257">
        <v>2353</v>
      </c>
      <c r="B2349" s="267">
        <v>2348</v>
      </c>
      <c r="C2349" s="268" t="s">
        <v>414</v>
      </c>
      <c r="D2349" s="269">
        <v>42286</v>
      </c>
      <c r="E2349" s="270" t="s">
        <v>3629</v>
      </c>
      <c r="F2349" s="384">
        <v>125000</v>
      </c>
      <c r="G2349" s="270">
        <v>100286955</v>
      </c>
      <c r="H2349" s="270"/>
    </row>
    <row r="2350" spans="1:8" x14ac:dyDescent="0.25">
      <c r="A2350" s="257">
        <v>2354</v>
      </c>
      <c r="B2350" s="267">
        <v>2349</v>
      </c>
      <c r="C2350" s="268" t="s">
        <v>1836</v>
      </c>
      <c r="D2350" s="269">
        <v>42286</v>
      </c>
      <c r="E2350" s="270" t="s">
        <v>2624</v>
      </c>
      <c r="F2350" s="384">
        <v>1046000</v>
      </c>
      <c r="G2350" s="270">
        <v>600004086</v>
      </c>
      <c r="H2350" s="270"/>
    </row>
    <row r="2351" spans="1:8" x14ac:dyDescent="0.25">
      <c r="A2351" s="257">
        <v>2355</v>
      </c>
      <c r="B2351" s="267">
        <v>2350</v>
      </c>
      <c r="C2351" s="268" t="s">
        <v>2829</v>
      </c>
      <c r="D2351" s="269">
        <v>42286</v>
      </c>
      <c r="E2351" s="270" t="s">
        <v>70</v>
      </c>
      <c r="F2351" s="384">
        <v>10100000</v>
      </c>
      <c r="G2351" s="270">
        <v>600048566</v>
      </c>
      <c r="H2351" s="270"/>
    </row>
    <row r="2352" spans="1:8" x14ac:dyDescent="0.25">
      <c r="A2352" s="257">
        <v>2356</v>
      </c>
      <c r="B2352" s="267">
        <v>2351</v>
      </c>
      <c r="C2352" s="268" t="s">
        <v>257</v>
      </c>
      <c r="D2352" s="269">
        <v>42287</v>
      </c>
      <c r="E2352" s="270" t="s">
        <v>938</v>
      </c>
      <c r="F2352" s="384">
        <v>67000</v>
      </c>
      <c r="G2352" s="270">
        <v>100429530</v>
      </c>
      <c r="H2352" s="270"/>
    </row>
    <row r="2353" spans="1:8" x14ac:dyDescent="0.25">
      <c r="A2353" s="257">
        <v>2357</v>
      </c>
      <c r="B2353" s="267">
        <v>2352</v>
      </c>
      <c r="C2353" s="268" t="s">
        <v>414</v>
      </c>
      <c r="D2353" s="269">
        <v>42287</v>
      </c>
      <c r="E2353" s="270" t="s">
        <v>3629</v>
      </c>
      <c r="F2353" s="384">
        <v>224000</v>
      </c>
      <c r="G2353" s="270">
        <v>100286955</v>
      </c>
      <c r="H2353" s="270"/>
    </row>
    <row r="2354" spans="1:8" x14ac:dyDescent="0.25">
      <c r="A2354" s="257">
        <v>2358</v>
      </c>
      <c r="B2354" s="267">
        <v>2353</v>
      </c>
      <c r="C2354" s="268" t="s">
        <v>2828</v>
      </c>
      <c r="D2354" s="269">
        <v>42290</v>
      </c>
      <c r="E2354" s="270" t="s">
        <v>892</v>
      </c>
      <c r="F2354" s="384">
        <v>155000</v>
      </c>
      <c r="G2354" s="270">
        <v>100390954</v>
      </c>
      <c r="H2354" s="270"/>
    </row>
    <row r="2355" spans="1:8" x14ac:dyDescent="0.25">
      <c r="A2355" s="257">
        <v>2359</v>
      </c>
      <c r="B2355" s="267">
        <v>2354</v>
      </c>
      <c r="C2355" s="268" t="s">
        <v>3660</v>
      </c>
      <c r="D2355" s="269">
        <v>42290</v>
      </c>
      <c r="E2355" s="270" t="s">
        <v>156</v>
      </c>
      <c r="F2355" s="384">
        <v>435000</v>
      </c>
      <c r="G2355" s="270">
        <v>690559664</v>
      </c>
      <c r="H2355" s="270"/>
    </row>
    <row r="2356" spans="1:8" x14ac:dyDescent="0.25">
      <c r="A2356" s="257">
        <v>2360</v>
      </c>
      <c r="B2356" s="267">
        <v>2355</v>
      </c>
      <c r="C2356" s="268" t="s">
        <v>179</v>
      </c>
      <c r="D2356" s="269">
        <v>42290</v>
      </c>
      <c r="E2356" s="270" t="s">
        <v>3861</v>
      </c>
      <c r="F2356" s="384">
        <v>67000</v>
      </c>
      <c r="G2356" s="270">
        <v>190474061</v>
      </c>
      <c r="H2356" s="270"/>
    </row>
    <row r="2357" spans="1:8" x14ac:dyDescent="0.25">
      <c r="A2357" s="257">
        <v>2361</v>
      </c>
      <c r="B2357" s="267">
        <v>2356</v>
      </c>
      <c r="C2357" s="268" t="s">
        <v>3757</v>
      </c>
      <c r="D2357" s="269">
        <v>42290</v>
      </c>
      <c r="E2357" s="270" t="s">
        <v>235</v>
      </c>
      <c r="F2357" s="384">
        <v>280000</v>
      </c>
      <c r="G2357" s="270">
        <v>190080211</v>
      </c>
      <c r="H2357" s="270"/>
    </row>
    <row r="2358" spans="1:8" x14ac:dyDescent="0.25">
      <c r="A2358" s="257">
        <v>2362</v>
      </c>
      <c r="B2358" s="267">
        <v>2357</v>
      </c>
      <c r="C2358" s="268" t="s">
        <v>684</v>
      </c>
      <c r="D2358" s="269">
        <v>42291</v>
      </c>
      <c r="E2358" s="270" t="s">
        <v>1107</v>
      </c>
      <c r="F2358" s="384">
        <v>435000</v>
      </c>
      <c r="G2358" s="270">
        <v>190834982</v>
      </c>
      <c r="H2358" s="270"/>
    </row>
    <row r="2359" spans="1:8" x14ac:dyDescent="0.25">
      <c r="A2359" s="257">
        <v>2363</v>
      </c>
      <c r="B2359" s="267">
        <v>2358</v>
      </c>
      <c r="C2359" s="268" t="s">
        <v>870</v>
      </c>
      <c r="D2359" s="269">
        <v>42291</v>
      </c>
      <c r="E2359" s="270" t="s">
        <v>428</v>
      </c>
      <c r="F2359" s="384">
        <v>94000</v>
      </c>
      <c r="G2359" s="270">
        <v>100783448</v>
      </c>
      <c r="H2359" s="270"/>
    </row>
    <row r="2360" spans="1:8" x14ac:dyDescent="0.25">
      <c r="A2360" s="257">
        <v>2364</v>
      </c>
      <c r="B2360" s="267">
        <v>2359</v>
      </c>
      <c r="C2360" s="268" t="s">
        <v>1784</v>
      </c>
      <c r="D2360" s="269">
        <v>42291</v>
      </c>
      <c r="E2360" s="270" t="s">
        <v>739</v>
      </c>
      <c r="F2360" s="384">
        <v>435000</v>
      </c>
      <c r="G2360" s="270">
        <v>190345942</v>
      </c>
      <c r="H2360" s="270"/>
    </row>
    <row r="2361" spans="1:8" x14ac:dyDescent="0.25">
      <c r="A2361" s="257">
        <v>2365</v>
      </c>
      <c r="B2361" s="267">
        <v>2360</v>
      </c>
      <c r="C2361" s="268" t="s">
        <v>2716</v>
      </c>
      <c r="D2361" s="269">
        <v>42291</v>
      </c>
      <c r="E2361" s="270" t="s">
        <v>2760</v>
      </c>
      <c r="F2361" s="384">
        <v>435000</v>
      </c>
      <c r="G2361" s="270">
        <v>100801936</v>
      </c>
      <c r="H2361" s="270"/>
    </row>
    <row r="2362" spans="1:8" x14ac:dyDescent="0.25">
      <c r="A2362" s="257">
        <v>2366</v>
      </c>
      <c r="B2362" s="267">
        <v>2361</v>
      </c>
      <c r="C2362" s="268" t="s">
        <v>3763</v>
      </c>
      <c r="D2362" s="269">
        <v>42291</v>
      </c>
      <c r="E2362" s="270" t="s">
        <v>229</v>
      </c>
      <c r="F2362" s="384">
        <v>358000</v>
      </c>
      <c r="G2362" s="270">
        <v>600449934</v>
      </c>
      <c r="H2362" s="270"/>
    </row>
    <row r="2363" spans="1:8" x14ac:dyDescent="0.25">
      <c r="A2363" s="257">
        <v>2367</v>
      </c>
      <c r="B2363" s="267">
        <v>2362</v>
      </c>
      <c r="C2363" s="268" t="s">
        <v>684</v>
      </c>
      <c r="D2363" s="269">
        <v>42291</v>
      </c>
      <c r="E2363" s="270" t="s">
        <v>1107</v>
      </c>
      <c r="F2363" s="384">
        <v>161000</v>
      </c>
      <c r="G2363" s="270">
        <v>190834982</v>
      </c>
      <c r="H2363" s="270"/>
    </row>
    <row r="2364" spans="1:8" x14ac:dyDescent="0.25">
      <c r="A2364" s="257">
        <v>2368</v>
      </c>
      <c r="B2364" s="267">
        <v>2363</v>
      </c>
      <c r="C2364" s="268" t="s">
        <v>4195</v>
      </c>
      <c r="D2364" s="269">
        <v>42291</v>
      </c>
      <c r="E2364" s="270" t="s">
        <v>3588</v>
      </c>
      <c r="F2364" s="384">
        <v>30000</v>
      </c>
      <c r="G2364" s="270">
        <v>691367019</v>
      </c>
      <c r="H2364" s="270"/>
    </row>
    <row r="2365" spans="1:8" x14ac:dyDescent="0.25">
      <c r="A2365" s="257">
        <v>2369</v>
      </c>
      <c r="B2365" s="267">
        <v>2364</v>
      </c>
      <c r="C2365" s="268" t="s">
        <v>2602</v>
      </c>
      <c r="D2365" s="269">
        <v>42291</v>
      </c>
      <c r="E2365" s="270" t="s">
        <v>3321</v>
      </c>
      <c r="F2365" s="384">
        <v>435000</v>
      </c>
      <c r="G2365" s="270">
        <v>490492602</v>
      </c>
      <c r="H2365" s="270"/>
    </row>
    <row r="2366" spans="1:8" x14ac:dyDescent="0.25">
      <c r="A2366" s="257">
        <v>2370</v>
      </c>
      <c r="B2366" s="267">
        <v>2365</v>
      </c>
      <c r="C2366" s="268" t="s">
        <v>2714</v>
      </c>
      <c r="D2366" s="269">
        <v>42291</v>
      </c>
      <c r="E2366" s="270" t="s">
        <v>3228</v>
      </c>
      <c r="F2366" s="384">
        <v>3045000</v>
      </c>
      <c r="G2366" s="270">
        <v>100025653</v>
      </c>
      <c r="H2366" s="270"/>
    </row>
    <row r="2367" spans="1:8" x14ac:dyDescent="0.25">
      <c r="A2367" s="257">
        <v>2371</v>
      </c>
      <c r="B2367" s="267">
        <v>2366</v>
      </c>
      <c r="C2367" s="268" t="s">
        <v>489</v>
      </c>
      <c r="D2367" s="269">
        <v>42291</v>
      </c>
      <c r="E2367" s="270" t="s">
        <v>460</v>
      </c>
      <c r="F2367" s="384">
        <v>435000</v>
      </c>
      <c r="G2367" s="270">
        <v>691509251</v>
      </c>
      <c r="H2367" s="270"/>
    </row>
    <row r="2368" spans="1:8" x14ac:dyDescent="0.25">
      <c r="A2368" s="257">
        <v>2372</v>
      </c>
      <c r="B2368" s="267">
        <v>2367</v>
      </c>
      <c r="C2368" s="268" t="s">
        <v>3098</v>
      </c>
      <c r="D2368" s="269">
        <v>42295</v>
      </c>
      <c r="E2368" s="270" t="s">
        <v>3770</v>
      </c>
      <c r="F2368" s="384">
        <v>67000</v>
      </c>
      <c r="G2368" s="270">
        <v>191500265</v>
      </c>
      <c r="H2368" s="270"/>
    </row>
    <row r="2369" spans="1:8" x14ac:dyDescent="0.25">
      <c r="A2369" s="257">
        <v>2373</v>
      </c>
      <c r="B2369" s="267">
        <v>2368</v>
      </c>
      <c r="C2369" s="268" t="s">
        <v>199</v>
      </c>
      <c r="D2369" s="269">
        <v>42298</v>
      </c>
      <c r="E2369" s="270" t="s">
        <v>2826</v>
      </c>
      <c r="F2369" s="384">
        <v>520000</v>
      </c>
      <c r="G2369" s="270">
        <v>101117856</v>
      </c>
      <c r="H2369" s="270"/>
    </row>
    <row r="2370" spans="1:8" x14ac:dyDescent="0.25">
      <c r="A2370" s="257">
        <v>2374</v>
      </c>
      <c r="B2370" s="267">
        <v>2369</v>
      </c>
      <c r="C2370" s="268" t="s">
        <v>3501</v>
      </c>
      <c r="D2370" s="269">
        <v>42298</v>
      </c>
      <c r="E2370" s="270" t="s">
        <v>2411</v>
      </c>
      <c r="F2370" s="384">
        <v>63000</v>
      </c>
      <c r="G2370" s="270">
        <v>100349860</v>
      </c>
      <c r="H2370" s="270"/>
    </row>
    <row r="2371" spans="1:8" x14ac:dyDescent="0.25">
      <c r="A2371" s="257">
        <v>2375</v>
      </c>
      <c r="B2371" s="267">
        <v>2370</v>
      </c>
      <c r="C2371" s="268" t="s">
        <v>2864</v>
      </c>
      <c r="D2371" s="269">
        <v>42298</v>
      </c>
      <c r="E2371" s="270" t="s">
        <v>2456</v>
      </c>
      <c r="F2371" s="384">
        <v>67000</v>
      </c>
      <c r="G2371" s="270">
        <v>100039768</v>
      </c>
      <c r="H2371" s="270"/>
    </row>
    <row r="2372" spans="1:8" x14ac:dyDescent="0.25">
      <c r="A2372" s="257">
        <v>2376</v>
      </c>
      <c r="B2372" s="267">
        <v>2371</v>
      </c>
      <c r="C2372" s="268" t="s">
        <v>1658</v>
      </c>
      <c r="D2372" s="269">
        <v>42298</v>
      </c>
      <c r="E2372" s="270" t="s">
        <v>825</v>
      </c>
      <c r="F2372" s="384">
        <v>435000</v>
      </c>
      <c r="G2372" s="270">
        <v>100951254</v>
      </c>
      <c r="H2372" s="270"/>
    </row>
    <row r="2373" spans="1:8" x14ac:dyDescent="0.25">
      <c r="A2373" s="257">
        <v>2377</v>
      </c>
      <c r="B2373" s="267">
        <v>2372</v>
      </c>
      <c r="C2373" s="268" t="s">
        <v>680</v>
      </c>
      <c r="D2373" s="269">
        <v>42298</v>
      </c>
      <c r="E2373" s="270" t="s">
        <v>3598</v>
      </c>
      <c r="F2373" s="384">
        <v>280000</v>
      </c>
      <c r="G2373" s="270">
        <v>190221603</v>
      </c>
      <c r="H2373" s="270"/>
    </row>
    <row r="2374" spans="1:8" x14ac:dyDescent="0.25">
      <c r="A2374" s="257">
        <v>2378</v>
      </c>
      <c r="B2374" s="267">
        <v>2373</v>
      </c>
      <c r="C2374" s="268" t="s">
        <v>3856</v>
      </c>
      <c r="D2374" s="269">
        <v>42298</v>
      </c>
      <c r="E2374" s="270" t="s">
        <v>1668</v>
      </c>
      <c r="F2374" s="384">
        <v>198000</v>
      </c>
      <c r="G2374" s="270">
        <v>600049639</v>
      </c>
      <c r="H2374" s="270"/>
    </row>
    <row r="2375" spans="1:8" x14ac:dyDescent="0.25">
      <c r="A2375" s="257">
        <v>2379</v>
      </c>
      <c r="B2375" s="267">
        <v>2374</v>
      </c>
      <c r="C2375" s="268" t="s">
        <v>4201</v>
      </c>
      <c r="D2375" s="269">
        <v>42298</v>
      </c>
      <c r="E2375" s="270" t="s">
        <v>349</v>
      </c>
      <c r="F2375" s="384">
        <v>280000</v>
      </c>
      <c r="G2375" s="270">
        <v>690604750</v>
      </c>
      <c r="H2375" s="270"/>
    </row>
    <row r="2376" spans="1:8" x14ac:dyDescent="0.25">
      <c r="A2376" s="257">
        <v>2380</v>
      </c>
      <c r="B2376" s="267">
        <v>2375</v>
      </c>
      <c r="C2376" s="268" t="s">
        <v>190</v>
      </c>
      <c r="D2376" s="269">
        <v>42298</v>
      </c>
      <c r="E2376" s="270" t="s">
        <v>188</v>
      </c>
      <c r="F2376" s="384">
        <v>280000</v>
      </c>
      <c r="G2376" s="270">
        <v>190270596</v>
      </c>
      <c r="H2376" s="270"/>
    </row>
    <row r="2377" spans="1:8" x14ac:dyDescent="0.25">
      <c r="A2377" s="257">
        <v>2381</v>
      </c>
      <c r="B2377" s="267">
        <v>2376</v>
      </c>
      <c r="C2377" s="268" t="s">
        <v>1786</v>
      </c>
      <c r="D2377" s="269">
        <v>42298</v>
      </c>
      <c r="E2377" s="270" t="s">
        <v>2401</v>
      </c>
      <c r="F2377" s="384">
        <v>157000</v>
      </c>
      <c r="G2377" s="270">
        <v>691509251</v>
      </c>
      <c r="H2377" s="270"/>
    </row>
    <row r="2378" spans="1:8" x14ac:dyDescent="0.25">
      <c r="A2378" s="257">
        <v>2382</v>
      </c>
      <c r="B2378" s="267">
        <v>2377</v>
      </c>
      <c r="C2378" s="268" t="s">
        <v>4201</v>
      </c>
      <c r="D2378" s="269">
        <v>42298</v>
      </c>
      <c r="E2378" s="270" t="s">
        <v>349</v>
      </c>
      <c r="F2378" s="384">
        <v>31000</v>
      </c>
      <c r="G2378" s="270">
        <v>690604750</v>
      </c>
      <c r="H2378" s="270"/>
    </row>
    <row r="2379" spans="1:8" x14ac:dyDescent="0.25">
      <c r="A2379" s="257">
        <v>2383</v>
      </c>
      <c r="B2379" s="267">
        <v>2378</v>
      </c>
      <c r="C2379" s="268" t="s">
        <v>3612</v>
      </c>
      <c r="D2379" s="269">
        <v>42299</v>
      </c>
      <c r="E2379" s="270" t="s">
        <v>2710</v>
      </c>
      <c r="F2379" s="384">
        <v>198000</v>
      </c>
      <c r="G2379" s="270">
        <v>690643552</v>
      </c>
      <c r="H2379" s="270"/>
    </row>
    <row r="2380" spans="1:8" x14ac:dyDescent="0.25">
      <c r="A2380" s="257">
        <v>2384</v>
      </c>
      <c r="B2380" s="267">
        <v>2379</v>
      </c>
      <c r="C2380" s="268" t="s">
        <v>3866</v>
      </c>
      <c r="D2380" s="269">
        <v>42299</v>
      </c>
      <c r="E2380" s="270" t="s">
        <v>1939</v>
      </c>
      <c r="F2380" s="384">
        <v>198000</v>
      </c>
      <c r="G2380" s="270">
        <v>691458394</v>
      </c>
      <c r="H2380" s="270"/>
    </row>
    <row r="2381" spans="1:8" x14ac:dyDescent="0.25">
      <c r="A2381" s="257">
        <v>2385</v>
      </c>
      <c r="B2381" s="267">
        <v>2380</v>
      </c>
      <c r="C2381" s="268" t="s">
        <v>2036</v>
      </c>
      <c r="D2381" s="269">
        <v>42299</v>
      </c>
      <c r="E2381" s="270" t="s">
        <v>3594</v>
      </c>
      <c r="F2381" s="384">
        <v>435000</v>
      </c>
      <c r="G2381" s="270">
        <v>190882802</v>
      </c>
      <c r="H2381" s="270"/>
    </row>
    <row r="2382" spans="1:8" x14ac:dyDescent="0.25">
      <c r="A2382" s="257">
        <v>2386</v>
      </c>
      <c r="B2382" s="267">
        <v>2381</v>
      </c>
      <c r="C2382" s="268" t="s">
        <v>680</v>
      </c>
      <c r="D2382" s="269">
        <v>42299</v>
      </c>
      <c r="E2382" s="270" t="s">
        <v>3598</v>
      </c>
      <c r="F2382" s="384">
        <v>99000</v>
      </c>
      <c r="G2382" s="270">
        <v>190221603</v>
      </c>
      <c r="H2382" s="270"/>
    </row>
    <row r="2383" spans="1:8" x14ac:dyDescent="0.25">
      <c r="A2383" s="257">
        <v>2387</v>
      </c>
      <c r="B2383" s="267">
        <v>2382</v>
      </c>
      <c r="C2383" s="268" t="s">
        <v>1049</v>
      </c>
      <c r="D2383" s="269">
        <v>42299</v>
      </c>
      <c r="E2383" s="270" t="s">
        <v>329</v>
      </c>
      <c r="F2383" s="384">
        <v>67000</v>
      </c>
      <c r="G2383" s="270">
        <v>190800080</v>
      </c>
      <c r="H2383" s="270"/>
    </row>
    <row r="2384" spans="1:8" x14ac:dyDescent="0.25">
      <c r="A2384" s="257">
        <v>2388</v>
      </c>
      <c r="B2384" s="267">
        <v>2383</v>
      </c>
      <c r="C2384" s="268" t="s">
        <v>3757</v>
      </c>
      <c r="D2384" s="269">
        <v>42299</v>
      </c>
      <c r="E2384" s="270" t="s">
        <v>235</v>
      </c>
      <c r="F2384" s="384">
        <v>280000</v>
      </c>
      <c r="G2384" s="270">
        <v>190080211</v>
      </c>
      <c r="H2384" s="270"/>
    </row>
    <row r="2385" spans="1:8" x14ac:dyDescent="0.25">
      <c r="A2385" s="257">
        <v>2389</v>
      </c>
      <c r="B2385" s="267">
        <v>2384</v>
      </c>
      <c r="C2385" s="268" t="s">
        <v>1658</v>
      </c>
      <c r="D2385" s="269">
        <v>42299</v>
      </c>
      <c r="E2385" s="270" t="s">
        <v>825</v>
      </c>
      <c r="F2385" s="384">
        <v>210000</v>
      </c>
      <c r="G2385" s="270">
        <v>100951254</v>
      </c>
      <c r="H2385" s="270"/>
    </row>
    <row r="2386" spans="1:8" x14ac:dyDescent="0.25">
      <c r="A2386" s="257">
        <v>2390</v>
      </c>
      <c r="B2386" s="267">
        <v>2385</v>
      </c>
      <c r="C2386" s="268" t="s">
        <v>4188</v>
      </c>
      <c r="D2386" s="269">
        <v>42300</v>
      </c>
      <c r="E2386" s="270" t="s">
        <v>815</v>
      </c>
      <c r="F2386" s="384">
        <v>99000</v>
      </c>
      <c r="G2386" s="270">
        <v>100115154</v>
      </c>
      <c r="H2386" s="270"/>
    </row>
    <row r="2387" spans="1:8" x14ac:dyDescent="0.25">
      <c r="A2387" s="257">
        <v>2391</v>
      </c>
      <c r="B2387" s="267">
        <v>2386</v>
      </c>
      <c r="C2387" s="268" t="s">
        <v>3757</v>
      </c>
      <c r="D2387" s="269">
        <v>42300</v>
      </c>
      <c r="E2387" s="270" t="s">
        <v>235</v>
      </c>
      <c r="F2387" s="384">
        <v>67000</v>
      </c>
      <c r="G2387" s="270">
        <v>190080211</v>
      </c>
      <c r="H2387" s="270"/>
    </row>
    <row r="2388" spans="1:8" x14ac:dyDescent="0.25">
      <c r="A2388" s="257">
        <v>2392</v>
      </c>
      <c r="B2388" s="267">
        <v>2387</v>
      </c>
      <c r="C2388" s="268" t="s">
        <v>2143</v>
      </c>
      <c r="D2388" s="269">
        <v>42301</v>
      </c>
      <c r="E2388" s="270" t="s">
        <v>1927</v>
      </c>
      <c r="F2388" s="384">
        <v>156000</v>
      </c>
      <c r="G2388" s="270">
        <v>190032958</v>
      </c>
      <c r="H2388" s="270"/>
    </row>
    <row r="2389" spans="1:8" x14ac:dyDescent="0.25">
      <c r="A2389" s="257">
        <v>2393</v>
      </c>
      <c r="B2389" s="267">
        <v>2388</v>
      </c>
      <c r="C2389" s="268" t="s">
        <v>3253</v>
      </c>
      <c r="D2389" s="269">
        <v>42301</v>
      </c>
      <c r="E2389" s="270" t="s">
        <v>3631</v>
      </c>
      <c r="F2389" s="384">
        <v>280000</v>
      </c>
      <c r="G2389" s="270">
        <v>691380883</v>
      </c>
      <c r="H2389" s="270"/>
    </row>
    <row r="2390" spans="1:8" x14ac:dyDescent="0.25">
      <c r="A2390" s="257">
        <v>2394</v>
      </c>
      <c r="B2390" s="267">
        <v>2389</v>
      </c>
      <c r="C2390" s="268" t="s">
        <v>2143</v>
      </c>
      <c r="D2390" s="269">
        <v>42301</v>
      </c>
      <c r="E2390" s="270" t="s">
        <v>1927</v>
      </c>
      <c r="F2390" s="384">
        <v>31000</v>
      </c>
      <c r="G2390" s="270">
        <v>190032958</v>
      </c>
      <c r="H2390" s="270"/>
    </row>
    <row r="2391" spans="1:8" x14ac:dyDescent="0.25">
      <c r="A2391" s="257">
        <v>2395</v>
      </c>
      <c r="B2391" s="267">
        <v>2390</v>
      </c>
      <c r="C2391" s="268" t="s">
        <v>680</v>
      </c>
      <c r="D2391" s="269">
        <v>42301</v>
      </c>
      <c r="E2391" s="270" t="s">
        <v>3598</v>
      </c>
      <c r="F2391" s="384">
        <v>99000</v>
      </c>
      <c r="G2391" s="270">
        <v>190221603</v>
      </c>
      <c r="H2391" s="270"/>
    </row>
    <row r="2392" spans="1:8" x14ac:dyDescent="0.25">
      <c r="A2392" s="257">
        <v>2396</v>
      </c>
      <c r="B2392" s="267">
        <v>2391</v>
      </c>
      <c r="C2392" s="268" t="s">
        <v>199</v>
      </c>
      <c r="D2392" s="269">
        <v>42301</v>
      </c>
      <c r="E2392" s="270" t="s">
        <v>2826</v>
      </c>
      <c r="F2392" s="384">
        <v>130000</v>
      </c>
      <c r="G2392" s="270">
        <v>101117856</v>
      </c>
      <c r="H2392" s="270"/>
    </row>
    <row r="2393" spans="1:8" x14ac:dyDescent="0.25">
      <c r="A2393" s="257">
        <v>2397</v>
      </c>
      <c r="B2393" s="267">
        <v>2392</v>
      </c>
      <c r="C2393" s="268" t="s">
        <v>3102</v>
      </c>
      <c r="D2393" s="269">
        <v>42303</v>
      </c>
      <c r="E2393" s="270" t="s">
        <v>2825</v>
      </c>
      <c r="F2393" s="384">
        <v>198000</v>
      </c>
      <c r="G2393" s="270">
        <v>500011238</v>
      </c>
      <c r="H2393" s="270"/>
    </row>
    <row r="2394" spans="1:8" x14ac:dyDescent="0.25">
      <c r="A2394" s="257">
        <v>2398</v>
      </c>
      <c r="B2394" s="267">
        <v>2393</v>
      </c>
      <c r="C2394" s="268" t="s">
        <v>1834</v>
      </c>
      <c r="D2394" s="269">
        <v>42303</v>
      </c>
      <c r="E2394" s="270" t="s">
        <v>453</v>
      </c>
      <c r="F2394" s="384">
        <v>280000</v>
      </c>
      <c r="G2394" s="270">
        <v>6915330341</v>
      </c>
      <c r="H2394" s="270"/>
    </row>
    <row r="2395" spans="1:8" x14ac:dyDescent="0.25">
      <c r="A2395" s="257">
        <v>2399</v>
      </c>
      <c r="B2395" s="267">
        <v>2394</v>
      </c>
      <c r="C2395" s="268" t="s">
        <v>2714</v>
      </c>
      <c r="D2395" s="269">
        <v>42303</v>
      </c>
      <c r="E2395" s="270" t="s">
        <v>891</v>
      </c>
      <c r="F2395" s="384">
        <v>36000</v>
      </c>
      <c r="G2395" s="270">
        <v>190304936</v>
      </c>
      <c r="H2395" s="270"/>
    </row>
    <row r="2396" spans="1:8" x14ac:dyDescent="0.25">
      <c r="A2396" s="257">
        <v>2400</v>
      </c>
      <c r="B2396" s="267">
        <v>2395</v>
      </c>
      <c r="C2396" s="268" t="s">
        <v>2143</v>
      </c>
      <c r="D2396" s="269">
        <v>42303</v>
      </c>
      <c r="E2396" s="270" t="s">
        <v>1927</v>
      </c>
      <c r="F2396" s="384">
        <v>63000</v>
      </c>
      <c r="G2396" s="270">
        <v>190032958</v>
      </c>
      <c r="H2396" s="270"/>
    </row>
    <row r="2397" spans="1:8" x14ac:dyDescent="0.25">
      <c r="A2397" s="257">
        <v>2401</v>
      </c>
      <c r="B2397" s="267">
        <v>2396</v>
      </c>
      <c r="C2397" s="268" t="s">
        <v>699</v>
      </c>
      <c r="D2397" s="269">
        <v>42303</v>
      </c>
      <c r="E2397" s="270" t="s">
        <v>1623</v>
      </c>
      <c r="F2397" s="384">
        <v>600000</v>
      </c>
      <c r="G2397" s="270">
        <v>691422903</v>
      </c>
      <c r="H2397" s="270"/>
    </row>
    <row r="2398" spans="1:8" x14ac:dyDescent="0.25">
      <c r="A2398" s="257">
        <v>2402</v>
      </c>
      <c r="B2398" s="267">
        <v>2397</v>
      </c>
      <c r="C2398" s="268" t="s">
        <v>1619</v>
      </c>
      <c r="D2398" s="269">
        <v>42303</v>
      </c>
      <c r="E2398" s="270" t="s">
        <v>2744</v>
      </c>
      <c r="F2398" s="384">
        <v>198000</v>
      </c>
      <c r="G2398" s="270">
        <v>691576283</v>
      </c>
      <c r="H2398" s="270"/>
    </row>
    <row r="2399" spans="1:8" x14ac:dyDescent="0.25">
      <c r="A2399" s="257">
        <v>2403</v>
      </c>
      <c r="B2399" s="267">
        <v>2398</v>
      </c>
      <c r="C2399" s="268" t="s">
        <v>2806</v>
      </c>
      <c r="D2399" s="269">
        <v>42304</v>
      </c>
      <c r="E2399" s="270" t="s">
        <v>1638</v>
      </c>
      <c r="F2399" s="384">
        <v>717000</v>
      </c>
      <c r="G2399" s="270">
        <v>691584453</v>
      </c>
      <c r="H2399" s="270"/>
    </row>
    <row r="2400" spans="1:8" x14ac:dyDescent="0.25">
      <c r="A2400" s="257">
        <v>2404</v>
      </c>
      <c r="B2400" s="267">
        <v>2399</v>
      </c>
      <c r="C2400" s="268" t="s">
        <v>495</v>
      </c>
      <c r="D2400" s="269">
        <v>42304</v>
      </c>
      <c r="E2400" s="270" t="s">
        <v>3106</v>
      </c>
      <c r="F2400" s="384">
        <v>165000</v>
      </c>
      <c r="G2400" s="270">
        <v>190745388</v>
      </c>
      <c r="H2400" s="270"/>
    </row>
    <row r="2401" spans="1:8" x14ac:dyDescent="0.25">
      <c r="A2401" s="257">
        <v>2405</v>
      </c>
      <c r="B2401" s="267">
        <v>2400</v>
      </c>
      <c r="C2401" s="268" t="s">
        <v>680</v>
      </c>
      <c r="D2401" s="269">
        <v>42304</v>
      </c>
      <c r="E2401" s="270" t="s">
        <v>3598</v>
      </c>
      <c r="F2401" s="384">
        <v>595000</v>
      </c>
      <c r="G2401" s="270">
        <v>190221603</v>
      </c>
      <c r="H2401" s="270"/>
    </row>
    <row r="2402" spans="1:8" x14ac:dyDescent="0.25">
      <c r="A2402" s="257">
        <v>2406</v>
      </c>
      <c r="B2402" s="267">
        <v>2401</v>
      </c>
      <c r="C2402" s="268" t="s">
        <v>2104</v>
      </c>
      <c r="D2402" s="269">
        <v>42304</v>
      </c>
      <c r="E2402" s="270" t="s">
        <v>2736</v>
      </c>
      <c r="F2402" s="384">
        <v>213000</v>
      </c>
      <c r="G2402" s="270">
        <v>691780951</v>
      </c>
      <c r="H2402" s="270"/>
    </row>
    <row r="2403" spans="1:8" x14ac:dyDescent="0.25">
      <c r="A2403" s="257">
        <v>2407</v>
      </c>
      <c r="B2403" s="267">
        <v>2402</v>
      </c>
      <c r="C2403" s="268" t="s">
        <v>3298</v>
      </c>
      <c r="D2403" s="269">
        <v>42304</v>
      </c>
      <c r="E2403" s="270" t="s">
        <v>980</v>
      </c>
      <c r="F2403" s="384">
        <v>240000</v>
      </c>
      <c r="G2403" s="270">
        <v>100015784</v>
      </c>
      <c r="H2403" s="270"/>
    </row>
    <row r="2404" spans="1:8" x14ac:dyDescent="0.25">
      <c r="A2404" s="257">
        <v>2408</v>
      </c>
      <c r="B2404" s="267">
        <v>2403</v>
      </c>
      <c r="C2404" s="268" t="s">
        <v>3746</v>
      </c>
      <c r="D2404" s="269">
        <v>42304</v>
      </c>
      <c r="E2404" s="270" t="s">
        <v>3297</v>
      </c>
      <c r="F2404" s="384">
        <v>240000</v>
      </c>
      <c r="G2404" s="270">
        <v>691539471</v>
      </c>
      <c r="H2404" s="270"/>
    </row>
    <row r="2405" spans="1:8" x14ac:dyDescent="0.25">
      <c r="A2405" s="257">
        <v>2409</v>
      </c>
      <c r="B2405" s="267">
        <v>2404</v>
      </c>
      <c r="C2405" s="268" t="s">
        <v>381</v>
      </c>
      <c r="D2405" s="269">
        <v>42304</v>
      </c>
      <c r="E2405" s="270" t="s">
        <v>1801</v>
      </c>
      <c r="F2405" s="384">
        <v>240000</v>
      </c>
      <c r="G2405" s="270">
        <v>690230682</v>
      </c>
      <c r="H2405" s="270"/>
    </row>
    <row r="2406" spans="1:8" x14ac:dyDescent="0.25">
      <c r="A2406" s="257">
        <v>2410</v>
      </c>
      <c r="B2406" s="267">
        <v>2405</v>
      </c>
      <c r="C2406" s="268" t="s">
        <v>1525</v>
      </c>
      <c r="D2406" s="269">
        <v>42304</v>
      </c>
      <c r="E2406" s="270" t="s">
        <v>1005</v>
      </c>
      <c r="F2406" s="384">
        <v>63000</v>
      </c>
      <c r="G2406" s="270">
        <v>101116081</v>
      </c>
      <c r="H2406" s="270"/>
    </row>
    <row r="2407" spans="1:8" x14ac:dyDescent="0.25">
      <c r="A2407" s="257">
        <v>2411</v>
      </c>
      <c r="B2407" s="267">
        <v>2406</v>
      </c>
      <c r="C2407" s="268" t="s">
        <v>3253</v>
      </c>
      <c r="D2407" s="269">
        <v>42304</v>
      </c>
      <c r="E2407" s="270" t="s">
        <v>3631</v>
      </c>
      <c r="F2407" s="384">
        <v>435000</v>
      </c>
      <c r="G2407" s="270">
        <v>691380883</v>
      </c>
      <c r="H2407" s="270"/>
    </row>
    <row r="2408" spans="1:8" x14ac:dyDescent="0.25">
      <c r="A2408" s="257">
        <v>2412</v>
      </c>
      <c r="B2408" s="267">
        <v>2407</v>
      </c>
      <c r="C2408" s="268" t="s">
        <v>3837</v>
      </c>
      <c r="D2408" s="269">
        <v>42304</v>
      </c>
      <c r="E2408" s="270" t="s">
        <v>4228</v>
      </c>
      <c r="F2408" s="384">
        <v>160000</v>
      </c>
      <c r="G2408" s="270">
        <v>191683833</v>
      </c>
      <c r="H2408" s="270"/>
    </row>
    <row r="2409" spans="1:8" x14ac:dyDescent="0.25">
      <c r="A2409" s="257">
        <v>2413</v>
      </c>
      <c r="B2409" s="267">
        <v>2408</v>
      </c>
      <c r="C2409" s="268" t="s">
        <v>495</v>
      </c>
      <c r="D2409" s="269">
        <v>42304</v>
      </c>
      <c r="E2409" s="270" t="s">
        <v>3106</v>
      </c>
      <c r="F2409" s="384">
        <v>165000</v>
      </c>
      <c r="G2409" s="270">
        <v>190745388</v>
      </c>
      <c r="H2409" s="270"/>
    </row>
    <row r="2410" spans="1:8" x14ac:dyDescent="0.25">
      <c r="A2410" s="257">
        <v>2414</v>
      </c>
      <c r="B2410" s="267">
        <v>2409</v>
      </c>
      <c r="C2410" s="268" t="s">
        <v>870</v>
      </c>
      <c r="D2410" s="269">
        <v>42304</v>
      </c>
      <c r="E2410" s="270" t="s">
        <v>428</v>
      </c>
      <c r="F2410" s="384">
        <v>63000</v>
      </c>
      <c r="G2410" s="270">
        <v>100783448</v>
      </c>
      <c r="H2410" s="270"/>
    </row>
    <row r="2411" spans="1:8" x14ac:dyDescent="0.25">
      <c r="A2411" s="257">
        <v>2415</v>
      </c>
      <c r="B2411" s="267">
        <v>2410</v>
      </c>
      <c r="C2411" s="268" t="s">
        <v>128</v>
      </c>
      <c r="D2411" s="269">
        <v>42304</v>
      </c>
      <c r="E2411" s="270" t="s">
        <v>3259</v>
      </c>
      <c r="F2411" s="384">
        <v>435000</v>
      </c>
      <c r="G2411" s="270">
        <v>190904186</v>
      </c>
      <c r="H2411" s="270"/>
    </row>
    <row r="2412" spans="1:8" x14ac:dyDescent="0.25">
      <c r="A2412" s="257">
        <v>2416</v>
      </c>
      <c r="B2412" s="267">
        <v>2411</v>
      </c>
      <c r="C2412" s="268" t="s">
        <v>2444</v>
      </c>
      <c r="D2412" s="269">
        <v>42304</v>
      </c>
      <c r="E2412" s="270" t="s">
        <v>2594</v>
      </c>
      <c r="F2412" s="384">
        <v>240000</v>
      </c>
      <c r="G2412" s="270">
        <v>100008077</v>
      </c>
      <c r="H2412" s="270"/>
    </row>
    <row r="2413" spans="1:8" x14ac:dyDescent="0.25">
      <c r="A2413" s="257">
        <v>2417</v>
      </c>
      <c r="B2413" s="267">
        <v>2412</v>
      </c>
      <c r="C2413" s="268" t="s">
        <v>3310</v>
      </c>
      <c r="D2413" s="269">
        <v>42306</v>
      </c>
      <c r="E2413" s="270" t="s">
        <v>2435</v>
      </c>
      <c r="F2413" s="384">
        <v>155000</v>
      </c>
      <c r="G2413" s="270">
        <v>690640433</v>
      </c>
      <c r="H2413" s="270"/>
    </row>
    <row r="2414" spans="1:8" x14ac:dyDescent="0.25">
      <c r="A2414" s="257">
        <v>2418</v>
      </c>
      <c r="B2414" s="267">
        <v>2413</v>
      </c>
      <c r="C2414" s="268" t="s">
        <v>3657</v>
      </c>
      <c r="D2414" s="269">
        <v>42306</v>
      </c>
      <c r="E2414" s="270" t="s">
        <v>362</v>
      </c>
      <c r="F2414" s="384">
        <v>1160000</v>
      </c>
      <c r="G2414" s="270">
        <v>100099082</v>
      </c>
      <c r="H2414" s="270"/>
    </row>
    <row r="2415" spans="1:8" x14ac:dyDescent="0.25">
      <c r="A2415" s="257">
        <v>2419</v>
      </c>
      <c r="B2415" s="267">
        <v>2414</v>
      </c>
      <c r="C2415" s="268" t="s">
        <v>1852</v>
      </c>
      <c r="D2415" s="269">
        <v>42306</v>
      </c>
      <c r="E2415" s="270" t="s">
        <v>1851</v>
      </c>
      <c r="F2415" s="384">
        <v>170000</v>
      </c>
      <c r="G2415" s="270">
        <v>190860607</v>
      </c>
      <c r="H2415" s="270"/>
    </row>
    <row r="2416" spans="1:8" x14ac:dyDescent="0.25">
      <c r="A2416" s="257">
        <v>2420</v>
      </c>
      <c r="B2416" s="267">
        <v>2415</v>
      </c>
      <c r="C2416" s="268" t="s">
        <v>3308</v>
      </c>
      <c r="D2416" s="269">
        <v>42306</v>
      </c>
      <c r="E2416" s="270" t="s">
        <v>2851</v>
      </c>
      <c r="F2416" s="384">
        <v>435000</v>
      </c>
      <c r="G2416" s="270">
        <v>691463537</v>
      </c>
      <c r="H2416" s="270"/>
    </row>
    <row r="2417" spans="1:8" x14ac:dyDescent="0.25">
      <c r="A2417" s="257">
        <v>2421</v>
      </c>
      <c r="B2417" s="267">
        <v>2416</v>
      </c>
      <c r="C2417" s="268" t="s">
        <v>265</v>
      </c>
      <c r="D2417" s="269">
        <v>42306</v>
      </c>
      <c r="E2417" s="270" t="s">
        <v>450</v>
      </c>
      <c r="F2417" s="384">
        <v>160000</v>
      </c>
      <c r="G2417" s="270">
        <v>100468996</v>
      </c>
      <c r="H2417" s="270"/>
    </row>
    <row r="2418" spans="1:8" x14ac:dyDescent="0.25">
      <c r="A2418" s="257">
        <v>2422</v>
      </c>
      <c r="B2418" s="267">
        <v>2417</v>
      </c>
      <c r="C2418" s="268" t="s">
        <v>741</v>
      </c>
      <c r="D2418" s="269">
        <v>42307</v>
      </c>
      <c r="E2418" s="270" t="s">
        <v>2708</v>
      </c>
      <c r="F2418" s="384">
        <v>280000</v>
      </c>
      <c r="G2418" s="270">
        <v>191596004</v>
      </c>
      <c r="H2418" s="270"/>
    </row>
    <row r="2419" spans="1:8" x14ac:dyDescent="0.25">
      <c r="A2419" s="257">
        <v>2423</v>
      </c>
      <c r="B2419" s="267">
        <v>2418</v>
      </c>
      <c r="C2419" s="268" t="s">
        <v>1026</v>
      </c>
      <c r="D2419" s="269">
        <v>42307</v>
      </c>
      <c r="E2419" s="270" t="s">
        <v>234</v>
      </c>
      <c r="F2419" s="384">
        <v>198000</v>
      </c>
      <c r="G2419" s="270">
        <v>100736767</v>
      </c>
      <c r="H2419" s="270"/>
    </row>
    <row r="2420" spans="1:8" x14ac:dyDescent="0.25">
      <c r="A2420" s="257">
        <v>2424</v>
      </c>
      <c r="B2420" s="267">
        <v>2419</v>
      </c>
      <c r="C2420" s="268" t="s">
        <v>342</v>
      </c>
      <c r="D2420" s="269">
        <v>42307</v>
      </c>
      <c r="E2420" s="270" t="s">
        <v>3558</v>
      </c>
      <c r="F2420" s="384">
        <v>67000</v>
      </c>
      <c r="G2420" s="270">
        <v>601072665</v>
      </c>
      <c r="H2420" s="270"/>
    </row>
    <row r="2421" spans="1:8" x14ac:dyDescent="0.25">
      <c r="A2421" s="257">
        <v>2425</v>
      </c>
      <c r="B2421" s="267">
        <v>2420</v>
      </c>
      <c r="C2421" s="268" t="s">
        <v>3656</v>
      </c>
      <c r="D2421" s="269">
        <v>42309</v>
      </c>
      <c r="E2421" s="270" t="s">
        <v>2158</v>
      </c>
      <c r="F2421" s="384">
        <v>67000</v>
      </c>
      <c r="G2421" s="270">
        <v>100264535</v>
      </c>
      <c r="H2421" s="270"/>
    </row>
    <row r="2422" spans="1:8" x14ac:dyDescent="0.25">
      <c r="A2422" s="257">
        <v>2426</v>
      </c>
      <c r="B2422" s="267">
        <v>2421</v>
      </c>
      <c r="C2422" s="268" t="s">
        <v>3661</v>
      </c>
      <c r="D2422" s="269">
        <v>42310</v>
      </c>
      <c r="E2422" s="270" t="s">
        <v>4196</v>
      </c>
      <c r="F2422" s="384">
        <v>213000</v>
      </c>
      <c r="G2422" s="270">
        <v>690365565</v>
      </c>
      <c r="H2422" s="270"/>
    </row>
    <row r="2423" spans="1:8" x14ac:dyDescent="0.25">
      <c r="A2423" s="257">
        <v>2427</v>
      </c>
      <c r="B2423" s="267">
        <v>2422</v>
      </c>
      <c r="C2423" s="268" t="s">
        <v>897</v>
      </c>
      <c r="D2423" s="269">
        <v>42310</v>
      </c>
      <c r="E2423" s="270" t="s">
        <v>222</v>
      </c>
      <c r="F2423" s="384">
        <v>240000</v>
      </c>
      <c r="G2423" s="270">
        <v>192468761</v>
      </c>
      <c r="H2423" s="270"/>
    </row>
    <row r="2424" spans="1:8" x14ac:dyDescent="0.25">
      <c r="A2424" s="257">
        <v>2428</v>
      </c>
      <c r="B2424" s="267">
        <v>2423</v>
      </c>
      <c r="C2424" s="268" t="s">
        <v>3840</v>
      </c>
      <c r="D2424" s="269">
        <v>42310</v>
      </c>
      <c r="E2424" s="270" t="s">
        <v>369</v>
      </c>
      <c r="F2424" s="384">
        <v>165000</v>
      </c>
      <c r="G2424" s="270">
        <v>690703364</v>
      </c>
      <c r="H2424" s="270"/>
    </row>
    <row r="2425" spans="1:8" x14ac:dyDescent="0.25">
      <c r="A2425" s="257">
        <v>2429</v>
      </c>
      <c r="B2425" s="267">
        <v>2424</v>
      </c>
      <c r="C2425" s="268" t="s">
        <v>1836</v>
      </c>
      <c r="D2425" s="269">
        <v>42310</v>
      </c>
      <c r="E2425" s="270" t="s">
        <v>2624</v>
      </c>
      <c r="F2425" s="384">
        <v>888000</v>
      </c>
      <c r="G2425" s="270">
        <v>600004086</v>
      </c>
      <c r="H2425" s="270"/>
    </row>
    <row r="2426" spans="1:8" x14ac:dyDescent="0.25">
      <c r="A2426" s="257">
        <v>2430</v>
      </c>
      <c r="B2426" s="267">
        <v>2425</v>
      </c>
      <c r="C2426" s="268" t="s">
        <v>870</v>
      </c>
      <c r="D2426" s="269">
        <v>42310</v>
      </c>
      <c r="E2426" s="270" t="s">
        <v>428</v>
      </c>
      <c r="F2426" s="384">
        <v>160000</v>
      </c>
      <c r="G2426" s="270">
        <v>100783448</v>
      </c>
      <c r="H2426" s="270"/>
    </row>
    <row r="2427" spans="1:8" x14ac:dyDescent="0.25">
      <c r="A2427" s="257">
        <v>2431</v>
      </c>
      <c r="B2427" s="267">
        <v>2426</v>
      </c>
      <c r="C2427" s="268" t="s">
        <v>879</v>
      </c>
      <c r="D2427" s="269">
        <v>42310</v>
      </c>
      <c r="E2427" s="270" t="s">
        <v>1906</v>
      </c>
      <c r="F2427" s="384">
        <v>165000</v>
      </c>
      <c r="G2427" s="270">
        <v>690250660</v>
      </c>
      <c r="H2427" s="270"/>
    </row>
    <row r="2428" spans="1:8" x14ac:dyDescent="0.25">
      <c r="A2428" s="257">
        <v>2432</v>
      </c>
      <c r="B2428" s="267">
        <v>2427</v>
      </c>
      <c r="C2428" s="268" t="s">
        <v>832</v>
      </c>
      <c r="D2428" s="269">
        <v>42310</v>
      </c>
      <c r="E2428" s="270" t="s">
        <v>245</v>
      </c>
      <c r="F2428" s="384">
        <v>198000</v>
      </c>
      <c r="G2428" s="270">
        <v>100886879</v>
      </c>
      <c r="H2428" s="270"/>
    </row>
    <row r="2429" spans="1:8" x14ac:dyDescent="0.25">
      <c r="A2429" s="257">
        <v>2433</v>
      </c>
      <c r="B2429" s="267">
        <v>2428</v>
      </c>
      <c r="C2429" s="268" t="s">
        <v>375</v>
      </c>
      <c r="D2429" s="269">
        <v>42310</v>
      </c>
      <c r="E2429" s="270" t="s">
        <v>263</v>
      </c>
      <c r="F2429" s="384">
        <v>240000</v>
      </c>
      <c r="G2429" s="270">
        <v>600182119</v>
      </c>
      <c r="H2429" s="270"/>
    </row>
    <row r="2430" spans="1:8" x14ac:dyDescent="0.25">
      <c r="A2430" s="257">
        <v>2434</v>
      </c>
      <c r="B2430" s="267">
        <v>2429</v>
      </c>
      <c r="C2430" s="268" t="s">
        <v>67</v>
      </c>
      <c r="D2430" s="269">
        <v>42310</v>
      </c>
      <c r="E2430" s="270" t="s">
        <v>914</v>
      </c>
      <c r="F2430" s="384">
        <v>435000</v>
      </c>
      <c r="G2430" s="270">
        <v>190114911</v>
      </c>
      <c r="H2430" s="270"/>
    </row>
    <row r="2431" spans="1:8" x14ac:dyDescent="0.25">
      <c r="A2431" s="257">
        <v>2435</v>
      </c>
      <c r="B2431" s="267">
        <v>2430</v>
      </c>
      <c r="C2431" s="268" t="s">
        <v>16</v>
      </c>
      <c r="D2431" s="269">
        <v>42310</v>
      </c>
      <c r="E2431" s="270" t="s">
        <v>1630</v>
      </c>
      <c r="F2431" s="384">
        <v>198000</v>
      </c>
      <c r="G2431" s="270">
        <v>601078280</v>
      </c>
      <c r="H2431" s="270"/>
    </row>
    <row r="2432" spans="1:8" x14ac:dyDescent="0.25">
      <c r="A2432" s="257">
        <v>2436</v>
      </c>
      <c r="B2432" s="267">
        <v>2431</v>
      </c>
      <c r="C2432" s="268" t="s">
        <v>47</v>
      </c>
      <c r="D2432" s="269">
        <v>42310</v>
      </c>
      <c r="E2432" s="270" t="s">
        <v>3745</v>
      </c>
      <c r="F2432" s="384">
        <v>198000</v>
      </c>
      <c r="G2432" s="270">
        <v>191604529</v>
      </c>
      <c r="H2432" s="270"/>
    </row>
    <row r="2433" spans="1:8" x14ac:dyDescent="0.25">
      <c r="A2433" s="257">
        <v>2437</v>
      </c>
      <c r="B2433" s="267">
        <v>2432</v>
      </c>
      <c r="C2433" s="268" t="s">
        <v>2105</v>
      </c>
      <c r="D2433" s="269">
        <v>42311</v>
      </c>
      <c r="E2433" s="270" t="s">
        <v>3744</v>
      </c>
      <c r="F2433" s="384">
        <v>198000</v>
      </c>
      <c r="G2433" s="270">
        <v>100512805</v>
      </c>
      <c r="H2433" s="270"/>
    </row>
    <row r="2434" spans="1:8" x14ac:dyDescent="0.25">
      <c r="A2434" s="257">
        <v>2438</v>
      </c>
      <c r="B2434" s="267">
        <v>2433</v>
      </c>
      <c r="C2434" s="268" t="s">
        <v>2143</v>
      </c>
      <c r="D2434" s="269">
        <v>42311</v>
      </c>
      <c r="E2434" s="270" t="s">
        <v>1927</v>
      </c>
      <c r="F2434" s="384">
        <v>435000</v>
      </c>
      <c r="G2434" s="270">
        <v>190032958</v>
      </c>
      <c r="H2434" s="270"/>
    </row>
    <row r="2435" spans="1:8" x14ac:dyDescent="0.25">
      <c r="A2435" s="257">
        <v>2439</v>
      </c>
      <c r="B2435" s="267">
        <v>2434</v>
      </c>
      <c r="C2435" s="268" t="s">
        <v>154</v>
      </c>
      <c r="D2435" s="269">
        <v>42311</v>
      </c>
      <c r="E2435" s="270" t="s">
        <v>346</v>
      </c>
      <c r="F2435" s="384">
        <v>240000</v>
      </c>
      <c r="G2435" s="270">
        <v>101528843</v>
      </c>
      <c r="H2435" s="270"/>
    </row>
    <row r="2436" spans="1:8" x14ac:dyDescent="0.25">
      <c r="A2436" s="257">
        <v>2440</v>
      </c>
      <c r="B2436" s="267">
        <v>2435</v>
      </c>
      <c r="C2436" s="268" t="s">
        <v>2869</v>
      </c>
      <c r="D2436" s="269">
        <v>42311</v>
      </c>
      <c r="E2436" s="270" t="s">
        <v>970</v>
      </c>
      <c r="F2436" s="384">
        <v>435000</v>
      </c>
      <c r="G2436" s="270">
        <v>590779700</v>
      </c>
      <c r="H2436" s="270"/>
    </row>
    <row r="2437" spans="1:8" x14ac:dyDescent="0.25">
      <c r="A2437" s="257">
        <v>2441</v>
      </c>
      <c r="B2437" s="267">
        <v>2436</v>
      </c>
      <c r="C2437" s="268" t="s">
        <v>2672</v>
      </c>
      <c r="D2437" s="269">
        <v>42311</v>
      </c>
      <c r="E2437" s="270" t="s">
        <v>969</v>
      </c>
      <c r="F2437" s="384">
        <v>280000</v>
      </c>
      <c r="G2437" s="270">
        <v>790818492</v>
      </c>
      <c r="H2437" s="270"/>
    </row>
    <row r="2438" spans="1:8" x14ac:dyDescent="0.25">
      <c r="A2438" s="257">
        <v>2442</v>
      </c>
      <c r="B2438" s="267">
        <v>2437</v>
      </c>
      <c r="C2438" s="268" t="s">
        <v>3298</v>
      </c>
      <c r="D2438" s="269">
        <v>42311</v>
      </c>
      <c r="E2438" s="270" t="s">
        <v>980</v>
      </c>
      <c r="F2438" s="384">
        <v>31000</v>
      </c>
      <c r="G2438" s="270">
        <v>100015784</v>
      </c>
      <c r="H2438" s="270"/>
    </row>
    <row r="2439" spans="1:8" x14ac:dyDescent="0.25">
      <c r="A2439" s="257">
        <v>2443</v>
      </c>
      <c r="B2439" s="267">
        <v>2438</v>
      </c>
      <c r="C2439" s="268" t="s">
        <v>175</v>
      </c>
      <c r="D2439" s="269">
        <v>42311</v>
      </c>
      <c r="E2439" s="270" t="s">
        <v>2603</v>
      </c>
      <c r="F2439" s="384">
        <v>480000</v>
      </c>
      <c r="G2439" s="270">
        <v>190074151</v>
      </c>
      <c r="H2439" s="270"/>
    </row>
    <row r="2440" spans="1:8" x14ac:dyDescent="0.25">
      <c r="A2440" s="257">
        <v>2444</v>
      </c>
      <c r="B2440" s="267">
        <v>2439</v>
      </c>
      <c r="C2440" s="268" t="s">
        <v>1004</v>
      </c>
      <c r="D2440" s="269">
        <v>42312</v>
      </c>
      <c r="E2440" s="270" t="s">
        <v>2383</v>
      </c>
      <c r="F2440" s="384">
        <v>240000</v>
      </c>
      <c r="G2440" s="270">
        <v>690655317</v>
      </c>
      <c r="H2440" s="270"/>
    </row>
    <row r="2441" spans="1:8" x14ac:dyDescent="0.25">
      <c r="A2441" s="257">
        <v>2445</v>
      </c>
      <c r="B2441" s="267">
        <v>2440</v>
      </c>
      <c r="C2441" s="268" t="s">
        <v>3133</v>
      </c>
      <c r="D2441" s="269">
        <v>42312</v>
      </c>
      <c r="E2441" s="270" t="s">
        <v>3587</v>
      </c>
      <c r="F2441" s="384">
        <v>960000</v>
      </c>
      <c r="G2441" s="270">
        <v>101254783</v>
      </c>
      <c r="H2441" s="270"/>
    </row>
    <row r="2442" spans="1:8" x14ac:dyDescent="0.25">
      <c r="A2442" s="257">
        <v>2446</v>
      </c>
      <c r="B2442" s="267">
        <v>2441</v>
      </c>
      <c r="C2442" s="268" t="s">
        <v>699</v>
      </c>
      <c r="D2442" s="269">
        <v>42313</v>
      </c>
      <c r="E2442" s="270" t="s">
        <v>1623</v>
      </c>
      <c r="F2442" s="384">
        <v>31000</v>
      </c>
      <c r="G2442" s="270">
        <v>691422903</v>
      </c>
      <c r="H2442" s="270"/>
    </row>
    <row r="2443" spans="1:8" x14ac:dyDescent="0.25">
      <c r="A2443" s="257">
        <v>2447</v>
      </c>
      <c r="B2443" s="267">
        <v>2442</v>
      </c>
      <c r="C2443" s="268" t="s">
        <v>2645</v>
      </c>
      <c r="D2443" s="269">
        <v>42314</v>
      </c>
      <c r="E2443" s="270" t="s">
        <v>239</v>
      </c>
      <c r="F2443" s="384">
        <v>63000</v>
      </c>
      <c r="G2443" s="270">
        <v>101139097</v>
      </c>
      <c r="H2443" s="270"/>
    </row>
    <row r="2444" spans="1:8" x14ac:dyDescent="0.25">
      <c r="A2444" s="257">
        <v>2448</v>
      </c>
      <c r="B2444" s="267">
        <v>2443</v>
      </c>
      <c r="C2444" s="268" t="s">
        <v>870</v>
      </c>
      <c r="D2444" s="269">
        <v>42314</v>
      </c>
      <c r="E2444" s="270" t="s">
        <v>428</v>
      </c>
      <c r="F2444" s="384">
        <v>160000</v>
      </c>
      <c r="G2444" s="270">
        <v>100783448</v>
      </c>
      <c r="H2444" s="270"/>
    </row>
    <row r="2445" spans="1:8" x14ac:dyDescent="0.25">
      <c r="A2445" s="257">
        <v>2449</v>
      </c>
      <c r="B2445" s="267">
        <v>2444</v>
      </c>
      <c r="C2445" s="268" t="s">
        <v>2714</v>
      </c>
      <c r="D2445" s="269">
        <v>42314</v>
      </c>
      <c r="E2445" s="270" t="s">
        <v>891</v>
      </c>
      <c r="F2445" s="384">
        <v>240000</v>
      </c>
      <c r="G2445" s="270">
        <v>190304936</v>
      </c>
      <c r="H2445" s="270"/>
    </row>
    <row r="2446" spans="1:8" x14ac:dyDescent="0.25">
      <c r="A2446" s="257">
        <v>2450</v>
      </c>
      <c r="B2446" s="267">
        <v>2445</v>
      </c>
      <c r="C2446" s="268" t="s">
        <v>265</v>
      </c>
      <c r="D2446" s="269">
        <v>42318</v>
      </c>
      <c r="E2446" s="270" t="s">
        <v>450</v>
      </c>
      <c r="F2446" s="384">
        <v>435000</v>
      </c>
      <c r="G2446" s="270">
        <v>100468996</v>
      </c>
      <c r="H2446" s="270"/>
    </row>
    <row r="2447" spans="1:8" x14ac:dyDescent="0.25">
      <c r="A2447" s="257">
        <v>2451</v>
      </c>
      <c r="B2447" s="267">
        <v>2446</v>
      </c>
      <c r="C2447" s="268" t="s">
        <v>3216</v>
      </c>
      <c r="D2447" s="269">
        <v>42318</v>
      </c>
      <c r="E2447" s="270" t="s">
        <v>1644</v>
      </c>
      <c r="F2447" s="384">
        <v>1400000</v>
      </c>
      <c r="G2447" s="270">
        <v>100315288</v>
      </c>
      <c r="H2447" s="270"/>
    </row>
    <row r="2448" spans="1:8" x14ac:dyDescent="0.25">
      <c r="A2448" s="257">
        <v>2452</v>
      </c>
      <c r="B2448" s="267">
        <v>2447</v>
      </c>
      <c r="C2448" s="268" t="s">
        <v>1784</v>
      </c>
      <c r="D2448" s="269">
        <v>42318</v>
      </c>
      <c r="E2448" s="270" t="s">
        <v>739</v>
      </c>
      <c r="F2448" s="384">
        <v>198000</v>
      </c>
      <c r="G2448" s="270">
        <v>190345942</v>
      </c>
      <c r="H2448" s="270"/>
    </row>
    <row r="2449" spans="1:8" x14ac:dyDescent="0.25">
      <c r="A2449" s="257">
        <v>2453</v>
      </c>
      <c r="B2449" s="267">
        <v>2448</v>
      </c>
      <c r="C2449" s="268" t="s">
        <v>1366</v>
      </c>
      <c r="D2449" s="269">
        <v>42318</v>
      </c>
      <c r="E2449" s="270" t="s">
        <v>1118</v>
      </c>
      <c r="F2449" s="384">
        <v>198000</v>
      </c>
      <c r="G2449" s="270">
        <v>691601521</v>
      </c>
      <c r="H2449" s="270"/>
    </row>
    <row r="2450" spans="1:8" x14ac:dyDescent="0.25">
      <c r="A2450" s="257">
        <v>2454</v>
      </c>
      <c r="B2450" s="267">
        <v>2449</v>
      </c>
      <c r="C2450" s="268" t="s">
        <v>1800</v>
      </c>
      <c r="D2450" s="269">
        <v>42318</v>
      </c>
      <c r="E2450" s="270" t="s">
        <v>3510</v>
      </c>
      <c r="F2450" s="384">
        <v>240000</v>
      </c>
      <c r="G2450" s="270">
        <v>100978847</v>
      </c>
      <c r="H2450" s="270"/>
    </row>
    <row r="2451" spans="1:8" x14ac:dyDescent="0.25">
      <c r="A2451" s="257">
        <v>2455</v>
      </c>
      <c r="B2451" s="267">
        <v>2450</v>
      </c>
      <c r="C2451" s="268" t="s">
        <v>2405</v>
      </c>
      <c r="D2451" s="269">
        <v>42318</v>
      </c>
      <c r="E2451" s="270" t="s">
        <v>1944</v>
      </c>
      <c r="F2451" s="384">
        <v>280000</v>
      </c>
      <c r="G2451" s="270">
        <v>100345799</v>
      </c>
      <c r="H2451" s="270"/>
    </row>
    <row r="2452" spans="1:8" x14ac:dyDescent="0.25">
      <c r="A2452" s="257">
        <v>2456</v>
      </c>
      <c r="B2452" s="267">
        <v>2451</v>
      </c>
      <c r="C2452" s="268" t="s">
        <v>732</v>
      </c>
      <c r="D2452" s="269">
        <v>42318</v>
      </c>
      <c r="E2452" s="270" t="s">
        <v>3238</v>
      </c>
      <c r="F2452" s="384">
        <v>435000</v>
      </c>
      <c r="G2452" s="270">
        <v>191870208</v>
      </c>
      <c r="H2452" s="270"/>
    </row>
    <row r="2453" spans="1:8" x14ac:dyDescent="0.25">
      <c r="A2453" s="257">
        <v>2457</v>
      </c>
      <c r="B2453" s="267">
        <v>2452</v>
      </c>
      <c r="C2453" s="268" t="s">
        <v>3854</v>
      </c>
      <c r="D2453" s="269">
        <v>42319</v>
      </c>
      <c r="E2453" s="270" t="s">
        <v>3508</v>
      </c>
      <c r="F2453" s="384">
        <v>165000</v>
      </c>
      <c r="G2453" s="270">
        <v>191438728</v>
      </c>
      <c r="H2453" s="270"/>
    </row>
    <row r="2454" spans="1:8" x14ac:dyDescent="0.25">
      <c r="A2454" s="257">
        <v>2458</v>
      </c>
      <c r="B2454" s="267">
        <v>2453</v>
      </c>
      <c r="C2454" s="268" t="s">
        <v>725</v>
      </c>
      <c r="D2454" s="269">
        <v>42319</v>
      </c>
      <c r="E2454" s="270" t="s">
        <v>861</v>
      </c>
      <c r="F2454" s="384">
        <v>5065000</v>
      </c>
      <c r="G2454" s="270">
        <v>100097541</v>
      </c>
      <c r="H2454" s="270"/>
    </row>
    <row r="2455" spans="1:8" x14ac:dyDescent="0.25">
      <c r="A2455" s="257">
        <v>2459</v>
      </c>
      <c r="B2455" s="267">
        <v>2454</v>
      </c>
      <c r="C2455" s="268" t="s">
        <v>264</v>
      </c>
      <c r="D2455" s="269">
        <v>42319</v>
      </c>
      <c r="E2455" s="270" t="s">
        <v>2795</v>
      </c>
      <c r="F2455" s="384">
        <v>280000</v>
      </c>
      <c r="G2455" s="270">
        <v>691536707</v>
      </c>
      <c r="H2455" s="270"/>
    </row>
    <row r="2456" spans="1:8" x14ac:dyDescent="0.25">
      <c r="A2456" s="257">
        <v>2460</v>
      </c>
      <c r="B2456" s="267">
        <v>2455</v>
      </c>
      <c r="C2456" s="268" t="s">
        <v>56</v>
      </c>
      <c r="D2456" s="269">
        <v>42319</v>
      </c>
      <c r="E2456" s="270" t="s">
        <v>2839</v>
      </c>
      <c r="F2456" s="384">
        <v>240000</v>
      </c>
      <c r="G2456" s="270">
        <v>100824385</v>
      </c>
      <c r="H2456" s="270"/>
    </row>
    <row r="2457" spans="1:8" x14ac:dyDescent="0.25">
      <c r="A2457" s="257">
        <v>2461</v>
      </c>
      <c r="B2457" s="267">
        <v>2456</v>
      </c>
      <c r="C2457" s="268" t="s">
        <v>2449</v>
      </c>
      <c r="D2457" s="269">
        <v>42319</v>
      </c>
      <c r="E2457" s="270" t="s">
        <v>330</v>
      </c>
      <c r="F2457" s="384">
        <v>198000</v>
      </c>
      <c r="G2457" s="270">
        <v>691068458</v>
      </c>
      <c r="H2457" s="270"/>
    </row>
    <row r="2458" spans="1:8" x14ac:dyDescent="0.25">
      <c r="A2458" s="257">
        <v>2462</v>
      </c>
      <c r="B2458" s="267">
        <v>2457</v>
      </c>
      <c r="C2458" s="268" t="s">
        <v>264</v>
      </c>
      <c r="D2458" s="269">
        <v>42319</v>
      </c>
      <c r="E2458" s="270" t="s">
        <v>2795</v>
      </c>
      <c r="F2458" s="384">
        <v>160000</v>
      </c>
      <c r="G2458" s="270">
        <v>691536707</v>
      </c>
      <c r="H2458" s="270"/>
    </row>
    <row r="2459" spans="1:8" x14ac:dyDescent="0.25">
      <c r="A2459" s="257">
        <v>2463</v>
      </c>
      <c r="B2459" s="267">
        <v>2458</v>
      </c>
      <c r="C2459" s="268" t="s">
        <v>1650</v>
      </c>
      <c r="D2459" s="269">
        <v>42319</v>
      </c>
      <c r="E2459" s="270" t="s">
        <v>863</v>
      </c>
      <c r="F2459" s="384">
        <v>435000</v>
      </c>
      <c r="G2459" s="270">
        <v>690849523</v>
      </c>
      <c r="H2459" s="270"/>
    </row>
    <row r="2460" spans="1:8" x14ac:dyDescent="0.25">
      <c r="A2460" s="257">
        <v>2464</v>
      </c>
      <c r="B2460" s="267">
        <v>2459</v>
      </c>
      <c r="C2460" s="268" t="s">
        <v>2716</v>
      </c>
      <c r="D2460" s="269">
        <v>42319</v>
      </c>
      <c r="E2460" s="270" t="s">
        <v>2760</v>
      </c>
      <c r="F2460" s="384">
        <v>280000</v>
      </c>
      <c r="G2460" s="270">
        <v>100801936</v>
      </c>
      <c r="H2460" s="270"/>
    </row>
    <row r="2461" spans="1:8" x14ac:dyDescent="0.25">
      <c r="A2461" s="257">
        <v>2465</v>
      </c>
      <c r="B2461" s="267">
        <v>2460</v>
      </c>
      <c r="C2461" s="268" t="s">
        <v>2766</v>
      </c>
      <c r="D2461" s="269">
        <v>42319</v>
      </c>
      <c r="E2461" s="270" t="s">
        <v>18</v>
      </c>
      <c r="F2461" s="384">
        <v>94000</v>
      </c>
      <c r="G2461" s="270">
        <v>100251590</v>
      </c>
      <c r="H2461" s="270"/>
    </row>
    <row r="2462" spans="1:8" x14ac:dyDescent="0.25">
      <c r="A2462" s="257">
        <v>2466</v>
      </c>
      <c r="B2462" s="267">
        <v>2461</v>
      </c>
      <c r="C2462" s="268" t="s">
        <v>2766</v>
      </c>
      <c r="D2462" s="269">
        <v>42319</v>
      </c>
      <c r="E2462" s="270" t="s">
        <v>18</v>
      </c>
      <c r="F2462" s="384">
        <v>125000</v>
      </c>
      <c r="G2462" s="270">
        <v>100251590</v>
      </c>
      <c r="H2462" s="270"/>
    </row>
    <row r="2463" spans="1:8" x14ac:dyDescent="0.25">
      <c r="A2463" s="257">
        <v>2467</v>
      </c>
      <c r="B2463" s="267">
        <v>2462</v>
      </c>
      <c r="C2463" s="268" t="s">
        <v>974</v>
      </c>
      <c r="D2463" s="269">
        <v>42319</v>
      </c>
      <c r="E2463" s="270" t="s">
        <v>399</v>
      </c>
      <c r="F2463" s="384">
        <v>160000</v>
      </c>
      <c r="G2463" s="270">
        <v>192305396</v>
      </c>
      <c r="H2463" s="270"/>
    </row>
    <row r="2464" spans="1:8" x14ac:dyDescent="0.25">
      <c r="A2464" s="257">
        <v>2468</v>
      </c>
      <c r="B2464" s="267">
        <v>2463</v>
      </c>
      <c r="C2464" s="268" t="s">
        <v>3840</v>
      </c>
      <c r="D2464" s="269">
        <v>42319</v>
      </c>
      <c r="E2464" s="270" t="s">
        <v>369</v>
      </c>
      <c r="F2464" s="384">
        <v>36000</v>
      </c>
      <c r="G2464" s="270">
        <v>690703364</v>
      </c>
      <c r="H2464" s="270"/>
    </row>
    <row r="2465" spans="1:8" x14ac:dyDescent="0.25">
      <c r="A2465" s="257">
        <v>2469</v>
      </c>
      <c r="B2465" s="267">
        <v>2464</v>
      </c>
      <c r="C2465" s="268" t="s">
        <v>3839</v>
      </c>
      <c r="D2465" s="269">
        <v>42319</v>
      </c>
      <c r="E2465" s="270" t="s">
        <v>2451</v>
      </c>
      <c r="F2465" s="384">
        <v>107000</v>
      </c>
      <c r="G2465" s="270">
        <v>100301806</v>
      </c>
      <c r="H2465" s="270"/>
    </row>
    <row r="2466" spans="1:8" x14ac:dyDescent="0.25">
      <c r="A2466" s="257">
        <v>2470</v>
      </c>
      <c r="B2466" s="267">
        <v>2465</v>
      </c>
      <c r="C2466" s="268" t="s">
        <v>3658</v>
      </c>
      <c r="D2466" s="269">
        <v>42319</v>
      </c>
      <c r="E2466" s="270" t="s">
        <v>3552</v>
      </c>
      <c r="F2466" s="384">
        <v>155000</v>
      </c>
      <c r="G2466" s="270">
        <v>191569368</v>
      </c>
      <c r="H2466" s="270"/>
    </row>
    <row r="2467" spans="1:8" x14ac:dyDescent="0.25">
      <c r="A2467" s="257">
        <v>2471</v>
      </c>
      <c r="B2467" s="267">
        <v>2466</v>
      </c>
      <c r="C2467" s="268" t="s">
        <v>2963</v>
      </c>
      <c r="D2467" s="269">
        <v>42326</v>
      </c>
      <c r="E2467" s="270" t="s">
        <v>220</v>
      </c>
      <c r="F2467" s="384">
        <v>1025000</v>
      </c>
      <c r="G2467" s="270">
        <v>100230496</v>
      </c>
      <c r="H2467" s="270"/>
    </row>
    <row r="2468" spans="1:8" x14ac:dyDescent="0.25">
      <c r="A2468" s="257">
        <v>2472</v>
      </c>
      <c r="B2468" s="267">
        <v>2467</v>
      </c>
      <c r="C2468" s="268" t="s">
        <v>2104</v>
      </c>
      <c r="D2468" s="269">
        <v>42326</v>
      </c>
      <c r="E2468" s="270" t="s">
        <v>2736</v>
      </c>
      <c r="F2468" s="384">
        <v>691000</v>
      </c>
      <c r="G2468" s="270">
        <v>691780951</v>
      </c>
      <c r="H2468" s="270"/>
    </row>
    <row r="2469" spans="1:8" x14ac:dyDescent="0.25">
      <c r="A2469" s="257">
        <v>2473</v>
      </c>
      <c r="B2469" s="267">
        <v>2468</v>
      </c>
      <c r="C2469" s="268" t="s">
        <v>2828</v>
      </c>
      <c r="D2469" s="269">
        <v>42326</v>
      </c>
      <c r="E2469" s="270" t="s">
        <v>892</v>
      </c>
      <c r="F2469" s="384">
        <v>165000</v>
      </c>
      <c r="G2469" s="270">
        <v>100390954</v>
      </c>
      <c r="H2469" s="270"/>
    </row>
    <row r="2470" spans="1:8" x14ac:dyDescent="0.25">
      <c r="A2470" s="257">
        <v>2474</v>
      </c>
      <c r="B2470" s="267">
        <v>2469</v>
      </c>
      <c r="C2470" s="268" t="s">
        <v>1803</v>
      </c>
      <c r="D2470" s="269">
        <v>42326</v>
      </c>
      <c r="E2470" s="270" t="s">
        <v>4236</v>
      </c>
      <c r="F2470" s="384">
        <v>170000</v>
      </c>
      <c r="G2470" s="270">
        <v>191596370</v>
      </c>
      <c r="H2470" s="270"/>
    </row>
    <row r="2471" spans="1:8" x14ac:dyDescent="0.25">
      <c r="A2471" s="257">
        <v>2475</v>
      </c>
      <c r="B2471" s="267">
        <v>2470</v>
      </c>
      <c r="C2471" s="268" t="s">
        <v>3528</v>
      </c>
      <c r="D2471" s="269">
        <v>42326</v>
      </c>
      <c r="E2471" s="270" t="s">
        <v>733</v>
      </c>
      <c r="F2471" s="384">
        <v>280000</v>
      </c>
      <c r="G2471" s="270">
        <v>190770035</v>
      </c>
      <c r="H2471" s="270"/>
    </row>
    <row r="2472" spans="1:8" x14ac:dyDescent="0.25">
      <c r="A2472" s="257">
        <v>2476</v>
      </c>
      <c r="B2472" s="267">
        <v>2471</v>
      </c>
      <c r="C2472" s="268" t="s">
        <v>3252</v>
      </c>
      <c r="D2472" s="269">
        <v>42326</v>
      </c>
      <c r="E2472" s="270" t="s">
        <v>526</v>
      </c>
      <c r="F2472" s="384">
        <v>435000</v>
      </c>
      <c r="G2472" s="270">
        <v>691536906</v>
      </c>
      <c r="H2472" s="270"/>
    </row>
    <row r="2473" spans="1:8" x14ac:dyDescent="0.25">
      <c r="A2473" s="257">
        <v>2477</v>
      </c>
      <c r="B2473" s="267">
        <v>2472</v>
      </c>
      <c r="C2473" s="268" t="s">
        <v>196</v>
      </c>
      <c r="D2473" s="269">
        <v>42326</v>
      </c>
      <c r="E2473" s="270" t="s">
        <v>2717</v>
      </c>
      <c r="F2473" s="384">
        <v>1305000</v>
      </c>
      <c r="G2473" s="270">
        <v>101538513</v>
      </c>
      <c r="H2473" s="270"/>
    </row>
    <row r="2474" spans="1:8" x14ac:dyDescent="0.25">
      <c r="A2474" s="257">
        <v>2478</v>
      </c>
      <c r="B2474" s="267">
        <v>2473</v>
      </c>
      <c r="C2474" s="268" t="s">
        <v>1639</v>
      </c>
      <c r="D2474" s="269">
        <v>42326</v>
      </c>
      <c r="E2474" s="270" t="s">
        <v>3850</v>
      </c>
      <c r="F2474" s="384">
        <v>160000</v>
      </c>
      <c r="G2474" s="270">
        <v>800011635</v>
      </c>
      <c r="H2474" s="270"/>
    </row>
    <row r="2475" spans="1:8" x14ac:dyDescent="0.25">
      <c r="A2475" s="257">
        <v>2479</v>
      </c>
      <c r="B2475" s="267">
        <v>2474</v>
      </c>
      <c r="C2475" s="268" t="s">
        <v>2756</v>
      </c>
      <c r="D2475" s="269">
        <v>42326</v>
      </c>
      <c r="E2475" s="270" t="s">
        <v>153</v>
      </c>
      <c r="F2475" s="384">
        <v>435000</v>
      </c>
      <c r="G2475" s="270">
        <v>190886466</v>
      </c>
      <c r="H2475" s="270"/>
    </row>
    <row r="2476" spans="1:8" x14ac:dyDescent="0.25">
      <c r="A2476" s="257">
        <v>2480</v>
      </c>
      <c r="B2476" s="267">
        <v>2475</v>
      </c>
      <c r="C2476" s="268" t="s">
        <v>732</v>
      </c>
      <c r="D2476" s="269">
        <v>42327</v>
      </c>
      <c r="E2476" s="270" t="s">
        <v>3238</v>
      </c>
      <c r="F2476" s="384">
        <v>1740000</v>
      </c>
      <c r="G2476" s="270">
        <v>191870208</v>
      </c>
      <c r="H2476" s="270"/>
    </row>
    <row r="2477" spans="1:8" x14ac:dyDescent="0.25">
      <c r="A2477" s="257">
        <v>2481</v>
      </c>
      <c r="B2477" s="267">
        <v>2476</v>
      </c>
      <c r="C2477" s="268" t="s">
        <v>3570</v>
      </c>
      <c r="D2477" s="269">
        <v>42327</v>
      </c>
      <c r="E2477" s="270" t="s">
        <v>3537</v>
      </c>
      <c r="F2477" s="384">
        <v>165000</v>
      </c>
      <c r="G2477" s="270">
        <v>190496892</v>
      </c>
      <c r="H2477" s="270"/>
    </row>
    <row r="2478" spans="1:8" x14ac:dyDescent="0.25">
      <c r="A2478" s="257">
        <v>2482</v>
      </c>
      <c r="B2478" s="267">
        <v>2477</v>
      </c>
      <c r="C2478" s="268" t="s">
        <v>3240</v>
      </c>
      <c r="D2478" s="269">
        <v>42327</v>
      </c>
      <c r="E2478" s="270" t="s">
        <v>4218</v>
      </c>
      <c r="F2478" s="384">
        <v>300000</v>
      </c>
      <c r="G2478" s="270">
        <v>191111220</v>
      </c>
      <c r="H2478" s="270"/>
    </row>
    <row r="2479" spans="1:8" x14ac:dyDescent="0.25">
      <c r="A2479" s="257">
        <v>2483</v>
      </c>
      <c r="B2479" s="267">
        <v>2478</v>
      </c>
      <c r="C2479" s="268" t="s">
        <v>323</v>
      </c>
      <c r="D2479" s="269">
        <v>42327</v>
      </c>
      <c r="E2479" s="270" t="s">
        <v>2656</v>
      </c>
      <c r="F2479" s="384">
        <v>94000</v>
      </c>
      <c r="G2479" s="270">
        <v>691580100</v>
      </c>
      <c r="H2479" s="270"/>
    </row>
    <row r="2480" spans="1:8" x14ac:dyDescent="0.25">
      <c r="A2480" s="257">
        <v>2484</v>
      </c>
      <c r="B2480" s="267">
        <v>2479</v>
      </c>
      <c r="C2480" s="268" t="s">
        <v>395</v>
      </c>
      <c r="D2480" s="269">
        <v>42327</v>
      </c>
      <c r="E2480" s="270" t="s">
        <v>310</v>
      </c>
      <c r="F2480" s="384">
        <v>198000</v>
      </c>
      <c r="G2480" s="270">
        <v>101116094</v>
      </c>
      <c r="H2480" s="270"/>
    </row>
    <row r="2481" spans="1:8" x14ac:dyDescent="0.25">
      <c r="A2481" s="257">
        <v>2485</v>
      </c>
      <c r="B2481" s="267">
        <v>2480</v>
      </c>
      <c r="C2481" s="268" t="s">
        <v>3143</v>
      </c>
      <c r="D2481" s="269">
        <v>42327</v>
      </c>
      <c r="E2481" s="270" t="s">
        <v>3635</v>
      </c>
      <c r="F2481" s="384">
        <v>388000</v>
      </c>
      <c r="G2481" s="270">
        <v>100059044</v>
      </c>
      <c r="H2481" s="270"/>
    </row>
    <row r="2482" spans="1:8" x14ac:dyDescent="0.25">
      <c r="A2482" s="257">
        <v>2486</v>
      </c>
      <c r="B2482" s="267">
        <v>2481</v>
      </c>
      <c r="C2482" s="268" t="s">
        <v>978</v>
      </c>
      <c r="D2482" s="269">
        <v>42327</v>
      </c>
      <c r="E2482" s="270" t="s">
        <v>847</v>
      </c>
      <c r="F2482" s="384">
        <v>1110000</v>
      </c>
      <c r="G2482" s="270">
        <v>190853326</v>
      </c>
      <c r="H2482" s="270"/>
    </row>
    <row r="2483" spans="1:8" x14ac:dyDescent="0.25">
      <c r="A2483" s="257">
        <v>2487</v>
      </c>
      <c r="B2483" s="267">
        <v>2482</v>
      </c>
      <c r="C2483" s="268" t="s">
        <v>1918</v>
      </c>
      <c r="D2483" s="269">
        <v>42327</v>
      </c>
      <c r="E2483" s="270" t="s">
        <v>1607</v>
      </c>
      <c r="F2483" s="384">
        <v>435000</v>
      </c>
      <c r="G2483" s="270">
        <v>690643672</v>
      </c>
      <c r="H2483" s="270"/>
    </row>
    <row r="2484" spans="1:8" x14ac:dyDescent="0.25">
      <c r="A2484" s="257">
        <v>2488</v>
      </c>
      <c r="B2484" s="267">
        <v>2483</v>
      </c>
      <c r="C2484" s="268" t="s">
        <v>3839</v>
      </c>
      <c r="D2484" s="269">
        <v>42331</v>
      </c>
      <c r="E2484" s="270" t="s">
        <v>2451</v>
      </c>
      <c r="F2484" s="384">
        <v>1025000</v>
      </c>
      <c r="G2484" s="270">
        <v>100301806</v>
      </c>
      <c r="H2484" s="270"/>
    </row>
    <row r="2485" spans="1:8" x14ac:dyDescent="0.25">
      <c r="A2485" s="257">
        <v>2489</v>
      </c>
      <c r="B2485" s="267">
        <v>2484</v>
      </c>
      <c r="C2485" s="268" t="s">
        <v>3570</v>
      </c>
      <c r="D2485" s="269">
        <v>42331</v>
      </c>
      <c r="E2485" s="270" t="s">
        <v>3537</v>
      </c>
      <c r="F2485" s="384">
        <v>99000</v>
      </c>
      <c r="G2485" s="270">
        <v>190496892</v>
      </c>
      <c r="H2485" s="270"/>
    </row>
    <row r="2486" spans="1:8" x14ac:dyDescent="0.25">
      <c r="A2486" s="257">
        <v>2490</v>
      </c>
      <c r="B2486" s="267">
        <v>2485</v>
      </c>
      <c r="C2486" s="268" t="s">
        <v>378</v>
      </c>
      <c r="D2486" s="269">
        <v>42331</v>
      </c>
      <c r="E2486" s="270" t="s">
        <v>821</v>
      </c>
      <c r="F2486" s="384">
        <v>198000</v>
      </c>
      <c r="G2486" s="270">
        <v>191288011</v>
      </c>
      <c r="H2486" s="270"/>
    </row>
    <row r="2487" spans="1:8" x14ac:dyDescent="0.25">
      <c r="A2487" s="257">
        <v>2491</v>
      </c>
      <c r="B2487" s="267">
        <v>2486</v>
      </c>
      <c r="C2487" s="268" t="s">
        <v>3111</v>
      </c>
      <c r="D2487" s="269">
        <v>42331</v>
      </c>
      <c r="E2487" s="270" t="s">
        <v>1948</v>
      </c>
      <c r="F2487" s="384">
        <v>160000</v>
      </c>
      <c r="G2487" s="270">
        <v>808000755</v>
      </c>
      <c r="H2487" s="270"/>
    </row>
    <row r="2488" spans="1:8" x14ac:dyDescent="0.25">
      <c r="A2488" s="257">
        <v>2492</v>
      </c>
      <c r="B2488" s="267">
        <v>2487</v>
      </c>
      <c r="C2488" s="268" t="s">
        <v>954</v>
      </c>
      <c r="D2488" s="269">
        <v>42331</v>
      </c>
      <c r="E2488" s="270" t="s">
        <v>2711</v>
      </c>
      <c r="F2488" s="384">
        <v>715000</v>
      </c>
      <c r="G2488" s="270">
        <v>100230427</v>
      </c>
      <c r="H2488" s="270"/>
    </row>
    <row r="2489" spans="1:8" x14ac:dyDescent="0.25">
      <c r="A2489" s="257">
        <v>2493</v>
      </c>
      <c r="B2489" s="267">
        <v>2488</v>
      </c>
      <c r="C2489" s="268" t="s">
        <v>977</v>
      </c>
      <c r="D2489" s="269">
        <v>42331</v>
      </c>
      <c r="E2489" s="270" t="s">
        <v>1534</v>
      </c>
      <c r="F2489" s="384">
        <v>198000</v>
      </c>
      <c r="G2489" s="270">
        <v>190546263</v>
      </c>
      <c r="H2489" s="270"/>
    </row>
    <row r="2490" spans="1:8" x14ac:dyDescent="0.25">
      <c r="A2490" s="257">
        <v>2494</v>
      </c>
      <c r="B2490" s="267">
        <v>2489</v>
      </c>
      <c r="C2490" s="268" t="s">
        <v>3288</v>
      </c>
      <c r="D2490" s="269">
        <v>42331</v>
      </c>
      <c r="E2490" s="270" t="s">
        <v>3287</v>
      </c>
      <c r="F2490" s="384">
        <v>170000</v>
      </c>
      <c r="G2490" s="270">
        <v>0</v>
      </c>
      <c r="H2490" s="270"/>
    </row>
    <row r="2491" spans="1:8" x14ac:dyDescent="0.25">
      <c r="A2491" s="257">
        <v>2495</v>
      </c>
      <c r="B2491" s="267">
        <v>2490</v>
      </c>
      <c r="C2491" s="268" t="s">
        <v>2440</v>
      </c>
      <c r="D2491" s="269">
        <v>42331</v>
      </c>
      <c r="E2491" s="270" t="s">
        <v>404</v>
      </c>
      <c r="F2491" s="384">
        <v>240000</v>
      </c>
      <c r="G2491" s="270">
        <v>690657151</v>
      </c>
      <c r="H2491" s="270"/>
    </row>
    <row r="2492" spans="1:8" x14ac:dyDescent="0.25">
      <c r="A2492" s="257">
        <v>2496</v>
      </c>
      <c r="B2492" s="267">
        <v>2491</v>
      </c>
      <c r="C2492" s="268" t="s">
        <v>832</v>
      </c>
      <c r="D2492" s="269">
        <v>42331</v>
      </c>
      <c r="E2492" s="270" t="s">
        <v>245</v>
      </c>
      <c r="F2492" s="384">
        <v>63000</v>
      </c>
      <c r="G2492" s="270">
        <v>100886879</v>
      </c>
      <c r="H2492" s="270"/>
    </row>
    <row r="2493" spans="1:8" x14ac:dyDescent="0.25">
      <c r="A2493" s="257">
        <v>2497</v>
      </c>
      <c r="B2493" s="267">
        <v>2492</v>
      </c>
      <c r="C2493" s="268" t="s">
        <v>680</v>
      </c>
      <c r="D2493" s="269">
        <v>42334</v>
      </c>
      <c r="E2493" s="270" t="s">
        <v>3598</v>
      </c>
      <c r="F2493" s="384">
        <v>435000</v>
      </c>
      <c r="G2493" s="270">
        <v>190221603</v>
      </c>
      <c r="H2493" s="270"/>
    </row>
    <row r="2494" spans="1:8" x14ac:dyDescent="0.25">
      <c r="A2494" s="257">
        <v>2498</v>
      </c>
      <c r="B2494" s="267">
        <v>2493</v>
      </c>
      <c r="C2494" s="268" t="s">
        <v>411</v>
      </c>
      <c r="D2494" s="269">
        <v>42334</v>
      </c>
      <c r="E2494" s="270" t="s">
        <v>2681</v>
      </c>
      <c r="F2494" s="384">
        <v>160000</v>
      </c>
      <c r="G2494" s="270">
        <v>101541630</v>
      </c>
      <c r="H2494" s="270"/>
    </row>
    <row r="2495" spans="1:8" x14ac:dyDescent="0.25">
      <c r="A2495" s="257">
        <v>2499</v>
      </c>
      <c r="B2495" s="267">
        <v>2494</v>
      </c>
      <c r="C2495" s="268" t="s">
        <v>2104</v>
      </c>
      <c r="D2495" s="269">
        <v>42334</v>
      </c>
      <c r="E2495" s="270" t="s">
        <v>2736</v>
      </c>
      <c r="F2495" s="384">
        <v>36000</v>
      </c>
      <c r="G2495" s="270">
        <v>691780951</v>
      </c>
      <c r="H2495" s="270"/>
    </row>
    <row r="2496" spans="1:8" x14ac:dyDescent="0.25">
      <c r="A2496" s="257">
        <v>2500</v>
      </c>
      <c r="B2496" s="267">
        <v>2495</v>
      </c>
      <c r="C2496" s="268" t="s">
        <v>3223</v>
      </c>
      <c r="D2496" s="269">
        <v>42334</v>
      </c>
      <c r="E2496" s="270" t="s">
        <v>3303</v>
      </c>
      <c r="F2496" s="384">
        <v>63000</v>
      </c>
      <c r="G2496" s="270">
        <v>100297103</v>
      </c>
      <c r="H2496" s="270"/>
    </row>
    <row r="2497" spans="1:8" x14ac:dyDescent="0.25">
      <c r="A2497" s="257">
        <v>2501</v>
      </c>
      <c r="B2497" s="267">
        <v>2496</v>
      </c>
      <c r="C2497" s="268" t="s">
        <v>135</v>
      </c>
      <c r="D2497" s="269">
        <v>42334</v>
      </c>
      <c r="E2497" s="270" t="s">
        <v>4183</v>
      </c>
      <c r="F2497" s="384">
        <v>240000</v>
      </c>
      <c r="G2497" s="270">
        <v>691061027</v>
      </c>
      <c r="H2497" s="270"/>
    </row>
    <row r="2498" spans="1:8" x14ac:dyDescent="0.25">
      <c r="A2498" s="257">
        <v>2502</v>
      </c>
      <c r="B2498" s="267">
        <v>2497</v>
      </c>
      <c r="C2498" s="268" t="s">
        <v>1806</v>
      </c>
      <c r="D2498" s="269">
        <v>42334</v>
      </c>
      <c r="E2498" s="270" t="s">
        <v>2370</v>
      </c>
      <c r="F2498" s="384">
        <v>240000</v>
      </c>
      <c r="G2498" s="270">
        <v>100315382</v>
      </c>
      <c r="H2498" s="270"/>
    </row>
    <row r="2499" spans="1:8" x14ac:dyDescent="0.25">
      <c r="A2499" s="257">
        <v>2503</v>
      </c>
      <c r="B2499" s="267">
        <v>2498</v>
      </c>
      <c r="C2499" s="268" t="s">
        <v>3528</v>
      </c>
      <c r="D2499" s="269">
        <v>42334</v>
      </c>
      <c r="E2499" s="270" t="s">
        <v>733</v>
      </c>
      <c r="F2499" s="384">
        <v>63000</v>
      </c>
      <c r="G2499" s="270">
        <v>190770035</v>
      </c>
      <c r="H2499" s="270"/>
    </row>
    <row r="2500" spans="1:8" x14ac:dyDescent="0.25">
      <c r="A2500" s="257">
        <v>2504</v>
      </c>
      <c r="B2500" s="267">
        <v>2499</v>
      </c>
      <c r="C2500" s="268" t="s">
        <v>199</v>
      </c>
      <c r="D2500" s="269">
        <v>42335</v>
      </c>
      <c r="E2500" s="270" t="s">
        <v>2826</v>
      </c>
      <c r="F2500" s="384">
        <v>155000</v>
      </c>
      <c r="G2500" s="270">
        <v>101117856</v>
      </c>
      <c r="H2500" s="270"/>
    </row>
    <row r="2501" spans="1:8" x14ac:dyDescent="0.25">
      <c r="A2501" s="257">
        <v>2505</v>
      </c>
      <c r="B2501" s="267">
        <v>2500</v>
      </c>
      <c r="C2501" s="268" t="s">
        <v>1674</v>
      </c>
      <c r="D2501" s="269">
        <v>42335</v>
      </c>
      <c r="E2501" s="270" t="s">
        <v>2077</v>
      </c>
      <c r="F2501" s="384">
        <v>560000</v>
      </c>
      <c r="G2501" s="270">
        <v>100124836</v>
      </c>
      <c r="H2501" s="270"/>
    </row>
    <row r="2502" spans="1:8" x14ac:dyDescent="0.25">
      <c r="A2502" s="257">
        <v>2506</v>
      </c>
      <c r="B2502" s="267">
        <v>2501</v>
      </c>
      <c r="C2502" s="268" t="s">
        <v>1108</v>
      </c>
      <c r="D2502" s="269">
        <v>42335</v>
      </c>
      <c r="E2502" s="270" t="s">
        <v>4193</v>
      </c>
      <c r="F2502" s="384">
        <v>240000</v>
      </c>
      <c r="G2502" s="270">
        <v>100387745</v>
      </c>
      <c r="H2502" s="270"/>
    </row>
    <row r="2503" spans="1:8" x14ac:dyDescent="0.25">
      <c r="A2503" s="257">
        <v>2507</v>
      </c>
      <c r="B2503" s="267">
        <v>2502</v>
      </c>
      <c r="C2503" s="268" t="s">
        <v>3839</v>
      </c>
      <c r="D2503" s="269">
        <v>42335</v>
      </c>
      <c r="E2503" s="270" t="s">
        <v>2451</v>
      </c>
      <c r="F2503" s="384">
        <v>280000</v>
      </c>
      <c r="G2503" s="270">
        <v>100301806</v>
      </c>
      <c r="H2503" s="270"/>
    </row>
    <row r="2504" spans="1:8" x14ac:dyDescent="0.25">
      <c r="A2504" s="257">
        <v>2508</v>
      </c>
      <c r="B2504" s="267">
        <v>2503</v>
      </c>
      <c r="C2504" s="268" t="s">
        <v>996</v>
      </c>
      <c r="D2504" s="269">
        <v>42335</v>
      </c>
      <c r="E2504" s="270" t="s">
        <v>3304</v>
      </c>
      <c r="F2504" s="384">
        <v>130000</v>
      </c>
      <c r="G2504" s="270">
        <v>100626851</v>
      </c>
      <c r="H2504" s="270"/>
    </row>
    <row r="2505" spans="1:8" x14ac:dyDescent="0.25">
      <c r="A2505" s="257">
        <v>2509</v>
      </c>
      <c r="B2505" s="267">
        <v>2504</v>
      </c>
      <c r="C2505" s="268" t="s">
        <v>2768</v>
      </c>
      <c r="D2505" s="269">
        <v>42335</v>
      </c>
      <c r="E2505" s="270" t="s">
        <v>705</v>
      </c>
      <c r="F2505" s="384">
        <v>422000</v>
      </c>
      <c r="G2505" s="270">
        <v>600052728</v>
      </c>
      <c r="H2505" s="270"/>
    </row>
    <row r="2506" spans="1:8" x14ac:dyDescent="0.25">
      <c r="A2506" s="257">
        <v>2510</v>
      </c>
      <c r="B2506" s="267">
        <v>2505</v>
      </c>
      <c r="C2506" s="268" t="s">
        <v>3583</v>
      </c>
      <c r="D2506" s="269">
        <v>42336</v>
      </c>
      <c r="E2506" s="270" t="s">
        <v>497</v>
      </c>
      <c r="F2506" s="384">
        <v>160000</v>
      </c>
      <c r="G2506" s="270">
        <v>600008280</v>
      </c>
      <c r="H2506" s="270"/>
    </row>
    <row r="2507" spans="1:8" x14ac:dyDescent="0.25">
      <c r="A2507" s="257">
        <v>2511</v>
      </c>
      <c r="B2507" s="267">
        <v>2506</v>
      </c>
      <c r="C2507" s="268" t="s">
        <v>855</v>
      </c>
      <c r="D2507" s="269">
        <v>42336</v>
      </c>
      <c r="E2507" s="270" t="s">
        <v>1804</v>
      </c>
      <c r="F2507" s="384">
        <v>98000</v>
      </c>
      <c r="G2507" s="270">
        <v>191327737</v>
      </c>
      <c r="H2507" s="270"/>
    </row>
    <row r="2508" spans="1:8" x14ac:dyDescent="0.25">
      <c r="A2508" s="257">
        <v>2512</v>
      </c>
      <c r="B2508" s="267">
        <v>2507</v>
      </c>
      <c r="C2508" s="268" t="s">
        <v>1057</v>
      </c>
      <c r="D2508" s="269">
        <v>42338</v>
      </c>
      <c r="E2508" s="270" t="s">
        <v>3092</v>
      </c>
      <c r="F2508" s="384">
        <v>63000</v>
      </c>
      <c r="G2508" s="270">
        <v>100779791</v>
      </c>
      <c r="H2508" s="270"/>
    </row>
    <row r="2509" spans="1:8" x14ac:dyDescent="0.25">
      <c r="A2509" s="257">
        <v>2513</v>
      </c>
      <c r="B2509" s="267">
        <v>2508</v>
      </c>
      <c r="C2509" s="268" t="s">
        <v>1639</v>
      </c>
      <c r="D2509" s="269">
        <v>42338</v>
      </c>
      <c r="E2509" s="270" t="s">
        <v>3850</v>
      </c>
      <c r="F2509" s="384">
        <v>36000</v>
      </c>
      <c r="G2509" s="270">
        <v>800011635</v>
      </c>
      <c r="H2509" s="270"/>
    </row>
    <row r="2510" spans="1:8" x14ac:dyDescent="0.25">
      <c r="A2510" s="257">
        <v>2514</v>
      </c>
      <c r="B2510" s="267">
        <v>2509</v>
      </c>
      <c r="C2510" s="268" t="s">
        <v>492</v>
      </c>
      <c r="D2510" s="269">
        <v>42339</v>
      </c>
      <c r="E2510" s="270" t="s">
        <v>1859</v>
      </c>
      <c r="F2510" s="384">
        <v>280000</v>
      </c>
      <c r="G2510" s="270">
        <v>101434885</v>
      </c>
      <c r="H2510" s="270"/>
    </row>
    <row r="2511" spans="1:8" x14ac:dyDescent="0.25">
      <c r="A2511" s="257">
        <v>2515</v>
      </c>
      <c r="B2511" s="267">
        <v>2510</v>
      </c>
      <c r="C2511" s="268" t="s">
        <v>1117</v>
      </c>
      <c r="D2511" s="269">
        <v>42339</v>
      </c>
      <c r="E2511" s="270" t="s">
        <v>2034</v>
      </c>
      <c r="F2511" s="384">
        <v>198000</v>
      </c>
      <c r="G2511" s="270">
        <v>101477759</v>
      </c>
      <c r="H2511" s="270"/>
    </row>
    <row r="2512" spans="1:8" x14ac:dyDescent="0.25">
      <c r="A2512" s="257">
        <v>2516</v>
      </c>
      <c r="B2512" s="267">
        <v>2511</v>
      </c>
      <c r="C2512" s="268" t="s">
        <v>2143</v>
      </c>
      <c r="D2512" s="269">
        <v>42339</v>
      </c>
      <c r="E2512" s="270" t="s">
        <v>1927</v>
      </c>
      <c r="F2512" s="384">
        <v>165000</v>
      </c>
      <c r="G2512" s="270">
        <v>190032958</v>
      </c>
      <c r="H2512" s="270"/>
    </row>
    <row r="2513" spans="1:8" x14ac:dyDescent="0.25">
      <c r="A2513" s="257">
        <v>2517</v>
      </c>
      <c r="B2513" s="267">
        <v>2512</v>
      </c>
      <c r="C2513" s="268" t="s">
        <v>2838</v>
      </c>
      <c r="D2513" s="269">
        <v>42339</v>
      </c>
      <c r="E2513" s="270" t="s">
        <v>1627</v>
      </c>
      <c r="F2513" s="384">
        <v>435000</v>
      </c>
      <c r="G2513" s="270">
        <v>100687805</v>
      </c>
      <c r="H2513" s="270"/>
    </row>
    <row r="2514" spans="1:8" x14ac:dyDescent="0.25">
      <c r="A2514" s="257">
        <v>2518</v>
      </c>
      <c r="B2514" s="267">
        <v>2513</v>
      </c>
      <c r="C2514" s="268" t="s">
        <v>265</v>
      </c>
      <c r="D2514" s="269">
        <v>42339</v>
      </c>
      <c r="E2514" s="270" t="s">
        <v>450</v>
      </c>
      <c r="F2514" s="384">
        <v>1740000</v>
      </c>
      <c r="G2514" s="270">
        <v>100468996</v>
      </c>
      <c r="H2514" s="270"/>
    </row>
    <row r="2515" spans="1:8" x14ac:dyDescent="0.25">
      <c r="A2515" s="257">
        <v>2519</v>
      </c>
      <c r="B2515" s="267">
        <v>2514</v>
      </c>
      <c r="C2515" s="268" t="s">
        <v>2870</v>
      </c>
      <c r="D2515" s="269">
        <v>42339</v>
      </c>
      <c r="E2515" s="270" t="s">
        <v>877</v>
      </c>
      <c r="F2515" s="384">
        <v>125000</v>
      </c>
      <c r="G2515" s="270">
        <v>100064641</v>
      </c>
      <c r="H2515" s="270"/>
    </row>
    <row r="2516" spans="1:8" x14ac:dyDescent="0.25">
      <c r="A2516" s="257">
        <v>2520</v>
      </c>
      <c r="B2516" s="267">
        <v>2515</v>
      </c>
      <c r="C2516" s="268" t="s">
        <v>394</v>
      </c>
      <c r="D2516" s="269">
        <v>42339</v>
      </c>
      <c r="E2516" s="270" t="s">
        <v>1616</v>
      </c>
      <c r="F2516" s="384">
        <v>165000</v>
      </c>
      <c r="G2516" s="270">
        <v>191338934</v>
      </c>
      <c r="H2516" s="270"/>
    </row>
    <row r="2517" spans="1:8" x14ac:dyDescent="0.25">
      <c r="A2517" s="257">
        <v>2521</v>
      </c>
      <c r="B2517" s="267">
        <v>2516</v>
      </c>
      <c r="C2517" s="268" t="s">
        <v>1647</v>
      </c>
      <c r="D2517" s="269">
        <v>42339</v>
      </c>
      <c r="E2517" s="270" t="s">
        <v>1687</v>
      </c>
      <c r="F2517" s="384">
        <v>435000</v>
      </c>
      <c r="G2517" s="270">
        <v>691420821</v>
      </c>
      <c r="H2517" s="270"/>
    </row>
    <row r="2518" spans="1:8" x14ac:dyDescent="0.25">
      <c r="A2518" s="257">
        <v>2522</v>
      </c>
      <c r="B2518" s="267">
        <v>2517</v>
      </c>
      <c r="C2518" s="268" t="s">
        <v>1613</v>
      </c>
      <c r="D2518" s="269">
        <v>42339</v>
      </c>
      <c r="E2518" s="270" t="s">
        <v>514</v>
      </c>
      <c r="F2518" s="384">
        <v>50000</v>
      </c>
      <c r="G2518" s="270">
        <v>190273406</v>
      </c>
      <c r="H2518" s="270"/>
    </row>
    <row r="2519" spans="1:8" x14ac:dyDescent="0.25">
      <c r="A2519" s="257">
        <v>2523</v>
      </c>
      <c r="B2519" s="267">
        <v>2518</v>
      </c>
      <c r="C2519" s="268" t="s">
        <v>265</v>
      </c>
      <c r="D2519" s="269">
        <v>42339</v>
      </c>
      <c r="E2519" s="270" t="s">
        <v>450</v>
      </c>
      <c r="F2519" s="384">
        <v>1025000</v>
      </c>
      <c r="G2519" s="270">
        <v>100468996</v>
      </c>
      <c r="H2519" s="270"/>
    </row>
    <row r="2520" spans="1:8" x14ac:dyDescent="0.25">
      <c r="A2520" s="257">
        <v>2524</v>
      </c>
      <c r="B2520" s="267">
        <v>2519</v>
      </c>
      <c r="C2520" s="268" t="s">
        <v>853</v>
      </c>
      <c r="D2520" s="269">
        <v>42340</v>
      </c>
      <c r="E2520" s="270" t="s">
        <v>1773</v>
      </c>
      <c r="F2520" s="384">
        <v>198000</v>
      </c>
      <c r="G2520" s="270">
        <v>691126703</v>
      </c>
      <c r="H2520" s="270"/>
    </row>
    <row r="2521" spans="1:8" x14ac:dyDescent="0.25">
      <c r="A2521" s="257">
        <v>2525</v>
      </c>
      <c r="B2521" s="267">
        <v>2520</v>
      </c>
      <c r="C2521" s="268" t="s">
        <v>832</v>
      </c>
      <c r="D2521" s="269">
        <v>42340</v>
      </c>
      <c r="E2521" s="270" t="s">
        <v>245</v>
      </c>
      <c r="F2521" s="384">
        <v>198000</v>
      </c>
      <c r="G2521" s="270">
        <v>100886879</v>
      </c>
      <c r="H2521" s="270"/>
    </row>
    <row r="2522" spans="1:8" x14ac:dyDescent="0.25">
      <c r="A2522" s="257">
        <v>2526</v>
      </c>
      <c r="B2522" s="267">
        <v>2521</v>
      </c>
      <c r="C2522" s="268" t="s">
        <v>1117</v>
      </c>
      <c r="D2522" s="269">
        <v>42340</v>
      </c>
      <c r="E2522" s="270" t="s">
        <v>2034</v>
      </c>
      <c r="F2522" s="384">
        <v>130000</v>
      </c>
      <c r="G2522" s="270">
        <v>101477759</v>
      </c>
      <c r="H2522" s="270"/>
    </row>
    <row r="2523" spans="1:8" x14ac:dyDescent="0.25">
      <c r="A2523" s="257">
        <v>2527</v>
      </c>
      <c r="B2523" s="267">
        <v>2522</v>
      </c>
      <c r="C2523" s="268" t="s">
        <v>2597</v>
      </c>
      <c r="D2523" s="269">
        <v>42340</v>
      </c>
      <c r="E2523" s="270" t="s">
        <v>1640</v>
      </c>
      <c r="F2523" s="384">
        <v>1305000</v>
      </c>
      <c r="G2523" s="270">
        <v>100262573</v>
      </c>
      <c r="H2523" s="270"/>
    </row>
    <row r="2524" spans="1:8" x14ac:dyDescent="0.25">
      <c r="A2524" s="257">
        <v>2528</v>
      </c>
      <c r="B2524" s="267">
        <v>2523</v>
      </c>
      <c r="C2524" s="268" t="s">
        <v>2166</v>
      </c>
      <c r="D2524" s="269">
        <v>42340</v>
      </c>
      <c r="E2524" s="270" t="s">
        <v>1685</v>
      </c>
      <c r="F2524" s="384">
        <v>280000</v>
      </c>
      <c r="G2524" s="270">
        <v>100315326</v>
      </c>
      <c r="H2524" s="270"/>
    </row>
    <row r="2525" spans="1:8" x14ac:dyDescent="0.25">
      <c r="A2525" s="257">
        <v>2529</v>
      </c>
      <c r="B2525" s="267">
        <v>2524</v>
      </c>
      <c r="C2525" s="268" t="s">
        <v>830</v>
      </c>
      <c r="D2525" s="269">
        <v>42340</v>
      </c>
      <c r="E2525" s="270" t="s">
        <v>4223</v>
      </c>
      <c r="F2525" s="384">
        <v>160000</v>
      </c>
      <c r="G2525" s="270">
        <v>192212697</v>
      </c>
      <c r="H2525" s="270"/>
    </row>
    <row r="2526" spans="1:8" x14ac:dyDescent="0.25">
      <c r="A2526" s="257">
        <v>2530</v>
      </c>
      <c r="B2526" s="267">
        <v>2525</v>
      </c>
      <c r="C2526" s="268" t="s">
        <v>1674</v>
      </c>
      <c r="D2526" s="269">
        <v>42341</v>
      </c>
      <c r="E2526" s="270" t="s">
        <v>2077</v>
      </c>
      <c r="F2526" s="384">
        <v>715000</v>
      </c>
      <c r="G2526" s="270">
        <v>100124836</v>
      </c>
      <c r="H2526" s="270"/>
    </row>
    <row r="2527" spans="1:8" x14ac:dyDescent="0.25">
      <c r="A2527" s="257">
        <v>2531</v>
      </c>
      <c r="B2527" s="267">
        <v>2526</v>
      </c>
      <c r="C2527" s="268" t="s">
        <v>853</v>
      </c>
      <c r="D2527" s="269">
        <v>42341</v>
      </c>
      <c r="E2527" s="270" t="s">
        <v>1773</v>
      </c>
      <c r="F2527" s="384">
        <v>67000</v>
      </c>
      <c r="G2527" s="270">
        <v>691126703</v>
      </c>
      <c r="H2527" s="270"/>
    </row>
    <row r="2528" spans="1:8" x14ac:dyDescent="0.25">
      <c r="A2528" s="257">
        <v>2532</v>
      </c>
      <c r="B2528" s="267">
        <v>2527</v>
      </c>
      <c r="C2528" s="268" t="s">
        <v>823</v>
      </c>
      <c r="D2528" s="269">
        <v>42341</v>
      </c>
      <c r="E2528" s="270" t="s">
        <v>3600</v>
      </c>
      <c r="F2528" s="384">
        <v>435000</v>
      </c>
      <c r="G2528" s="270">
        <v>690628627</v>
      </c>
      <c r="H2528" s="270"/>
    </row>
    <row r="2529" spans="1:8" x14ac:dyDescent="0.25">
      <c r="A2529" s="257">
        <v>2533</v>
      </c>
      <c r="B2529" s="267">
        <v>2528</v>
      </c>
      <c r="C2529" s="268" t="s">
        <v>3326</v>
      </c>
      <c r="D2529" s="269">
        <v>42341</v>
      </c>
      <c r="E2529" s="270" t="s">
        <v>164</v>
      </c>
      <c r="F2529" s="384">
        <v>5600000</v>
      </c>
      <c r="G2529" s="270">
        <v>100534485</v>
      </c>
      <c r="H2529" s="270"/>
    </row>
    <row r="2530" spans="1:8" x14ac:dyDescent="0.25">
      <c r="A2530" s="257">
        <v>2534</v>
      </c>
      <c r="B2530" s="267">
        <v>2529</v>
      </c>
      <c r="C2530" s="268" t="s">
        <v>4234</v>
      </c>
      <c r="D2530" s="269">
        <v>42341</v>
      </c>
      <c r="E2530" s="270" t="s">
        <v>340</v>
      </c>
      <c r="F2530" s="384">
        <v>435000</v>
      </c>
      <c r="G2530" s="270">
        <v>190444477</v>
      </c>
      <c r="H2530" s="270"/>
    </row>
    <row r="2531" spans="1:8" x14ac:dyDescent="0.25">
      <c r="A2531" s="257">
        <v>2535</v>
      </c>
      <c r="B2531" s="267">
        <v>2530</v>
      </c>
      <c r="C2531" s="268" t="s">
        <v>3143</v>
      </c>
      <c r="D2531" s="269">
        <v>42341</v>
      </c>
      <c r="E2531" s="270" t="s">
        <v>3635</v>
      </c>
      <c r="F2531" s="384">
        <v>189000</v>
      </c>
      <c r="G2531" s="270">
        <v>100059044</v>
      </c>
      <c r="H2531" s="270"/>
    </row>
    <row r="2532" spans="1:8" x14ac:dyDescent="0.25">
      <c r="A2532" s="257">
        <v>2536</v>
      </c>
      <c r="B2532" s="267">
        <v>2531</v>
      </c>
      <c r="C2532" s="268" t="s">
        <v>3544</v>
      </c>
      <c r="D2532" s="269">
        <v>42341</v>
      </c>
      <c r="E2532" s="270" t="s">
        <v>2707</v>
      </c>
      <c r="F2532" s="384">
        <v>198000</v>
      </c>
      <c r="G2532" s="270">
        <v>100667855</v>
      </c>
      <c r="H2532" s="270"/>
    </row>
    <row r="2533" spans="1:8" x14ac:dyDescent="0.25">
      <c r="A2533" s="257">
        <v>2537</v>
      </c>
      <c r="B2533" s="267">
        <v>2532</v>
      </c>
      <c r="C2533" s="268" t="s">
        <v>452</v>
      </c>
      <c r="D2533" s="269">
        <v>42341</v>
      </c>
      <c r="E2533" s="270" t="s">
        <v>146</v>
      </c>
      <c r="F2533" s="384">
        <v>198000</v>
      </c>
      <c r="G2533" s="270">
        <v>100839215</v>
      </c>
      <c r="H2533" s="270"/>
    </row>
    <row r="2534" spans="1:8" x14ac:dyDescent="0.25">
      <c r="A2534" s="257">
        <v>2538</v>
      </c>
      <c r="B2534" s="267">
        <v>2533</v>
      </c>
      <c r="C2534" s="268" t="s">
        <v>2766</v>
      </c>
      <c r="D2534" s="269">
        <v>42341</v>
      </c>
      <c r="E2534" s="270" t="s">
        <v>18</v>
      </c>
      <c r="F2534" s="384">
        <v>63000</v>
      </c>
      <c r="G2534" s="270">
        <v>100251590</v>
      </c>
      <c r="H2534" s="270"/>
    </row>
    <row r="2535" spans="1:8" x14ac:dyDescent="0.25">
      <c r="A2535" s="257">
        <v>2539</v>
      </c>
      <c r="B2535" s="267">
        <v>2534</v>
      </c>
      <c r="C2535" s="268" t="s">
        <v>2835</v>
      </c>
      <c r="D2535" s="269">
        <v>42341</v>
      </c>
      <c r="E2535" s="270" t="s">
        <v>2890</v>
      </c>
      <c r="F2535" s="384">
        <v>450000</v>
      </c>
      <c r="G2535" s="270">
        <v>690367172</v>
      </c>
      <c r="H2535" s="270"/>
    </row>
    <row r="2536" spans="1:8" x14ac:dyDescent="0.25">
      <c r="A2536" s="257">
        <v>2540</v>
      </c>
      <c r="B2536" s="267">
        <v>2535</v>
      </c>
      <c r="C2536" s="268" t="s">
        <v>331</v>
      </c>
      <c r="D2536" s="269">
        <v>42341</v>
      </c>
      <c r="E2536" s="270" t="s">
        <v>1051</v>
      </c>
      <c r="F2536" s="384">
        <v>165000</v>
      </c>
      <c r="G2536" s="270">
        <v>192394911</v>
      </c>
      <c r="H2536" s="270"/>
    </row>
    <row r="2537" spans="1:8" x14ac:dyDescent="0.25">
      <c r="A2537" s="257">
        <v>2541</v>
      </c>
      <c r="B2537" s="267">
        <v>2536</v>
      </c>
      <c r="C2537" s="268" t="s">
        <v>823</v>
      </c>
      <c r="D2537" s="269">
        <v>42341</v>
      </c>
      <c r="E2537" s="270" t="s">
        <v>3600</v>
      </c>
      <c r="F2537" s="384">
        <v>67000</v>
      </c>
      <c r="G2537" s="270">
        <v>690628627</v>
      </c>
      <c r="H2537" s="270"/>
    </row>
    <row r="2538" spans="1:8" x14ac:dyDescent="0.25">
      <c r="A2538" s="257">
        <v>2542</v>
      </c>
      <c r="B2538" s="267">
        <v>2537</v>
      </c>
      <c r="C2538" s="268" t="s">
        <v>3326</v>
      </c>
      <c r="D2538" s="269">
        <v>42342</v>
      </c>
      <c r="E2538" s="270" t="s">
        <v>164</v>
      </c>
      <c r="F2538" s="384">
        <v>99000</v>
      </c>
      <c r="G2538" s="270">
        <v>100534485</v>
      </c>
      <c r="H2538" s="270"/>
    </row>
    <row r="2539" spans="1:8" x14ac:dyDescent="0.25">
      <c r="A2539" s="257">
        <v>2543</v>
      </c>
      <c r="B2539" s="267">
        <v>2538</v>
      </c>
      <c r="C2539" s="268" t="s">
        <v>3326</v>
      </c>
      <c r="D2539" s="269">
        <v>42342</v>
      </c>
      <c r="E2539" s="270" t="s">
        <v>164</v>
      </c>
      <c r="F2539" s="384">
        <v>93000</v>
      </c>
      <c r="G2539" s="270">
        <v>100534485</v>
      </c>
      <c r="H2539" s="270"/>
    </row>
    <row r="2540" spans="1:8" x14ac:dyDescent="0.25">
      <c r="A2540" s="257">
        <v>2544</v>
      </c>
      <c r="B2540" s="267">
        <v>2539</v>
      </c>
      <c r="C2540" s="268" t="s">
        <v>519</v>
      </c>
      <c r="D2540" s="269">
        <v>42342</v>
      </c>
      <c r="E2540" s="270" t="s">
        <v>2668</v>
      </c>
      <c r="F2540" s="384">
        <v>198000</v>
      </c>
      <c r="G2540" s="270">
        <v>191428080</v>
      </c>
      <c r="H2540" s="270"/>
    </row>
    <row r="2541" spans="1:8" x14ac:dyDescent="0.25">
      <c r="A2541" s="257">
        <v>2545</v>
      </c>
      <c r="B2541" s="267">
        <v>2540</v>
      </c>
      <c r="C2541" s="268" t="s">
        <v>2778</v>
      </c>
      <c r="D2541" s="269">
        <v>42342</v>
      </c>
      <c r="E2541" s="270" t="s">
        <v>326</v>
      </c>
      <c r="F2541" s="384">
        <v>280000</v>
      </c>
      <c r="G2541" s="270">
        <v>200216443</v>
      </c>
      <c r="H2541" s="270"/>
    </row>
    <row r="2542" spans="1:8" x14ac:dyDescent="0.25">
      <c r="A2542" s="257">
        <v>2546</v>
      </c>
      <c r="B2542" s="267">
        <v>2541</v>
      </c>
      <c r="C2542" s="268" t="s">
        <v>823</v>
      </c>
      <c r="D2542" s="269">
        <v>42342</v>
      </c>
      <c r="E2542" s="270" t="s">
        <v>3600</v>
      </c>
      <c r="F2542" s="384">
        <v>36000</v>
      </c>
      <c r="G2542" s="270">
        <v>690628627</v>
      </c>
      <c r="H2542" s="270"/>
    </row>
    <row r="2543" spans="1:8" x14ac:dyDescent="0.25">
      <c r="A2543" s="257">
        <v>2547</v>
      </c>
      <c r="B2543" s="267">
        <v>2542</v>
      </c>
      <c r="C2543" s="268" t="s">
        <v>1608</v>
      </c>
      <c r="D2543" s="269">
        <v>42342</v>
      </c>
      <c r="E2543" s="270" t="s">
        <v>2743</v>
      </c>
      <c r="F2543" s="384">
        <v>160000</v>
      </c>
      <c r="G2543" s="270">
        <v>600052544</v>
      </c>
      <c r="H2543" s="270"/>
    </row>
    <row r="2544" spans="1:8" x14ac:dyDescent="0.25">
      <c r="A2544" s="257">
        <v>2548</v>
      </c>
      <c r="B2544" s="267">
        <v>2543</v>
      </c>
      <c r="C2544" s="268" t="s">
        <v>1845</v>
      </c>
      <c r="D2544" s="269">
        <v>42343</v>
      </c>
      <c r="E2544" s="270" t="s">
        <v>3638</v>
      </c>
      <c r="F2544" s="384">
        <v>435000</v>
      </c>
      <c r="G2544" s="270">
        <v>100227948</v>
      </c>
      <c r="H2544" s="270"/>
    </row>
    <row r="2545" spans="1:8" x14ac:dyDescent="0.25">
      <c r="A2545" s="257">
        <v>2549</v>
      </c>
      <c r="B2545" s="267">
        <v>2544</v>
      </c>
      <c r="C2545" s="268" t="s">
        <v>2427</v>
      </c>
      <c r="D2545" s="269">
        <v>42345</v>
      </c>
      <c r="E2545" s="270" t="s">
        <v>736</v>
      </c>
      <c r="F2545" s="384">
        <v>160000</v>
      </c>
      <c r="G2545" s="270">
        <v>101290864</v>
      </c>
      <c r="H2545" s="270"/>
    </row>
    <row r="2546" spans="1:8" x14ac:dyDescent="0.25">
      <c r="A2546" s="257">
        <v>2550</v>
      </c>
      <c r="B2546" s="267">
        <v>2545</v>
      </c>
      <c r="C2546" s="268" t="s">
        <v>1608</v>
      </c>
      <c r="D2546" s="269">
        <v>42345</v>
      </c>
      <c r="E2546" s="270" t="s">
        <v>2743</v>
      </c>
      <c r="F2546" s="384">
        <v>769000</v>
      </c>
      <c r="G2546" s="270">
        <v>600052544</v>
      </c>
      <c r="H2546" s="270"/>
    </row>
    <row r="2547" spans="1:8" x14ac:dyDescent="0.25">
      <c r="A2547" s="257">
        <v>2551</v>
      </c>
      <c r="B2547" s="267">
        <v>2546</v>
      </c>
      <c r="C2547" s="268" t="s">
        <v>2156</v>
      </c>
      <c r="D2547" s="269">
        <v>42345</v>
      </c>
      <c r="E2547" s="270" t="s">
        <v>1053</v>
      </c>
      <c r="F2547" s="384">
        <v>240000</v>
      </c>
      <c r="G2547" s="270">
        <v>690850451</v>
      </c>
      <c r="H2547" s="270"/>
    </row>
    <row r="2548" spans="1:8" x14ac:dyDescent="0.25">
      <c r="A2548" s="257">
        <v>2552</v>
      </c>
      <c r="B2548" s="267">
        <v>2547</v>
      </c>
      <c r="C2548" s="268" t="s">
        <v>681</v>
      </c>
      <c r="D2548" s="269">
        <v>42345</v>
      </c>
      <c r="E2548" s="270" t="s">
        <v>152</v>
      </c>
      <c r="F2548" s="384">
        <v>165000</v>
      </c>
      <c r="G2548" s="270">
        <v>790117033</v>
      </c>
      <c r="H2548" s="270"/>
    </row>
    <row r="2549" spans="1:8" x14ac:dyDescent="0.25">
      <c r="A2549" s="257">
        <v>2553</v>
      </c>
      <c r="B2549" s="267">
        <v>2548</v>
      </c>
      <c r="C2549" s="268" t="s">
        <v>2650</v>
      </c>
      <c r="D2549" s="269">
        <v>42345</v>
      </c>
      <c r="E2549" s="270" t="s">
        <v>2372</v>
      </c>
      <c r="F2549" s="384">
        <v>198000</v>
      </c>
      <c r="G2549" s="270">
        <v>191110967</v>
      </c>
      <c r="H2549" s="270"/>
    </row>
    <row r="2550" spans="1:8" x14ac:dyDescent="0.25">
      <c r="A2550" s="257">
        <v>2554</v>
      </c>
      <c r="B2550" s="267">
        <v>2549</v>
      </c>
      <c r="C2550" s="268" t="s">
        <v>367</v>
      </c>
      <c r="D2550" s="269">
        <v>42345</v>
      </c>
      <c r="E2550" s="270" t="s">
        <v>839</v>
      </c>
      <c r="F2550" s="384">
        <v>198000</v>
      </c>
      <c r="G2550" s="270">
        <v>101166741</v>
      </c>
      <c r="H2550" s="270"/>
    </row>
    <row r="2551" spans="1:8" x14ac:dyDescent="0.25">
      <c r="A2551" s="257">
        <v>2555</v>
      </c>
      <c r="B2551" s="267">
        <v>2550</v>
      </c>
      <c r="C2551" s="268" t="s">
        <v>173</v>
      </c>
      <c r="D2551" s="269">
        <v>42345</v>
      </c>
      <c r="E2551" s="270" t="s">
        <v>2849</v>
      </c>
      <c r="F2551" s="384">
        <v>870000</v>
      </c>
      <c r="G2551" s="270">
        <v>491031825</v>
      </c>
      <c r="H2551" s="270"/>
    </row>
    <row r="2552" spans="1:8" x14ac:dyDescent="0.25">
      <c r="A2552" s="257">
        <v>2556</v>
      </c>
      <c r="B2552" s="267">
        <v>2551</v>
      </c>
      <c r="C2552" s="268" t="s">
        <v>3657</v>
      </c>
      <c r="D2552" s="269">
        <v>42346</v>
      </c>
      <c r="E2552" s="270" t="s">
        <v>362</v>
      </c>
      <c r="F2552" s="384">
        <v>1585000</v>
      </c>
      <c r="G2552" s="270">
        <v>100099082</v>
      </c>
      <c r="H2552" s="270"/>
    </row>
    <row r="2553" spans="1:8" x14ac:dyDescent="0.25">
      <c r="A2553" s="257">
        <v>2557</v>
      </c>
      <c r="B2553" s="267">
        <v>2552</v>
      </c>
      <c r="C2553" s="268" t="s">
        <v>2036</v>
      </c>
      <c r="D2553" s="269">
        <v>42346</v>
      </c>
      <c r="E2553" s="270" t="s">
        <v>3594</v>
      </c>
      <c r="F2553" s="384">
        <v>435000</v>
      </c>
      <c r="G2553" s="270">
        <v>190882802</v>
      </c>
      <c r="H2553" s="270"/>
    </row>
    <row r="2554" spans="1:8" x14ac:dyDescent="0.25">
      <c r="A2554" s="257">
        <v>2558</v>
      </c>
      <c r="B2554" s="267">
        <v>2553</v>
      </c>
      <c r="C2554" s="268" t="s">
        <v>173</v>
      </c>
      <c r="D2554" s="269">
        <v>42346</v>
      </c>
      <c r="E2554" s="270" t="s">
        <v>2849</v>
      </c>
      <c r="F2554" s="384">
        <v>126000</v>
      </c>
      <c r="G2554" s="270">
        <v>491031825</v>
      </c>
      <c r="H2554" s="270"/>
    </row>
    <row r="2555" spans="1:8" x14ac:dyDescent="0.25">
      <c r="A2555" s="257">
        <v>2559</v>
      </c>
      <c r="B2555" s="267">
        <v>2554</v>
      </c>
      <c r="C2555" s="268" t="s">
        <v>830</v>
      </c>
      <c r="D2555" s="269">
        <v>42346</v>
      </c>
      <c r="E2555" s="270" t="s">
        <v>4223</v>
      </c>
      <c r="F2555" s="384">
        <v>67000</v>
      </c>
      <c r="G2555" s="270">
        <v>192212697</v>
      </c>
      <c r="H2555" s="270"/>
    </row>
    <row r="2556" spans="1:8" x14ac:dyDescent="0.25">
      <c r="A2556" s="257">
        <v>2560</v>
      </c>
      <c r="B2556" s="267">
        <v>2555</v>
      </c>
      <c r="C2556" s="268" t="s">
        <v>870</v>
      </c>
      <c r="D2556" s="269">
        <v>42346</v>
      </c>
      <c r="E2556" s="270" t="s">
        <v>428</v>
      </c>
      <c r="F2556" s="384">
        <v>97000</v>
      </c>
      <c r="G2556" s="270">
        <v>100783448</v>
      </c>
      <c r="H2556" s="270"/>
    </row>
    <row r="2557" spans="1:8" x14ac:dyDescent="0.25">
      <c r="A2557" s="257">
        <v>2561</v>
      </c>
      <c r="B2557" s="267">
        <v>2556</v>
      </c>
      <c r="C2557" s="268" t="s">
        <v>377</v>
      </c>
      <c r="D2557" s="269">
        <v>42347</v>
      </c>
      <c r="E2557" s="270" t="s">
        <v>376</v>
      </c>
      <c r="F2557" s="384">
        <v>396000</v>
      </c>
      <c r="G2557" s="270">
        <v>192539650</v>
      </c>
      <c r="H2557" s="270"/>
    </row>
    <row r="2558" spans="1:8" x14ac:dyDescent="0.25">
      <c r="A2558" s="257">
        <v>2562</v>
      </c>
      <c r="B2558" s="267">
        <v>2557</v>
      </c>
      <c r="C2558" s="268" t="s">
        <v>342</v>
      </c>
      <c r="D2558" s="269">
        <v>42347</v>
      </c>
      <c r="E2558" s="270" t="s">
        <v>3558</v>
      </c>
      <c r="F2558" s="384">
        <v>160000</v>
      </c>
      <c r="G2558" s="270">
        <v>601072665</v>
      </c>
      <c r="H2558" s="270"/>
    </row>
    <row r="2559" spans="1:8" x14ac:dyDescent="0.25">
      <c r="A2559" s="257">
        <v>2563</v>
      </c>
      <c r="B2559" s="267">
        <v>2558</v>
      </c>
      <c r="C2559" s="268" t="s">
        <v>204</v>
      </c>
      <c r="D2559" s="269">
        <v>42347</v>
      </c>
      <c r="E2559" s="270" t="s">
        <v>2357</v>
      </c>
      <c r="F2559" s="384">
        <v>240000</v>
      </c>
      <c r="G2559" s="270">
        <v>691433942</v>
      </c>
      <c r="H2559" s="270"/>
    </row>
    <row r="2560" spans="1:8" x14ac:dyDescent="0.25">
      <c r="A2560" s="257">
        <v>2564</v>
      </c>
      <c r="B2560" s="267">
        <v>2559</v>
      </c>
      <c r="C2560" s="268" t="s">
        <v>173</v>
      </c>
      <c r="D2560" s="269">
        <v>42347</v>
      </c>
      <c r="E2560" s="270" t="s">
        <v>2849</v>
      </c>
      <c r="F2560" s="384">
        <v>36000</v>
      </c>
      <c r="G2560" s="270">
        <v>491031825</v>
      </c>
      <c r="H2560" s="270"/>
    </row>
    <row r="2561" spans="1:8" x14ac:dyDescent="0.25">
      <c r="A2561" s="257">
        <v>2565</v>
      </c>
      <c r="B2561" s="267">
        <v>2560</v>
      </c>
      <c r="C2561" s="268" t="s">
        <v>2650</v>
      </c>
      <c r="D2561" s="269">
        <v>42347</v>
      </c>
      <c r="E2561" s="270" t="s">
        <v>2372</v>
      </c>
      <c r="F2561" s="384">
        <v>67000</v>
      </c>
      <c r="G2561" s="270">
        <v>191110967</v>
      </c>
      <c r="H2561" s="270"/>
    </row>
    <row r="2562" spans="1:8" x14ac:dyDescent="0.25">
      <c r="A2562" s="257">
        <v>2566</v>
      </c>
      <c r="B2562" s="267">
        <v>2561</v>
      </c>
      <c r="C2562" s="268" t="s">
        <v>907</v>
      </c>
      <c r="D2562" s="269">
        <v>42348</v>
      </c>
      <c r="E2562" s="270" t="s">
        <v>2418</v>
      </c>
      <c r="F2562" s="384">
        <v>198000</v>
      </c>
      <c r="G2562" s="270">
        <v>691452633</v>
      </c>
      <c r="H2562" s="270"/>
    </row>
    <row r="2563" spans="1:8" x14ac:dyDescent="0.25">
      <c r="A2563" s="257">
        <v>2567</v>
      </c>
      <c r="B2563" s="267">
        <v>2562</v>
      </c>
      <c r="C2563" s="268" t="s">
        <v>2427</v>
      </c>
      <c r="D2563" s="269">
        <v>42348</v>
      </c>
      <c r="E2563" s="270" t="s">
        <v>736</v>
      </c>
      <c r="F2563" s="384">
        <v>63000</v>
      </c>
      <c r="G2563" s="270">
        <v>101290864</v>
      </c>
      <c r="H2563" s="270"/>
    </row>
    <row r="2564" spans="1:8" x14ac:dyDescent="0.25">
      <c r="A2564" s="257">
        <v>2568</v>
      </c>
      <c r="B2564" s="267">
        <v>2563</v>
      </c>
      <c r="C2564" s="268" t="s">
        <v>2829</v>
      </c>
      <c r="D2564" s="269">
        <v>42348</v>
      </c>
      <c r="E2564" s="270" t="s">
        <v>70</v>
      </c>
      <c r="F2564" s="384">
        <v>36000</v>
      </c>
      <c r="G2564" s="270">
        <v>600048566</v>
      </c>
      <c r="H2564" s="270"/>
    </row>
    <row r="2565" spans="1:8" x14ac:dyDescent="0.25">
      <c r="A2565" s="257">
        <v>2569</v>
      </c>
      <c r="B2565" s="267">
        <v>2564</v>
      </c>
      <c r="C2565" s="268" t="s">
        <v>901</v>
      </c>
      <c r="D2565" s="269">
        <v>42349</v>
      </c>
      <c r="E2565" s="270" t="s">
        <v>1914</v>
      </c>
      <c r="F2565" s="384">
        <v>280000</v>
      </c>
      <c r="G2565" s="270">
        <v>100168244</v>
      </c>
      <c r="H2565" s="270"/>
    </row>
    <row r="2566" spans="1:8" x14ac:dyDescent="0.25">
      <c r="A2566" s="257">
        <v>2570</v>
      </c>
      <c r="B2566" s="267">
        <v>2565</v>
      </c>
      <c r="C2566" s="268" t="s">
        <v>4234</v>
      </c>
      <c r="D2566" s="269">
        <v>42349</v>
      </c>
      <c r="E2566" s="270" t="s">
        <v>340</v>
      </c>
      <c r="F2566" s="384">
        <v>870000</v>
      </c>
      <c r="G2566" s="270">
        <v>190444477</v>
      </c>
      <c r="H2566" s="270"/>
    </row>
    <row r="2567" spans="1:8" x14ac:dyDescent="0.25">
      <c r="A2567" s="257">
        <v>2571</v>
      </c>
      <c r="B2567" s="267">
        <v>2566</v>
      </c>
      <c r="C2567" s="268" t="s">
        <v>1528</v>
      </c>
      <c r="D2567" s="269">
        <v>42349</v>
      </c>
      <c r="E2567" s="270" t="s">
        <v>881</v>
      </c>
      <c r="F2567" s="384">
        <v>160000</v>
      </c>
      <c r="G2567" s="270">
        <v>100122726</v>
      </c>
      <c r="H2567" s="270"/>
    </row>
    <row r="2568" spans="1:8" x14ac:dyDescent="0.25">
      <c r="A2568" s="257">
        <v>2572</v>
      </c>
      <c r="B2568" s="267">
        <v>2567</v>
      </c>
      <c r="C2568" s="268" t="s">
        <v>1936</v>
      </c>
      <c r="D2568" s="269">
        <v>42350</v>
      </c>
      <c r="E2568" s="270" t="s">
        <v>3524</v>
      </c>
      <c r="F2568" s="384">
        <v>36000</v>
      </c>
      <c r="G2568" s="270">
        <v>691432152</v>
      </c>
      <c r="H2568" s="270"/>
    </row>
    <row r="2569" spans="1:8" x14ac:dyDescent="0.25">
      <c r="A2569" s="257">
        <v>2573</v>
      </c>
      <c r="B2569" s="267">
        <v>2568</v>
      </c>
      <c r="C2569" s="268" t="s">
        <v>681</v>
      </c>
      <c r="D2569" s="269">
        <v>42350</v>
      </c>
      <c r="E2569" s="270" t="s">
        <v>2799</v>
      </c>
      <c r="F2569" s="384">
        <v>67000</v>
      </c>
      <c r="G2569" s="270">
        <v>790117033</v>
      </c>
      <c r="H2569" s="270"/>
    </row>
    <row r="2570" spans="1:8" x14ac:dyDescent="0.25">
      <c r="A2570" s="257">
        <v>2574</v>
      </c>
      <c r="B2570" s="267">
        <v>2569</v>
      </c>
      <c r="C2570" s="268" t="s">
        <v>2963</v>
      </c>
      <c r="D2570" s="269">
        <v>42350</v>
      </c>
      <c r="E2570" s="270" t="s">
        <v>2666</v>
      </c>
      <c r="F2570" s="384">
        <v>67000</v>
      </c>
      <c r="G2570" s="270">
        <v>691314513</v>
      </c>
      <c r="H2570" s="270"/>
    </row>
    <row r="2571" spans="1:8" x14ac:dyDescent="0.25">
      <c r="A2571" s="257">
        <v>2575</v>
      </c>
      <c r="B2571" s="267">
        <v>2570</v>
      </c>
      <c r="C2571" s="268" t="s">
        <v>265</v>
      </c>
      <c r="D2571" s="269">
        <v>42351</v>
      </c>
      <c r="E2571" s="270" t="s">
        <v>450</v>
      </c>
      <c r="F2571" s="384">
        <v>435000</v>
      </c>
      <c r="G2571" s="270">
        <v>100468996</v>
      </c>
      <c r="H2571" s="270"/>
    </row>
    <row r="2572" spans="1:8" x14ac:dyDescent="0.25">
      <c r="A2572" s="257">
        <v>2576</v>
      </c>
      <c r="B2572" s="267">
        <v>2571</v>
      </c>
      <c r="C2572" s="268" t="s">
        <v>3249</v>
      </c>
      <c r="D2572" s="269">
        <v>42354</v>
      </c>
      <c r="E2572" s="270" t="s">
        <v>1769</v>
      </c>
      <c r="F2572" s="384">
        <v>165000</v>
      </c>
      <c r="G2572" s="270">
        <v>190360745</v>
      </c>
      <c r="H2572" s="270"/>
    </row>
    <row r="2573" spans="1:8" x14ac:dyDescent="0.25">
      <c r="A2573" s="257">
        <v>2577</v>
      </c>
      <c r="B2573" s="267">
        <v>2572</v>
      </c>
      <c r="C2573" s="268" t="s">
        <v>4234</v>
      </c>
      <c r="D2573" s="269">
        <v>42354</v>
      </c>
      <c r="E2573" s="270" t="s">
        <v>340</v>
      </c>
      <c r="F2573" s="384">
        <v>99000</v>
      </c>
      <c r="G2573" s="270">
        <v>190444477</v>
      </c>
      <c r="H2573" s="270"/>
    </row>
    <row r="2574" spans="1:8" x14ac:dyDescent="0.25">
      <c r="A2574" s="257">
        <v>2578</v>
      </c>
      <c r="B2574" s="267">
        <v>2573</v>
      </c>
      <c r="C2574" s="268" t="s">
        <v>4234</v>
      </c>
      <c r="D2574" s="269">
        <v>42354</v>
      </c>
      <c r="E2574" s="270" t="s">
        <v>340</v>
      </c>
      <c r="F2574" s="384">
        <v>66000</v>
      </c>
      <c r="G2574" s="270">
        <v>190444477</v>
      </c>
      <c r="H2574" s="270"/>
    </row>
    <row r="2575" spans="1:8" x14ac:dyDescent="0.25">
      <c r="A2575" s="257">
        <v>2579</v>
      </c>
      <c r="B2575" s="267">
        <v>2574</v>
      </c>
      <c r="C2575" s="268" t="s">
        <v>2166</v>
      </c>
      <c r="D2575" s="269">
        <v>42354</v>
      </c>
      <c r="E2575" s="270" t="s">
        <v>1685</v>
      </c>
      <c r="F2575" s="384">
        <v>160000</v>
      </c>
      <c r="G2575" s="270">
        <v>100315326</v>
      </c>
      <c r="H2575" s="270"/>
    </row>
    <row r="2576" spans="1:8" x14ac:dyDescent="0.25">
      <c r="A2576" s="257">
        <v>2580</v>
      </c>
      <c r="B2576" s="267">
        <v>2575</v>
      </c>
      <c r="C2576" s="268" t="s">
        <v>3326</v>
      </c>
      <c r="D2576" s="269">
        <v>42354</v>
      </c>
      <c r="E2576" s="270" t="s">
        <v>164</v>
      </c>
      <c r="F2576" s="384">
        <v>198000</v>
      </c>
      <c r="G2576" s="270">
        <v>100534485</v>
      </c>
      <c r="H2576" s="270"/>
    </row>
    <row r="2577" spans="1:8" x14ac:dyDescent="0.25">
      <c r="A2577" s="257">
        <v>2581</v>
      </c>
      <c r="B2577" s="267">
        <v>2576</v>
      </c>
      <c r="C2577" s="268" t="s">
        <v>2864</v>
      </c>
      <c r="D2577" s="269">
        <v>42354</v>
      </c>
      <c r="E2577" s="270" t="s">
        <v>2456</v>
      </c>
      <c r="F2577" s="384">
        <v>198000</v>
      </c>
      <c r="G2577" s="270">
        <v>100039768</v>
      </c>
      <c r="H2577" s="270"/>
    </row>
    <row r="2578" spans="1:8" x14ac:dyDescent="0.25">
      <c r="A2578" s="257">
        <v>2582</v>
      </c>
      <c r="B2578" s="267">
        <v>2577</v>
      </c>
      <c r="C2578" s="268" t="s">
        <v>1636</v>
      </c>
      <c r="D2578" s="269">
        <v>42354</v>
      </c>
      <c r="E2578" s="270" t="s">
        <v>3743</v>
      </c>
      <c r="F2578" s="384">
        <v>198000</v>
      </c>
      <c r="G2578" s="270">
        <v>690026172</v>
      </c>
      <c r="H2578" s="270"/>
    </row>
    <row r="2579" spans="1:8" x14ac:dyDescent="0.25">
      <c r="A2579" s="257">
        <v>2583</v>
      </c>
      <c r="B2579" s="267">
        <v>2578</v>
      </c>
      <c r="C2579" s="268" t="s">
        <v>397</v>
      </c>
      <c r="D2579" s="269">
        <v>42355</v>
      </c>
      <c r="E2579" s="270" t="s">
        <v>2969</v>
      </c>
      <c r="F2579" s="384">
        <v>36000</v>
      </c>
      <c r="G2579" s="270">
        <v>100026292</v>
      </c>
      <c r="H2579" s="270"/>
    </row>
    <row r="2580" spans="1:8" x14ac:dyDescent="0.25">
      <c r="A2580" s="257">
        <v>2584</v>
      </c>
      <c r="B2580" s="267">
        <v>2579</v>
      </c>
      <c r="C2580" s="268" t="s">
        <v>3143</v>
      </c>
      <c r="D2580" s="269">
        <v>42355</v>
      </c>
      <c r="E2580" s="270" t="s">
        <v>3635</v>
      </c>
      <c r="F2580" s="384">
        <v>160000</v>
      </c>
      <c r="G2580" s="270">
        <v>100059044</v>
      </c>
      <c r="H2580" s="270"/>
    </row>
    <row r="2581" spans="1:8" x14ac:dyDescent="0.25">
      <c r="A2581" s="257">
        <v>2585</v>
      </c>
      <c r="B2581" s="267">
        <v>2580</v>
      </c>
      <c r="C2581" s="268" t="s">
        <v>178</v>
      </c>
      <c r="D2581" s="269">
        <v>42355</v>
      </c>
      <c r="E2581" s="270" t="s">
        <v>3268</v>
      </c>
      <c r="F2581" s="384">
        <v>396000</v>
      </c>
      <c r="G2581" s="270">
        <v>101390089</v>
      </c>
      <c r="H2581" s="270"/>
    </row>
    <row r="2582" spans="1:8" x14ac:dyDescent="0.25">
      <c r="A2582" s="257">
        <v>2586</v>
      </c>
      <c r="B2582" s="267">
        <v>2581</v>
      </c>
      <c r="C2582" s="268" t="s">
        <v>690</v>
      </c>
      <c r="D2582" s="269">
        <v>42355</v>
      </c>
      <c r="E2582" s="270" t="s">
        <v>2754</v>
      </c>
      <c r="F2582" s="384">
        <v>280000</v>
      </c>
      <c r="G2582" s="270">
        <v>192522108</v>
      </c>
      <c r="H2582" s="270"/>
    </row>
    <row r="2583" spans="1:8" x14ac:dyDescent="0.25">
      <c r="A2583" s="257">
        <v>2587</v>
      </c>
      <c r="B2583" s="267">
        <v>2582</v>
      </c>
      <c r="C2583" s="268" t="s">
        <v>694</v>
      </c>
      <c r="D2583" s="269">
        <v>42355</v>
      </c>
      <c r="E2583" s="270" t="s">
        <v>744</v>
      </c>
      <c r="F2583" s="384">
        <v>240000</v>
      </c>
      <c r="G2583" s="270">
        <v>100038271</v>
      </c>
      <c r="H2583" s="270"/>
    </row>
    <row r="2584" spans="1:8" x14ac:dyDescent="0.25">
      <c r="A2584" s="257">
        <v>2588</v>
      </c>
      <c r="B2584" s="267">
        <v>2583</v>
      </c>
      <c r="C2584" s="268" t="s">
        <v>2377</v>
      </c>
      <c r="D2584" s="269">
        <v>42355</v>
      </c>
      <c r="E2584" s="270" t="s">
        <v>226</v>
      </c>
      <c r="F2584" s="384">
        <v>198000</v>
      </c>
      <c r="G2584" s="270">
        <v>190654467</v>
      </c>
      <c r="H2584" s="270"/>
    </row>
    <row r="2585" spans="1:8" x14ac:dyDescent="0.25">
      <c r="A2585" s="257">
        <v>2589</v>
      </c>
      <c r="B2585" s="267">
        <v>2584</v>
      </c>
      <c r="C2585" s="268" t="s">
        <v>2</v>
      </c>
      <c r="D2585" s="269">
        <v>42355</v>
      </c>
      <c r="E2585" s="270" t="s">
        <v>359</v>
      </c>
      <c r="F2585" s="384">
        <v>98000</v>
      </c>
      <c r="G2585" s="270">
        <v>190444278</v>
      </c>
      <c r="H2585" s="270"/>
    </row>
    <row r="2586" spans="1:8" x14ac:dyDescent="0.25">
      <c r="A2586" s="257">
        <v>2590</v>
      </c>
      <c r="B2586" s="267">
        <v>2585</v>
      </c>
      <c r="C2586" s="268" t="s">
        <v>178</v>
      </c>
      <c r="D2586" s="269">
        <v>42355</v>
      </c>
      <c r="E2586" s="270" t="s">
        <v>3268</v>
      </c>
      <c r="F2586" s="384">
        <v>396000</v>
      </c>
      <c r="G2586" s="270">
        <v>101390089</v>
      </c>
      <c r="H2586" s="270"/>
    </row>
    <row r="2587" spans="1:8" x14ac:dyDescent="0.25">
      <c r="A2587" s="257">
        <v>2591</v>
      </c>
      <c r="B2587" s="267">
        <v>2586</v>
      </c>
      <c r="C2587" s="268" t="s">
        <v>832</v>
      </c>
      <c r="D2587" s="269">
        <v>42355</v>
      </c>
      <c r="E2587" s="270" t="s">
        <v>245</v>
      </c>
      <c r="F2587" s="384">
        <v>67000</v>
      </c>
      <c r="G2587" s="270">
        <v>100886879</v>
      </c>
      <c r="H2587" s="270"/>
    </row>
    <row r="2588" spans="1:8" x14ac:dyDescent="0.25">
      <c r="A2588" s="257">
        <v>2592</v>
      </c>
      <c r="B2588" s="267">
        <v>2587</v>
      </c>
      <c r="C2588" s="268" t="s">
        <v>2095</v>
      </c>
      <c r="D2588" s="269">
        <v>42359</v>
      </c>
      <c r="E2588" s="270" t="s">
        <v>2859</v>
      </c>
      <c r="F2588" s="384">
        <v>438000</v>
      </c>
      <c r="G2588" s="270">
        <v>100261801</v>
      </c>
      <c r="H2588" s="270"/>
    </row>
    <row r="2589" spans="1:8" x14ac:dyDescent="0.25">
      <c r="A2589" s="257">
        <v>2593</v>
      </c>
      <c r="B2589" s="267">
        <v>2588</v>
      </c>
      <c r="C2589" s="268" t="s">
        <v>2714</v>
      </c>
      <c r="D2589" s="269">
        <v>42359</v>
      </c>
      <c r="E2589" s="270" t="s">
        <v>891</v>
      </c>
      <c r="F2589" s="384">
        <v>66000</v>
      </c>
      <c r="G2589" s="270">
        <v>190304936</v>
      </c>
    </row>
    <row r="2590" spans="1:8" x14ac:dyDescent="0.25">
      <c r="A2590" s="257">
        <v>2594</v>
      </c>
      <c r="B2590" s="267">
        <v>2589</v>
      </c>
      <c r="C2590" s="268" t="s">
        <v>720</v>
      </c>
      <c r="D2590" s="269">
        <v>42359</v>
      </c>
      <c r="E2590" s="270" t="s">
        <v>3208</v>
      </c>
      <c r="F2590" s="384">
        <v>198000</v>
      </c>
      <c r="G2590" s="270">
        <v>800013069</v>
      </c>
    </row>
    <row r="2591" spans="1:8" x14ac:dyDescent="0.25">
      <c r="A2591" s="257">
        <v>2595</v>
      </c>
      <c r="B2591" s="267">
        <v>2590</v>
      </c>
      <c r="C2591" s="268" t="s">
        <v>2964</v>
      </c>
      <c r="D2591" s="269">
        <v>42361</v>
      </c>
      <c r="E2591" s="270" t="s">
        <v>896</v>
      </c>
      <c r="F2591" s="384">
        <v>198000</v>
      </c>
      <c r="G2591" s="270">
        <v>800017554</v>
      </c>
    </row>
    <row r="2592" spans="1:8" x14ac:dyDescent="0.25">
      <c r="A2592" s="257">
        <v>2596</v>
      </c>
      <c r="B2592" s="267">
        <v>2591</v>
      </c>
      <c r="C2592" s="268" t="s">
        <v>1826</v>
      </c>
      <c r="D2592" s="269">
        <v>42361</v>
      </c>
      <c r="E2592" s="270" t="s">
        <v>2424</v>
      </c>
      <c r="F2592" s="384">
        <v>1188000</v>
      </c>
      <c r="G2592" s="270">
        <v>101326441</v>
      </c>
    </row>
    <row r="2593" spans="1:7" x14ac:dyDescent="0.25">
      <c r="A2593" s="257">
        <v>2597</v>
      </c>
      <c r="B2593" s="267">
        <v>2592</v>
      </c>
      <c r="C2593" s="268" t="s">
        <v>3143</v>
      </c>
      <c r="D2593" s="269">
        <v>42361</v>
      </c>
      <c r="E2593" s="270" t="s">
        <v>3635</v>
      </c>
      <c r="F2593" s="384">
        <v>160000</v>
      </c>
      <c r="G2593" s="270">
        <v>100059044</v>
      </c>
    </row>
    <row r="2594" spans="1:7" x14ac:dyDescent="0.25">
      <c r="A2594" s="257">
        <v>2598</v>
      </c>
      <c r="B2594" s="267">
        <v>2593</v>
      </c>
      <c r="C2594" s="268" t="s">
        <v>3657</v>
      </c>
      <c r="D2594" s="269">
        <v>42361</v>
      </c>
      <c r="E2594" s="270" t="s">
        <v>362</v>
      </c>
      <c r="F2594" s="384">
        <v>610000</v>
      </c>
      <c r="G2594" s="270">
        <v>100099082</v>
      </c>
    </row>
    <row r="2595" spans="1:7" x14ac:dyDescent="0.25">
      <c r="A2595" s="257">
        <v>2599</v>
      </c>
      <c r="B2595" s="267">
        <v>2594</v>
      </c>
      <c r="C2595" s="268" t="s">
        <v>440</v>
      </c>
      <c r="D2595" s="269">
        <v>42361</v>
      </c>
      <c r="E2595" s="270" t="s">
        <v>1660</v>
      </c>
      <c r="F2595" s="384">
        <v>160000</v>
      </c>
      <c r="G2595" s="270">
        <v>691129039</v>
      </c>
    </row>
    <row r="2596" spans="1:7" x14ac:dyDescent="0.25">
      <c r="A2596" s="257">
        <v>2600</v>
      </c>
      <c r="B2596" s="267">
        <v>2595</v>
      </c>
      <c r="C2596" s="268" t="s">
        <v>1853</v>
      </c>
      <c r="D2596" s="269">
        <v>42361</v>
      </c>
      <c r="E2596" s="270" t="s">
        <v>447</v>
      </c>
      <c r="F2596" s="384">
        <v>96000</v>
      </c>
      <c r="G2596" s="270">
        <v>600004706</v>
      </c>
    </row>
    <row r="2597" spans="1:7" x14ac:dyDescent="0.25">
      <c r="A2597" s="257">
        <v>2601</v>
      </c>
      <c r="B2597" s="267">
        <v>2596</v>
      </c>
      <c r="C2597" s="268" t="s">
        <v>3143</v>
      </c>
      <c r="D2597" s="269">
        <v>42366</v>
      </c>
      <c r="E2597" s="270" t="s">
        <v>3635</v>
      </c>
      <c r="F2597" s="384">
        <v>63000</v>
      </c>
      <c r="G2597" s="270">
        <v>100059044</v>
      </c>
    </row>
    <row r="2598" spans="1:7" x14ac:dyDescent="0.25">
      <c r="A2598" s="257">
        <v>2602</v>
      </c>
      <c r="B2598" s="267">
        <v>2597</v>
      </c>
      <c r="C2598" s="268" t="s">
        <v>196</v>
      </c>
      <c r="D2598" s="269">
        <v>42366</v>
      </c>
      <c r="E2598" s="270" t="s">
        <v>2717</v>
      </c>
      <c r="F2598" s="384">
        <v>240000</v>
      </c>
      <c r="G2598" s="270">
        <v>101538513</v>
      </c>
    </row>
    <row r="2599" spans="1:7" x14ac:dyDescent="0.25">
      <c r="A2599" s="257">
        <v>2603</v>
      </c>
      <c r="B2599" s="267">
        <v>2598</v>
      </c>
      <c r="C2599" s="268" t="s">
        <v>2460</v>
      </c>
      <c r="D2599" s="269">
        <v>42366</v>
      </c>
      <c r="E2599" s="270" t="s">
        <v>3127</v>
      </c>
      <c r="F2599" s="384">
        <v>240000</v>
      </c>
      <c r="G2599" s="270">
        <v>100172605</v>
      </c>
    </row>
    <row r="2600" spans="1:7" x14ac:dyDescent="0.25">
      <c r="A2600" s="257">
        <v>2604</v>
      </c>
      <c r="B2600" s="267">
        <v>2599</v>
      </c>
      <c r="C2600" s="268" t="s">
        <v>265</v>
      </c>
      <c r="D2600" s="269">
        <v>42366</v>
      </c>
      <c r="E2600" s="270" t="s">
        <v>450</v>
      </c>
      <c r="F2600" s="384">
        <v>198000</v>
      </c>
      <c r="G2600" s="270">
        <v>100468996</v>
      </c>
    </row>
    <row r="2601" spans="1:7" x14ac:dyDescent="0.25">
      <c r="A2601" s="257">
        <v>2605</v>
      </c>
      <c r="B2601" s="267">
        <v>2600</v>
      </c>
      <c r="C2601" s="268" t="s">
        <v>3513</v>
      </c>
      <c r="D2601" s="269">
        <v>42366</v>
      </c>
      <c r="E2601" s="270" t="s">
        <v>824</v>
      </c>
      <c r="F2601" s="384">
        <v>161000</v>
      </c>
      <c r="G2601" s="270">
        <v>100154581</v>
      </c>
    </row>
    <row r="2602" spans="1:7" x14ac:dyDescent="0.25">
      <c r="A2602" s="257">
        <v>2606</v>
      </c>
      <c r="B2602" s="267">
        <v>2601</v>
      </c>
      <c r="C2602" s="268" t="s">
        <v>802</v>
      </c>
      <c r="D2602" s="269">
        <v>42367</v>
      </c>
      <c r="E2602" s="270" t="s">
        <v>1641</v>
      </c>
      <c r="F2602" s="384">
        <v>4050000</v>
      </c>
      <c r="G2602" s="270">
        <v>100135464</v>
      </c>
    </row>
    <row r="2603" spans="1:7" x14ac:dyDescent="0.25">
      <c r="A2603" s="257">
        <v>2607</v>
      </c>
      <c r="B2603" s="267">
        <v>2602</v>
      </c>
      <c r="C2603" s="268" t="s">
        <v>1928</v>
      </c>
      <c r="D2603" s="269">
        <v>42367</v>
      </c>
      <c r="E2603" s="270" t="s">
        <v>2801</v>
      </c>
      <c r="F2603" s="384">
        <v>280000</v>
      </c>
      <c r="G2603" s="270">
        <v>190334745</v>
      </c>
    </row>
    <row r="2604" spans="1:7" x14ac:dyDescent="0.25">
      <c r="A2604" s="257">
        <v>2608</v>
      </c>
      <c r="B2604" s="267">
        <v>2603</v>
      </c>
      <c r="C2604" s="268" t="s">
        <v>1781</v>
      </c>
      <c r="D2604" s="269">
        <v>42367</v>
      </c>
      <c r="E2604" s="270" t="s">
        <v>3654</v>
      </c>
      <c r="F2604" s="384">
        <v>378000</v>
      </c>
      <c r="G2604" s="270">
        <v>690712293</v>
      </c>
    </row>
    <row r="2605" spans="1:7" x14ac:dyDescent="0.25">
      <c r="A2605" s="257">
        <v>2609</v>
      </c>
      <c r="B2605" s="267">
        <v>2604</v>
      </c>
      <c r="C2605" s="268" t="s">
        <v>128</v>
      </c>
      <c r="D2605" s="269">
        <v>42367</v>
      </c>
      <c r="E2605" s="270" t="s">
        <v>3259</v>
      </c>
      <c r="F2605" s="384">
        <v>675000</v>
      </c>
      <c r="G2605" s="270">
        <v>190904186</v>
      </c>
    </row>
    <row r="2606" spans="1:7" x14ac:dyDescent="0.25">
      <c r="A2606" s="257">
        <v>2610</v>
      </c>
      <c r="B2606" s="267">
        <v>2605</v>
      </c>
      <c r="C2606" s="268" t="s">
        <v>333</v>
      </c>
      <c r="D2606" s="269">
        <v>42373</v>
      </c>
      <c r="E2606" s="270" t="s">
        <v>209</v>
      </c>
      <c r="F2606" s="384">
        <v>170000</v>
      </c>
      <c r="G2606" s="270">
        <v>191118996</v>
      </c>
    </row>
    <row r="2607" spans="1:7" x14ac:dyDescent="0.25">
      <c r="A2607" s="257">
        <v>2611</v>
      </c>
      <c r="B2607" s="267">
        <v>2606</v>
      </c>
      <c r="C2607" s="268" t="s">
        <v>3111</v>
      </c>
      <c r="D2607" s="269">
        <v>42373</v>
      </c>
      <c r="E2607" s="270" t="s">
        <v>1948</v>
      </c>
      <c r="F2607" s="384">
        <v>198000</v>
      </c>
      <c r="G2607" s="270">
        <v>808000755</v>
      </c>
    </row>
    <row r="2608" spans="1:7" x14ac:dyDescent="0.25">
      <c r="A2608" s="257">
        <v>2612</v>
      </c>
      <c r="B2608" s="267">
        <v>2607</v>
      </c>
      <c r="C2608" s="268" t="s">
        <v>2751</v>
      </c>
      <c r="D2608" s="269">
        <v>42373</v>
      </c>
      <c r="E2608" s="270" t="s">
        <v>449</v>
      </c>
      <c r="F2608" s="384">
        <v>155000</v>
      </c>
      <c r="G2608" s="270">
        <v>100025732</v>
      </c>
    </row>
    <row r="2609" spans="1:7" x14ac:dyDescent="0.25">
      <c r="A2609" s="257">
        <v>2613</v>
      </c>
      <c r="B2609" s="267">
        <v>2608</v>
      </c>
      <c r="C2609" s="268" t="s">
        <v>2777</v>
      </c>
      <c r="D2609" s="269">
        <v>42373</v>
      </c>
      <c r="E2609" s="270" t="s">
        <v>222</v>
      </c>
      <c r="F2609" s="384">
        <v>920000</v>
      </c>
      <c r="G2609" s="270">
        <v>192468761</v>
      </c>
    </row>
    <row r="2610" spans="1:7" x14ac:dyDescent="0.25">
      <c r="A2610" s="257">
        <v>2614</v>
      </c>
      <c r="B2610" s="267">
        <v>2609</v>
      </c>
      <c r="C2610" s="268" t="s">
        <v>1918</v>
      </c>
      <c r="D2610" s="269">
        <v>42373</v>
      </c>
      <c r="E2610" s="270" t="s">
        <v>1607</v>
      </c>
      <c r="F2610" s="384">
        <v>155000</v>
      </c>
      <c r="G2610" s="270">
        <v>690643672</v>
      </c>
    </row>
    <row r="2611" spans="1:7" x14ac:dyDescent="0.25">
      <c r="A2611" s="257">
        <v>2615</v>
      </c>
      <c r="B2611" s="267">
        <v>2610</v>
      </c>
      <c r="C2611" s="268" t="s">
        <v>2864</v>
      </c>
      <c r="D2611" s="269">
        <v>42373</v>
      </c>
      <c r="E2611" s="270" t="s">
        <v>2456</v>
      </c>
      <c r="F2611" s="384">
        <v>520000</v>
      </c>
      <c r="G2611" s="270">
        <v>100039768</v>
      </c>
    </row>
    <row r="2612" spans="1:7" x14ac:dyDescent="0.25">
      <c r="A2612" s="257">
        <v>2616</v>
      </c>
      <c r="B2612" s="267">
        <v>2611</v>
      </c>
      <c r="C2612" s="268" t="s">
        <v>2864</v>
      </c>
      <c r="D2612" s="269">
        <v>42373</v>
      </c>
      <c r="E2612" s="270" t="s">
        <v>2456</v>
      </c>
      <c r="F2612" s="384">
        <v>170000</v>
      </c>
      <c r="G2612" s="270">
        <v>100039768</v>
      </c>
    </row>
    <row r="2613" spans="1:7" x14ac:dyDescent="0.25">
      <c r="A2613" s="257">
        <v>2617</v>
      </c>
      <c r="B2613" s="267">
        <v>2612</v>
      </c>
      <c r="C2613" s="268" t="s">
        <v>3101</v>
      </c>
      <c r="D2613" s="269">
        <v>42373</v>
      </c>
      <c r="E2613" s="270" t="s">
        <v>1022</v>
      </c>
      <c r="F2613" s="384">
        <v>99000</v>
      </c>
      <c r="G2613" s="270">
        <v>690591512</v>
      </c>
    </row>
    <row r="2614" spans="1:7" x14ac:dyDescent="0.25">
      <c r="A2614" s="257">
        <v>2618</v>
      </c>
      <c r="B2614" s="267">
        <v>2613</v>
      </c>
      <c r="C2614" s="268" t="s">
        <v>3563</v>
      </c>
      <c r="D2614" s="269">
        <v>42374</v>
      </c>
      <c r="E2614" s="270" t="s">
        <v>936</v>
      </c>
      <c r="F2614" s="384">
        <v>198000</v>
      </c>
      <c r="G2614" s="270">
        <v>190780301</v>
      </c>
    </row>
    <row r="2615" spans="1:7" x14ac:dyDescent="0.25">
      <c r="A2615" s="257">
        <v>2619</v>
      </c>
      <c r="B2615" s="267">
        <v>2614</v>
      </c>
      <c r="C2615" s="268" t="s">
        <v>1688</v>
      </c>
      <c r="D2615" s="269">
        <v>42374</v>
      </c>
      <c r="E2615" s="270" t="s">
        <v>498</v>
      </c>
      <c r="F2615" s="384">
        <v>170000</v>
      </c>
      <c r="G2615" s="270">
        <v>190970908</v>
      </c>
    </row>
    <row r="2616" spans="1:7" x14ac:dyDescent="0.25">
      <c r="A2616" s="257">
        <v>2620</v>
      </c>
      <c r="B2616" s="267">
        <v>2615</v>
      </c>
      <c r="C2616" s="268" t="s">
        <v>845</v>
      </c>
      <c r="D2616" s="269">
        <v>42374</v>
      </c>
      <c r="E2616" s="270" t="s">
        <v>844</v>
      </c>
      <c r="F2616" s="384">
        <v>280000</v>
      </c>
      <c r="G2616" s="270">
        <v>190571928</v>
      </c>
    </row>
    <row r="2617" spans="1:7" x14ac:dyDescent="0.25">
      <c r="A2617" s="257">
        <v>2621</v>
      </c>
      <c r="B2617" s="267">
        <v>2616</v>
      </c>
      <c r="C2617" s="268" t="s">
        <v>333</v>
      </c>
      <c r="D2617" s="269">
        <v>42374</v>
      </c>
      <c r="E2617" s="270" t="s">
        <v>209</v>
      </c>
      <c r="F2617" s="384">
        <v>480000</v>
      </c>
      <c r="G2617" s="270">
        <v>191118996</v>
      </c>
    </row>
    <row r="2618" spans="1:7" x14ac:dyDescent="0.25">
      <c r="A2618" s="257">
        <v>2622</v>
      </c>
      <c r="B2618" s="267">
        <v>2617</v>
      </c>
      <c r="C2618" s="268" t="s">
        <v>2104</v>
      </c>
      <c r="D2618" s="269">
        <v>42374</v>
      </c>
      <c r="E2618" s="270" t="s">
        <v>2736</v>
      </c>
      <c r="F2618" s="384">
        <v>280000</v>
      </c>
      <c r="G2618" s="270">
        <v>691780951</v>
      </c>
    </row>
    <row r="2619" spans="1:7" x14ac:dyDescent="0.25">
      <c r="A2619" s="257">
        <v>2623</v>
      </c>
      <c r="B2619" s="267">
        <v>2618</v>
      </c>
      <c r="C2619" s="268" t="s">
        <v>128</v>
      </c>
      <c r="D2619" s="269">
        <v>42374</v>
      </c>
      <c r="E2619" s="270" t="s">
        <v>3259</v>
      </c>
      <c r="F2619" s="384">
        <v>31000</v>
      </c>
      <c r="G2619" s="270">
        <v>190904186</v>
      </c>
    </row>
    <row r="2620" spans="1:7" x14ac:dyDescent="0.25">
      <c r="A2620" s="257">
        <v>2624</v>
      </c>
      <c r="B2620" s="267">
        <v>2619</v>
      </c>
      <c r="C2620" s="268" t="s">
        <v>2618</v>
      </c>
      <c r="D2620" s="269">
        <v>42375</v>
      </c>
      <c r="E2620" s="270" t="s">
        <v>1622</v>
      </c>
      <c r="F2620" s="384">
        <v>435000</v>
      </c>
      <c r="G2620" s="270">
        <v>190513098</v>
      </c>
    </row>
    <row r="2621" spans="1:7" x14ac:dyDescent="0.25">
      <c r="A2621" s="257">
        <v>2625</v>
      </c>
      <c r="B2621" s="267">
        <v>2620</v>
      </c>
      <c r="C2621" s="268" t="s">
        <v>2613</v>
      </c>
      <c r="D2621" s="269">
        <v>42375</v>
      </c>
      <c r="E2621" s="270" t="s">
        <v>916</v>
      </c>
      <c r="F2621" s="384">
        <v>636000</v>
      </c>
      <c r="G2621" s="270">
        <v>101553117</v>
      </c>
    </row>
    <row r="2622" spans="1:7" x14ac:dyDescent="0.25">
      <c r="A2622" s="257">
        <v>2626</v>
      </c>
      <c r="B2622" s="267">
        <v>2621</v>
      </c>
      <c r="C2622" s="268" t="s">
        <v>887</v>
      </c>
      <c r="D2622" s="269">
        <v>42375</v>
      </c>
      <c r="E2622" s="270" t="s">
        <v>2831</v>
      </c>
      <c r="F2622" s="384">
        <v>280000</v>
      </c>
      <c r="G2622" s="270">
        <v>191604225</v>
      </c>
    </row>
    <row r="2623" spans="1:7" x14ac:dyDescent="0.25">
      <c r="A2623" s="257">
        <v>2627</v>
      </c>
      <c r="B2623" s="267">
        <v>2622</v>
      </c>
      <c r="C2623" s="268" t="s">
        <v>494</v>
      </c>
      <c r="D2623" s="269">
        <v>42375</v>
      </c>
      <c r="E2623" s="270" t="s">
        <v>339</v>
      </c>
      <c r="F2623" s="384">
        <v>155000</v>
      </c>
      <c r="G2623" s="270">
        <v>690629013</v>
      </c>
    </row>
    <row r="2624" spans="1:7" x14ac:dyDescent="0.25">
      <c r="A2624" s="257">
        <v>2628</v>
      </c>
      <c r="B2624" s="267">
        <v>2623</v>
      </c>
      <c r="C2624" s="268" t="s">
        <v>3284</v>
      </c>
      <c r="D2624" s="269">
        <v>42375</v>
      </c>
      <c r="E2624" s="270" t="s">
        <v>1651</v>
      </c>
      <c r="F2624" s="384">
        <v>435000</v>
      </c>
      <c r="G2624" s="270">
        <v>190884251</v>
      </c>
    </row>
    <row r="2625" spans="1:7" x14ac:dyDescent="0.25">
      <c r="A2625" s="257">
        <v>2629</v>
      </c>
      <c r="B2625" s="267">
        <v>2624</v>
      </c>
      <c r="C2625" s="268" t="s">
        <v>2777</v>
      </c>
      <c r="D2625" s="269">
        <v>42375</v>
      </c>
      <c r="E2625" s="270" t="s">
        <v>222</v>
      </c>
      <c r="F2625" s="384">
        <v>198000</v>
      </c>
      <c r="G2625" s="270">
        <v>192468761</v>
      </c>
    </row>
    <row r="2626" spans="1:7" x14ac:dyDescent="0.25">
      <c r="A2626" s="257">
        <v>2630</v>
      </c>
      <c r="B2626" s="267">
        <v>2625</v>
      </c>
      <c r="C2626" s="268" t="s">
        <v>3279</v>
      </c>
      <c r="D2626" s="269">
        <v>42375</v>
      </c>
      <c r="E2626" s="270" t="s">
        <v>1933</v>
      </c>
      <c r="F2626" s="384">
        <v>198000</v>
      </c>
      <c r="G2626" s="270">
        <v>691451068</v>
      </c>
    </row>
    <row r="2627" spans="1:7" x14ac:dyDescent="0.25">
      <c r="A2627" s="257">
        <v>2631</v>
      </c>
      <c r="B2627" s="267">
        <v>2626</v>
      </c>
      <c r="C2627" s="268" t="s">
        <v>2777</v>
      </c>
      <c r="D2627" s="269">
        <v>42375</v>
      </c>
      <c r="E2627" s="270" t="s">
        <v>222</v>
      </c>
      <c r="F2627" s="384">
        <v>130000</v>
      </c>
      <c r="G2627" s="270">
        <v>192468761</v>
      </c>
    </row>
    <row r="2628" spans="1:7" x14ac:dyDescent="0.25">
      <c r="A2628" s="257">
        <v>2632</v>
      </c>
      <c r="B2628" s="267">
        <v>2627</v>
      </c>
      <c r="C2628" s="268" t="s">
        <v>2966</v>
      </c>
      <c r="D2628" s="269">
        <v>42375</v>
      </c>
      <c r="E2628" s="270" t="s">
        <v>2885</v>
      </c>
      <c r="F2628" s="384">
        <v>155000</v>
      </c>
      <c r="G2628" s="270">
        <v>691132355</v>
      </c>
    </row>
    <row r="2629" spans="1:7" x14ac:dyDescent="0.25">
      <c r="A2629" s="257">
        <v>2633</v>
      </c>
      <c r="B2629" s="267">
        <v>2628</v>
      </c>
      <c r="C2629" s="268" t="s">
        <v>2829</v>
      </c>
      <c r="D2629" s="269">
        <v>42375</v>
      </c>
      <c r="E2629" s="270" t="s">
        <v>70</v>
      </c>
      <c r="F2629" s="384">
        <v>10160000</v>
      </c>
      <c r="G2629" s="270">
        <v>600048566</v>
      </c>
    </row>
    <row r="2630" spans="1:7" x14ac:dyDescent="0.25">
      <c r="A2630" s="257">
        <v>2634</v>
      </c>
      <c r="B2630" s="267">
        <v>2629</v>
      </c>
      <c r="C2630" s="268" t="s">
        <v>1124</v>
      </c>
      <c r="D2630" s="269">
        <v>42375</v>
      </c>
      <c r="E2630" s="270" t="s">
        <v>226</v>
      </c>
      <c r="F2630" s="384">
        <v>280000</v>
      </c>
      <c r="G2630" s="270">
        <v>190654467</v>
      </c>
    </row>
    <row r="2631" spans="1:7" x14ac:dyDescent="0.25">
      <c r="A2631" s="257">
        <v>2635</v>
      </c>
      <c r="B2631" s="267">
        <v>2630</v>
      </c>
      <c r="C2631" s="268" t="s">
        <v>3610</v>
      </c>
      <c r="D2631" s="269">
        <v>42380</v>
      </c>
      <c r="E2631" s="270" t="s">
        <v>3609</v>
      </c>
      <c r="F2631" s="384">
        <v>2020000</v>
      </c>
      <c r="G2631" s="270">
        <v>100363881</v>
      </c>
    </row>
    <row r="2632" spans="1:7" x14ac:dyDescent="0.25">
      <c r="A2632" s="257">
        <v>2636</v>
      </c>
      <c r="B2632" s="267">
        <v>2631</v>
      </c>
      <c r="C2632" s="268" t="s">
        <v>2806</v>
      </c>
      <c r="D2632" s="269">
        <v>42380</v>
      </c>
      <c r="E2632" s="270" t="s">
        <v>1638</v>
      </c>
      <c r="F2632" s="384">
        <v>435000</v>
      </c>
      <c r="G2632" s="270">
        <v>691584453</v>
      </c>
    </row>
    <row r="2633" spans="1:7" x14ac:dyDescent="0.25">
      <c r="A2633" s="257">
        <v>2637</v>
      </c>
      <c r="B2633" s="267">
        <v>2632</v>
      </c>
      <c r="C2633" s="268" t="s">
        <v>3610</v>
      </c>
      <c r="D2633" s="269">
        <v>42380</v>
      </c>
      <c r="E2633" s="270" t="s">
        <v>3609</v>
      </c>
      <c r="F2633" s="384">
        <v>2455000</v>
      </c>
      <c r="G2633" s="270">
        <v>100363881</v>
      </c>
    </row>
    <row r="2634" spans="1:7" x14ac:dyDescent="0.25">
      <c r="A2634" s="257">
        <v>2638</v>
      </c>
      <c r="B2634" s="267">
        <v>2633</v>
      </c>
      <c r="C2634" s="268" t="s">
        <v>206</v>
      </c>
      <c r="D2634" s="269">
        <v>42380</v>
      </c>
      <c r="E2634" s="270" t="s">
        <v>3129</v>
      </c>
      <c r="F2634" s="384">
        <v>198000</v>
      </c>
      <c r="G2634" s="270">
        <v>690656275</v>
      </c>
    </row>
    <row r="2635" spans="1:7" x14ac:dyDescent="0.25">
      <c r="A2635" s="257">
        <v>2639</v>
      </c>
      <c r="B2635" s="267">
        <v>2634</v>
      </c>
      <c r="C2635" s="268" t="s">
        <v>3111</v>
      </c>
      <c r="D2635" s="269">
        <v>42381</v>
      </c>
      <c r="E2635" s="270" t="s">
        <v>1948</v>
      </c>
      <c r="F2635" s="384">
        <v>198000</v>
      </c>
      <c r="G2635" s="270">
        <v>808000755</v>
      </c>
    </row>
    <row r="2636" spans="1:7" x14ac:dyDescent="0.25">
      <c r="A2636" s="257">
        <v>2640</v>
      </c>
      <c r="B2636" s="267">
        <v>2635</v>
      </c>
      <c r="C2636" s="268" t="s">
        <v>2864</v>
      </c>
      <c r="D2636" s="269">
        <v>42381</v>
      </c>
      <c r="E2636" s="270" t="s">
        <v>2456</v>
      </c>
      <c r="F2636" s="384">
        <v>130000</v>
      </c>
      <c r="G2636" s="270">
        <v>100039768</v>
      </c>
    </row>
    <row r="2637" spans="1:7" x14ac:dyDescent="0.25">
      <c r="A2637" s="257">
        <v>2641</v>
      </c>
      <c r="B2637" s="267">
        <v>2636</v>
      </c>
      <c r="C2637" s="268" t="s">
        <v>3866</v>
      </c>
      <c r="D2637" s="269">
        <v>42381</v>
      </c>
      <c r="E2637" s="270" t="s">
        <v>1939</v>
      </c>
      <c r="F2637" s="384">
        <v>165000</v>
      </c>
      <c r="G2637" s="270">
        <v>691458394</v>
      </c>
    </row>
    <row r="2638" spans="1:7" x14ac:dyDescent="0.25">
      <c r="A2638" s="257">
        <v>2642</v>
      </c>
      <c r="B2638" s="267">
        <v>2637</v>
      </c>
      <c r="C2638" s="268" t="s">
        <v>3739</v>
      </c>
      <c r="D2638" s="269">
        <v>42381</v>
      </c>
      <c r="E2638" s="270" t="s">
        <v>3502</v>
      </c>
      <c r="F2638" s="384">
        <v>240000</v>
      </c>
      <c r="G2638" s="270">
        <v>101581495</v>
      </c>
    </row>
    <row r="2639" spans="1:7" x14ac:dyDescent="0.25">
      <c r="A2639" s="257">
        <v>2643</v>
      </c>
      <c r="B2639" s="267">
        <v>2638</v>
      </c>
      <c r="C2639" s="268" t="s">
        <v>2864</v>
      </c>
      <c r="D2639" s="269">
        <v>42382</v>
      </c>
      <c r="E2639" s="270" t="s">
        <v>2456</v>
      </c>
      <c r="F2639" s="384">
        <v>67000</v>
      </c>
      <c r="G2639" s="270">
        <v>100039768</v>
      </c>
    </row>
    <row r="2640" spans="1:7" x14ac:dyDescent="0.25">
      <c r="A2640" s="257">
        <v>2644</v>
      </c>
      <c r="B2640" s="267">
        <v>2639</v>
      </c>
      <c r="C2640" s="268" t="s">
        <v>2777</v>
      </c>
      <c r="D2640" s="269">
        <v>42382</v>
      </c>
      <c r="E2640" s="270" t="s">
        <v>222</v>
      </c>
      <c r="F2640" s="384">
        <v>198000</v>
      </c>
      <c r="G2640" s="270">
        <v>192468761</v>
      </c>
    </row>
    <row r="2641" spans="1:7" x14ac:dyDescent="0.25">
      <c r="A2641" s="257">
        <v>2645</v>
      </c>
      <c r="B2641" s="267">
        <v>2640</v>
      </c>
      <c r="C2641" s="268" t="s">
        <v>2963</v>
      </c>
      <c r="D2641" s="269">
        <v>42382</v>
      </c>
      <c r="E2641" s="270" t="s">
        <v>220</v>
      </c>
      <c r="F2641" s="384">
        <v>874000</v>
      </c>
      <c r="G2641" s="270">
        <v>100230496</v>
      </c>
    </row>
    <row r="2642" spans="1:7" x14ac:dyDescent="0.25">
      <c r="A2642" s="257">
        <v>2646</v>
      </c>
      <c r="B2642" s="267">
        <v>2641</v>
      </c>
      <c r="C2642" s="268" t="s">
        <v>1941</v>
      </c>
      <c r="D2642" s="269">
        <v>42382</v>
      </c>
      <c r="E2642" s="270" t="s">
        <v>2871</v>
      </c>
      <c r="F2642" s="384">
        <v>1400000</v>
      </c>
      <c r="G2642" s="270">
        <v>101015738</v>
      </c>
    </row>
    <row r="2643" spans="1:7" x14ac:dyDescent="0.25">
      <c r="A2643" s="257">
        <v>2647</v>
      </c>
      <c r="B2643" s="267">
        <v>2642</v>
      </c>
      <c r="C2643" s="268" t="s">
        <v>2777</v>
      </c>
      <c r="D2643" s="269">
        <v>42382</v>
      </c>
      <c r="E2643" s="270" t="s">
        <v>222</v>
      </c>
      <c r="F2643" s="384">
        <v>63000</v>
      </c>
      <c r="G2643" s="270">
        <v>192468761</v>
      </c>
    </row>
    <row r="2644" spans="1:7" x14ac:dyDescent="0.25">
      <c r="A2644" s="257">
        <v>2648</v>
      </c>
      <c r="B2644" s="267">
        <v>2643</v>
      </c>
      <c r="C2644" s="268" t="s">
        <v>978</v>
      </c>
      <c r="D2644" s="269">
        <v>42382</v>
      </c>
      <c r="E2644" s="270" t="s">
        <v>847</v>
      </c>
      <c r="F2644" s="384">
        <v>155000</v>
      </c>
      <c r="G2644" s="270">
        <v>190853326</v>
      </c>
    </row>
    <row r="2645" spans="1:7" x14ac:dyDescent="0.25">
      <c r="A2645" s="257">
        <v>2649</v>
      </c>
      <c r="B2645" s="267">
        <v>2644</v>
      </c>
      <c r="C2645" s="268" t="s">
        <v>3216</v>
      </c>
      <c r="D2645" s="269">
        <v>42382</v>
      </c>
      <c r="E2645" s="270" t="s">
        <v>1644</v>
      </c>
      <c r="F2645" s="384">
        <v>1680000</v>
      </c>
      <c r="G2645" s="270">
        <v>100315288</v>
      </c>
    </row>
    <row r="2646" spans="1:7" x14ac:dyDescent="0.25">
      <c r="A2646" s="257">
        <v>2650</v>
      </c>
      <c r="B2646" s="267">
        <v>2645</v>
      </c>
      <c r="C2646" s="268" t="s">
        <v>2036</v>
      </c>
      <c r="D2646" s="269">
        <v>42382</v>
      </c>
      <c r="E2646" s="270" t="s">
        <v>3594</v>
      </c>
      <c r="F2646" s="384">
        <v>870000</v>
      </c>
      <c r="G2646" s="270">
        <v>190882802</v>
      </c>
    </row>
    <row r="2647" spans="1:7" x14ac:dyDescent="0.25">
      <c r="A2647" s="257">
        <v>2651</v>
      </c>
      <c r="B2647" s="267">
        <v>2646</v>
      </c>
      <c r="C2647" s="268" t="s">
        <v>2771</v>
      </c>
      <c r="D2647" s="269">
        <v>42382</v>
      </c>
      <c r="E2647" s="270" t="s">
        <v>3267</v>
      </c>
      <c r="F2647" s="384">
        <v>165000</v>
      </c>
      <c r="G2647" s="270">
        <v>0</v>
      </c>
    </row>
    <row r="2648" spans="1:7" x14ac:dyDescent="0.25">
      <c r="A2648" s="257">
        <v>2652</v>
      </c>
      <c r="B2648" s="267">
        <v>2647</v>
      </c>
      <c r="C2648" s="268" t="s">
        <v>3133</v>
      </c>
      <c r="D2648" s="269">
        <v>42382</v>
      </c>
      <c r="E2648" s="270" t="s">
        <v>3587</v>
      </c>
      <c r="F2648" s="384">
        <v>396000</v>
      </c>
      <c r="G2648" s="270">
        <v>101254783</v>
      </c>
    </row>
    <row r="2649" spans="1:7" x14ac:dyDescent="0.25">
      <c r="A2649" s="257">
        <v>2653</v>
      </c>
      <c r="B2649" s="267">
        <v>2648</v>
      </c>
      <c r="C2649" s="268" t="s">
        <v>4213</v>
      </c>
      <c r="D2649" s="269">
        <v>42382</v>
      </c>
      <c r="E2649" s="270" t="s">
        <v>3605</v>
      </c>
      <c r="F2649" s="384">
        <v>180000</v>
      </c>
      <c r="G2649" s="270">
        <v>190398861</v>
      </c>
    </row>
    <row r="2650" spans="1:7" x14ac:dyDescent="0.25">
      <c r="A2650" s="257">
        <v>2654</v>
      </c>
      <c r="B2650" s="267">
        <v>2649</v>
      </c>
      <c r="C2650" s="268" t="s">
        <v>2143</v>
      </c>
      <c r="D2650" s="269">
        <v>42382</v>
      </c>
      <c r="E2650" s="270" t="s">
        <v>1927</v>
      </c>
      <c r="F2650" s="384">
        <v>870000</v>
      </c>
      <c r="G2650" s="270">
        <v>190032958</v>
      </c>
    </row>
    <row r="2651" spans="1:7" x14ac:dyDescent="0.25">
      <c r="A2651" s="257">
        <v>2655</v>
      </c>
      <c r="B2651" s="267">
        <v>2650</v>
      </c>
      <c r="C2651" s="268" t="s">
        <v>2645</v>
      </c>
      <c r="D2651" s="269">
        <v>42382</v>
      </c>
      <c r="E2651" s="270" t="s">
        <v>239</v>
      </c>
      <c r="F2651" s="384">
        <v>280000</v>
      </c>
      <c r="G2651" s="270">
        <v>101139097</v>
      </c>
    </row>
    <row r="2652" spans="1:7" x14ac:dyDescent="0.25">
      <c r="A2652" s="257">
        <v>2656</v>
      </c>
      <c r="B2652" s="267">
        <v>2651</v>
      </c>
      <c r="C2652" s="268" t="s">
        <v>3308</v>
      </c>
      <c r="D2652" s="269">
        <v>42383</v>
      </c>
      <c r="E2652" s="270" t="s">
        <v>2851</v>
      </c>
      <c r="F2652" s="384">
        <v>435000</v>
      </c>
      <c r="G2652" s="270">
        <v>691463537</v>
      </c>
    </row>
    <row r="2653" spans="1:7" x14ac:dyDescent="0.25">
      <c r="A2653" s="257">
        <v>2657</v>
      </c>
      <c r="B2653" s="267">
        <v>2652</v>
      </c>
      <c r="C2653" s="268" t="s">
        <v>2777</v>
      </c>
      <c r="D2653" s="269">
        <v>42383</v>
      </c>
      <c r="E2653" s="270" t="s">
        <v>222</v>
      </c>
      <c r="F2653" s="384">
        <v>165000</v>
      </c>
      <c r="G2653" s="270">
        <v>192468761</v>
      </c>
    </row>
    <row r="2654" spans="1:7" x14ac:dyDescent="0.25">
      <c r="A2654" s="257">
        <v>2658</v>
      </c>
      <c r="B2654" s="267">
        <v>2653</v>
      </c>
      <c r="C2654" s="268" t="s">
        <v>1928</v>
      </c>
      <c r="D2654" s="269">
        <v>42383</v>
      </c>
      <c r="E2654" s="270" t="s">
        <v>2801</v>
      </c>
      <c r="F2654" s="384">
        <v>280000</v>
      </c>
      <c r="G2654" s="270">
        <v>190334745</v>
      </c>
    </row>
    <row r="2655" spans="1:7" x14ac:dyDescent="0.25">
      <c r="A2655" s="257">
        <v>2659</v>
      </c>
      <c r="B2655" s="267">
        <v>2654</v>
      </c>
      <c r="C2655" s="268" t="s">
        <v>1928</v>
      </c>
      <c r="D2655" s="269">
        <v>42383</v>
      </c>
      <c r="E2655" s="270" t="s">
        <v>2801</v>
      </c>
      <c r="F2655" s="384">
        <v>117000</v>
      </c>
      <c r="G2655" s="270">
        <v>190334745</v>
      </c>
    </row>
    <row r="2656" spans="1:7" x14ac:dyDescent="0.25">
      <c r="A2656" s="257">
        <v>2660</v>
      </c>
      <c r="B2656" s="267">
        <v>2655</v>
      </c>
      <c r="C2656" s="268" t="s">
        <v>372</v>
      </c>
      <c r="D2656" s="269">
        <v>42383</v>
      </c>
      <c r="E2656" s="270" t="s">
        <v>1101</v>
      </c>
      <c r="F2656" s="384">
        <v>240000</v>
      </c>
      <c r="G2656" s="270">
        <v>100376734</v>
      </c>
    </row>
    <row r="2657" spans="1:7" x14ac:dyDescent="0.25">
      <c r="A2657" s="257">
        <v>2661</v>
      </c>
      <c r="B2657" s="267">
        <v>2656</v>
      </c>
      <c r="C2657" s="268" t="s">
        <v>2820</v>
      </c>
      <c r="D2657" s="269">
        <v>42383</v>
      </c>
      <c r="E2657" s="270" t="s">
        <v>989</v>
      </c>
      <c r="F2657" s="384">
        <v>170000</v>
      </c>
      <c r="G2657" s="270">
        <v>690836323</v>
      </c>
    </row>
    <row r="2658" spans="1:7" x14ac:dyDescent="0.25">
      <c r="A2658" s="257">
        <v>2662</v>
      </c>
      <c r="B2658" s="267">
        <v>2657</v>
      </c>
      <c r="C2658" s="268" t="s">
        <v>4198</v>
      </c>
      <c r="D2658" s="269">
        <v>42384</v>
      </c>
      <c r="E2658" s="270" t="s">
        <v>1821</v>
      </c>
      <c r="F2658" s="384">
        <v>198000</v>
      </c>
      <c r="G2658" s="270">
        <v>191655698</v>
      </c>
    </row>
    <row r="2659" spans="1:7" x14ac:dyDescent="0.25">
      <c r="A2659" s="257">
        <v>2663</v>
      </c>
      <c r="B2659" s="267">
        <v>2658</v>
      </c>
      <c r="C2659" s="268" t="s">
        <v>2777</v>
      </c>
      <c r="D2659" s="269">
        <v>42384</v>
      </c>
      <c r="E2659" s="270" t="s">
        <v>222</v>
      </c>
      <c r="F2659" s="384">
        <v>31000</v>
      </c>
      <c r="G2659" s="270">
        <v>192468761</v>
      </c>
    </row>
    <row r="2660" spans="1:7" x14ac:dyDescent="0.25">
      <c r="A2660" s="257">
        <v>2664</v>
      </c>
      <c r="B2660" s="267">
        <v>2659</v>
      </c>
      <c r="C2660" s="268" t="s">
        <v>690</v>
      </c>
      <c r="D2660" s="269">
        <v>42384</v>
      </c>
      <c r="E2660" s="270" t="s">
        <v>2754</v>
      </c>
      <c r="F2660" s="384">
        <v>280000</v>
      </c>
      <c r="G2660" s="270">
        <v>192522108</v>
      </c>
    </row>
    <row r="2661" spans="1:7" x14ac:dyDescent="0.25">
      <c r="A2661" s="257">
        <v>2665</v>
      </c>
      <c r="B2661" s="267">
        <v>2660</v>
      </c>
      <c r="C2661" s="268" t="s">
        <v>1057</v>
      </c>
      <c r="D2661" s="269">
        <v>42384</v>
      </c>
      <c r="E2661" s="270" t="s">
        <v>3092</v>
      </c>
      <c r="F2661" s="384">
        <v>198000</v>
      </c>
      <c r="G2661" s="270">
        <v>100779791</v>
      </c>
    </row>
    <row r="2662" spans="1:7" x14ac:dyDescent="0.25">
      <c r="A2662" s="257">
        <v>2666</v>
      </c>
      <c r="B2662" s="267">
        <v>2661</v>
      </c>
      <c r="C2662" s="268" t="s">
        <v>2779</v>
      </c>
      <c r="D2662" s="269">
        <v>42384</v>
      </c>
      <c r="E2662" s="270" t="s">
        <v>2159</v>
      </c>
      <c r="F2662" s="384">
        <v>1400000</v>
      </c>
      <c r="G2662" s="270">
        <v>100345786</v>
      </c>
    </row>
    <row r="2663" spans="1:7" x14ac:dyDescent="0.25">
      <c r="A2663" s="257">
        <v>2667</v>
      </c>
      <c r="B2663" s="267">
        <v>2662</v>
      </c>
      <c r="C2663" s="268" t="s">
        <v>154</v>
      </c>
      <c r="D2663" s="269">
        <v>42384</v>
      </c>
      <c r="E2663" s="270" t="s">
        <v>2374</v>
      </c>
      <c r="F2663" s="384">
        <v>308000</v>
      </c>
      <c r="G2663" s="270">
        <v>101528843</v>
      </c>
    </row>
    <row r="2664" spans="1:7" x14ac:dyDescent="0.25">
      <c r="A2664" s="257">
        <v>2668</v>
      </c>
      <c r="B2664" s="267">
        <v>2663</v>
      </c>
      <c r="C2664" s="268" t="s">
        <v>206</v>
      </c>
      <c r="D2664" s="269">
        <v>42384</v>
      </c>
      <c r="E2664" s="270" t="s">
        <v>3129</v>
      </c>
      <c r="F2664" s="384">
        <v>31000</v>
      </c>
      <c r="G2664" s="270">
        <v>690656275</v>
      </c>
    </row>
    <row r="2665" spans="1:7" x14ac:dyDescent="0.25">
      <c r="A2665" s="257">
        <v>2669</v>
      </c>
      <c r="B2665" s="267">
        <v>2664</v>
      </c>
      <c r="C2665" s="268" t="s">
        <v>3140</v>
      </c>
      <c r="D2665" s="269">
        <v>42385</v>
      </c>
      <c r="E2665" s="270" t="s">
        <v>1537</v>
      </c>
      <c r="F2665" s="384">
        <v>300000</v>
      </c>
      <c r="G2665" s="270">
        <v>800014157</v>
      </c>
    </row>
    <row r="2666" spans="1:7" x14ac:dyDescent="0.25">
      <c r="A2666" s="257">
        <v>2670</v>
      </c>
      <c r="B2666" s="267">
        <v>2665</v>
      </c>
      <c r="C2666" s="268" t="s">
        <v>3606</v>
      </c>
      <c r="D2666" s="269">
        <v>42385</v>
      </c>
      <c r="E2666" s="270" t="s">
        <v>944</v>
      </c>
      <c r="F2666" s="384">
        <v>240000</v>
      </c>
      <c r="G2666" s="270">
        <v>100692491</v>
      </c>
    </row>
    <row r="2667" spans="1:7" x14ac:dyDescent="0.25">
      <c r="A2667" s="257">
        <v>2671</v>
      </c>
      <c r="B2667" s="267">
        <v>2666</v>
      </c>
      <c r="C2667" s="268" t="s">
        <v>2602</v>
      </c>
      <c r="D2667" s="269">
        <v>42385</v>
      </c>
      <c r="E2667" s="270" t="s">
        <v>3321</v>
      </c>
      <c r="F2667" s="384">
        <v>435000</v>
      </c>
      <c r="G2667" s="270">
        <v>490492602</v>
      </c>
    </row>
    <row r="2668" spans="1:7" x14ac:dyDescent="0.25">
      <c r="A2668" s="257">
        <v>2672</v>
      </c>
      <c r="B2668" s="267">
        <v>2667</v>
      </c>
      <c r="C2668" s="268" t="s">
        <v>3111</v>
      </c>
      <c r="D2668" s="269">
        <v>42387</v>
      </c>
      <c r="E2668" s="270" t="s">
        <v>1948</v>
      </c>
      <c r="F2668" s="384">
        <v>198000</v>
      </c>
      <c r="G2668" s="270">
        <v>808000755</v>
      </c>
    </row>
    <row r="2669" spans="1:7" x14ac:dyDescent="0.25">
      <c r="A2669" s="257">
        <v>2673</v>
      </c>
      <c r="B2669" s="267">
        <v>2668</v>
      </c>
      <c r="C2669" s="268" t="s">
        <v>994</v>
      </c>
      <c r="D2669" s="269">
        <v>42387</v>
      </c>
      <c r="E2669" s="270" t="s">
        <v>854</v>
      </c>
      <c r="F2669" s="384">
        <v>160000</v>
      </c>
      <c r="G2669" s="270">
        <v>100122726</v>
      </c>
    </row>
    <row r="2670" spans="1:7" x14ac:dyDescent="0.25">
      <c r="A2670" s="257">
        <v>2674</v>
      </c>
      <c r="B2670" s="267">
        <v>2669</v>
      </c>
      <c r="C2670" s="268" t="s">
        <v>3527</v>
      </c>
      <c r="D2670" s="269">
        <v>42387</v>
      </c>
      <c r="E2670" s="270" t="s">
        <v>3863</v>
      </c>
      <c r="F2670" s="384">
        <v>198000</v>
      </c>
      <c r="G2670" s="270">
        <v>690350176</v>
      </c>
    </row>
    <row r="2671" spans="1:7" x14ac:dyDescent="0.25">
      <c r="A2671" s="257">
        <v>2675</v>
      </c>
      <c r="B2671" s="267">
        <v>2670</v>
      </c>
      <c r="C2671" s="268" t="s">
        <v>2828</v>
      </c>
      <c r="D2671" s="269">
        <v>42387</v>
      </c>
      <c r="E2671" s="270" t="s">
        <v>892</v>
      </c>
      <c r="F2671" s="384">
        <v>63000</v>
      </c>
      <c r="G2671" s="270">
        <v>100390954</v>
      </c>
    </row>
    <row r="2672" spans="1:7" x14ac:dyDescent="0.25">
      <c r="A2672" s="257">
        <v>2676</v>
      </c>
      <c r="B2672" s="267">
        <v>2671</v>
      </c>
      <c r="C2672" s="268" t="s">
        <v>3245</v>
      </c>
      <c r="D2672" s="269">
        <v>42387</v>
      </c>
      <c r="E2672" s="270" t="s">
        <v>1702</v>
      </c>
      <c r="F2672" s="384">
        <v>240000</v>
      </c>
      <c r="G2672" s="270">
        <v>100315395</v>
      </c>
    </row>
    <row r="2673" spans="1:7" x14ac:dyDescent="0.25">
      <c r="A2673" s="257">
        <v>2677</v>
      </c>
      <c r="B2673" s="267">
        <v>2672</v>
      </c>
      <c r="C2673" s="268" t="s">
        <v>2833</v>
      </c>
      <c r="D2673" s="269">
        <v>42387</v>
      </c>
      <c r="E2673" s="270" t="s">
        <v>2403</v>
      </c>
      <c r="F2673" s="384">
        <v>170000</v>
      </c>
      <c r="G2673" s="270">
        <v>600049547</v>
      </c>
    </row>
    <row r="2674" spans="1:7" x14ac:dyDescent="0.25">
      <c r="A2674" s="257">
        <v>2678</v>
      </c>
      <c r="B2674" s="267">
        <v>2673</v>
      </c>
      <c r="C2674" s="268" t="s">
        <v>2622</v>
      </c>
      <c r="D2674" s="269">
        <v>42387</v>
      </c>
      <c r="E2674" s="270" t="s">
        <v>2673</v>
      </c>
      <c r="F2674" s="384">
        <v>160000</v>
      </c>
      <c r="G2674" s="270">
        <v>690387482</v>
      </c>
    </row>
    <row r="2675" spans="1:7" x14ac:dyDescent="0.25">
      <c r="A2675" s="257">
        <v>2679</v>
      </c>
      <c r="B2675" s="267">
        <v>2674</v>
      </c>
      <c r="C2675" s="268" t="s">
        <v>1639</v>
      </c>
      <c r="D2675" s="269">
        <v>42387</v>
      </c>
      <c r="E2675" s="270" t="s">
        <v>3850</v>
      </c>
      <c r="F2675" s="384">
        <v>405000</v>
      </c>
      <c r="G2675" s="270">
        <v>800011635</v>
      </c>
    </row>
    <row r="2676" spans="1:7" x14ac:dyDescent="0.25">
      <c r="A2676" s="257">
        <v>2680</v>
      </c>
      <c r="B2676" s="267">
        <v>2675</v>
      </c>
      <c r="C2676" s="268" t="s">
        <v>3143</v>
      </c>
      <c r="D2676" s="269">
        <v>42387</v>
      </c>
      <c r="E2676" s="270" t="s">
        <v>3635</v>
      </c>
      <c r="F2676" s="384">
        <v>3249000</v>
      </c>
      <c r="G2676" s="270">
        <v>100059044</v>
      </c>
    </row>
    <row r="2677" spans="1:7" x14ac:dyDescent="0.25">
      <c r="A2677" s="257">
        <v>2681</v>
      </c>
      <c r="B2677" s="267">
        <v>2676</v>
      </c>
      <c r="C2677" s="268" t="s">
        <v>2629</v>
      </c>
      <c r="D2677" s="269">
        <v>42387</v>
      </c>
      <c r="E2677" s="270" t="s">
        <v>2152</v>
      </c>
      <c r="F2677" s="384">
        <v>435000</v>
      </c>
      <c r="G2677" s="270">
        <v>191418262</v>
      </c>
    </row>
    <row r="2678" spans="1:7" x14ac:dyDescent="0.25">
      <c r="A2678" s="257">
        <v>2682</v>
      </c>
      <c r="B2678" s="267">
        <v>2677</v>
      </c>
      <c r="C2678" s="268" t="s">
        <v>1931</v>
      </c>
      <c r="D2678" s="269">
        <v>42387</v>
      </c>
      <c r="E2678" s="270" t="s">
        <v>1923</v>
      </c>
      <c r="F2678" s="384">
        <v>435000</v>
      </c>
      <c r="G2678" s="270">
        <v>600104847</v>
      </c>
    </row>
    <row r="2679" spans="1:7" x14ac:dyDescent="0.25">
      <c r="A2679" s="257">
        <v>2683</v>
      </c>
      <c r="B2679" s="267">
        <v>2678</v>
      </c>
      <c r="C2679" s="268" t="s">
        <v>390</v>
      </c>
      <c r="D2679" s="269">
        <v>42387</v>
      </c>
      <c r="E2679" s="270" t="s">
        <v>3518</v>
      </c>
      <c r="F2679" s="384">
        <v>198000</v>
      </c>
      <c r="G2679" s="270">
        <v>100092100</v>
      </c>
    </row>
    <row r="2680" spans="1:7" x14ac:dyDescent="0.25">
      <c r="A2680" s="257">
        <v>2684</v>
      </c>
      <c r="B2680" s="267">
        <v>2679</v>
      </c>
      <c r="C2680" s="268" t="s">
        <v>1117</v>
      </c>
      <c r="D2680" s="269">
        <v>42388</v>
      </c>
      <c r="E2680" s="270" t="s">
        <v>2034</v>
      </c>
      <c r="F2680" s="384">
        <v>358000</v>
      </c>
      <c r="G2680" s="270">
        <v>101477759</v>
      </c>
    </row>
    <row r="2681" spans="1:7" x14ac:dyDescent="0.25">
      <c r="A2681" s="257">
        <v>2685</v>
      </c>
      <c r="B2681" s="267">
        <v>2680</v>
      </c>
      <c r="C2681" s="268" t="s">
        <v>1941</v>
      </c>
      <c r="D2681" s="269">
        <v>42388</v>
      </c>
      <c r="E2681" s="270" t="s">
        <v>2871</v>
      </c>
      <c r="F2681" s="384">
        <v>560000</v>
      </c>
      <c r="G2681" s="270">
        <v>101015738</v>
      </c>
    </row>
    <row r="2682" spans="1:7" x14ac:dyDescent="0.25">
      <c r="A2682" s="257">
        <v>2686</v>
      </c>
      <c r="B2682" s="267">
        <v>2681</v>
      </c>
      <c r="C2682" s="268" t="s">
        <v>2368</v>
      </c>
      <c r="D2682" s="269">
        <v>42388</v>
      </c>
      <c r="E2682" s="270" t="s">
        <v>2874</v>
      </c>
      <c r="F2682" s="384">
        <v>94000</v>
      </c>
      <c r="G2682" s="270">
        <v>601058856</v>
      </c>
    </row>
    <row r="2683" spans="1:7" x14ac:dyDescent="0.25">
      <c r="A2683" s="257">
        <v>2687</v>
      </c>
      <c r="B2683" s="267">
        <v>2682</v>
      </c>
      <c r="C2683" s="268" t="s">
        <v>200</v>
      </c>
      <c r="D2683" s="269">
        <v>42388</v>
      </c>
      <c r="E2683" s="270" t="s">
        <v>2426</v>
      </c>
      <c r="F2683" s="384">
        <v>160000</v>
      </c>
      <c r="G2683" s="270">
        <v>100025811</v>
      </c>
    </row>
    <row r="2684" spans="1:7" x14ac:dyDescent="0.25">
      <c r="A2684" s="257">
        <v>2688</v>
      </c>
      <c r="B2684" s="267">
        <v>2683</v>
      </c>
      <c r="C2684" s="268" t="s">
        <v>3528</v>
      </c>
      <c r="D2684" s="269">
        <v>42388</v>
      </c>
      <c r="E2684" s="270" t="s">
        <v>733</v>
      </c>
      <c r="F2684" s="384">
        <v>198000</v>
      </c>
      <c r="G2684" s="270">
        <v>190770035</v>
      </c>
    </row>
    <row r="2685" spans="1:7" x14ac:dyDescent="0.25">
      <c r="A2685" s="257">
        <v>2689</v>
      </c>
      <c r="B2685" s="267">
        <v>2684</v>
      </c>
      <c r="C2685" s="268" t="s">
        <v>3326</v>
      </c>
      <c r="D2685" s="269">
        <v>42388</v>
      </c>
      <c r="E2685" s="270" t="s">
        <v>164</v>
      </c>
      <c r="F2685" s="384">
        <v>94000</v>
      </c>
      <c r="G2685" s="270">
        <v>100534485</v>
      </c>
    </row>
    <row r="2686" spans="1:7" x14ac:dyDescent="0.25">
      <c r="A2686" s="257">
        <v>2690</v>
      </c>
      <c r="B2686" s="267">
        <v>2685</v>
      </c>
      <c r="C2686" s="268" t="s">
        <v>1917</v>
      </c>
      <c r="D2686" s="269">
        <v>42388</v>
      </c>
      <c r="E2686" s="270" t="s">
        <v>874</v>
      </c>
      <c r="F2686" s="384">
        <v>435000</v>
      </c>
      <c r="G2686" s="270">
        <v>191360926</v>
      </c>
    </row>
    <row r="2687" spans="1:7" x14ac:dyDescent="0.25">
      <c r="A2687" s="257">
        <v>2691</v>
      </c>
      <c r="B2687" s="267">
        <v>2686</v>
      </c>
      <c r="C2687" s="268" t="s">
        <v>937</v>
      </c>
      <c r="D2687" s="269">
        <v>42388</v>
      </c>
      <c r="E2687" s="270" t="s">
        <v>3525</v>
      </c>
      <c r="F2687" s="384">
        <v>435000</v>
      </c>
      <c r="G2687" s="270">
        <v>691525089</v>
      </c>
    </row>
    <row r="2688" spans="1:7" x14ac:dyDescent="0.25">
      <c r="A2688" s="257">
        <v>2692</v>
      </c>
      <c r="B2688" s="267">
        <v>2687</v>
      </c>
      <c r="C2688" s="268" t="s">
        <v>1026</v>
      </c>
      <c r="D2688" s="269">
        <v>42389</v>
      </c>
      <c r="E2688" s="270" t="s">
        <v>234</v>
      </c>
      <c r="F2688" s="384">
        <v>396000</v>
      </c>
      <c r="G2688" s="270">
        <v>100736767</v>
      </c>
    </row>
    <row r="2689" spans="1:7" x14ac:dyDescent="0.25">
      <c r="A2689" s="257">
        <v>2693</v>
      </c>
      <c r="B2689" s="267">
        <v>2688</v>
      </c>
      <c r="C2689" s="268" t="s">
        <v>4198</v>
      </c>
      <c r="D2689" s="269">
        <v>42389</v>
      </c>
      <c r="E2689" s="270" t="s">
        <v>1821</v>
      </c>
      <c r="F2689" s="384">
        <v>67000</v>
      </c>
      <c r="G2689" s="270">
        <v>191655698</v>
      </c>
    </row>
    <row r="2690" spans="1:7" x14ac:dyDescent="0.25">
      <c r="A2690" s="257">
        <v>2694</v>
      </c>
      <c r="B2690" s="267">
        <v>2689</v>
      </c>
      <c r="C2690" s="268" t="s">
        <v>413</v>
      </c>
      <c r="D2690" s="269">
        <v>42389</v>
      </c>
      <c r="E2690" s="270" t="s">
        <v>455</v>
      </c>
      <c r="F2690" s="384">
        <v>280000</v>
      </c>
      <c r="G2690" s="270">
        <v>190638152</v>
      </c>
    </row>
    <row r="2691" spans="1:7" x14ac:dyDescent="0.25">
      <c r="A2691" s="257">
        <v>2695</v>
      </c>
      <c r="B2691" s="267">
        <v>2690</v>
      </c>
      <c r="C2691" s="268" t="s">
        <v>2629</v>
      </c>
      <c r="D2691" s="269">
        <v>42389</v>
      </c>
      <c r="E2691" s="270" t="s">
        <v>2152</v>
      </c>
      <c r="F2691" s="384">
        <v>166000</v>
      </c>
      <c r="G2691" s="270">
        <v>191418262</v>
      </c>
    </row>
    <row r="2692" spans="1:7" x14ac:dyDescent="0.25">
      <c r="A2692" s="257">
        <v>2696</v>
      </c>
      <c r="B2692" s="267">
        <v>2691</v>
      </c>
      <c r="C2692" s="268" t="s">
        <v>3734</v>
      </c>
      <c r="D2692" s="269">
        <v>42389</v>
      </c>
      <c r="E2692" s="270" t="s">
        <v>2358</v>
      </c>
      <c r="F2692" s="384">
        <v>280000</v>
      </c>
      <c r="G2692" s="270">
        <v>800008903</v>
      </c>
    </row>
    <row r="2693" spans="1:7" x14ac:dyDescent="0.25">
      <c r="A2693" s="257">
        <v>2697</v>
      </c>
      <c r="B2693" s="267">
        <v>2692</v>
      </c>
      <c r="C2693" s="268" t="s">
        <v>3734</v>
      </c>
      <c r="D2693" s="269">
        <v>42389</v>
      </c>
      <c r="E2693" s="270" t="s">
        <v>2358</v>
      </c>
      <c r="F2693" s="384">
        <v>155000</v>
      </c>
      <c r="G2693" s="270">
        <v>800008903</v>
      </c>
    </row>
    <row r="2694" spans="1:7" x14ac:dyDescent="0.25">
      <c r="A2694" s="257">
        <v>2698</v>
      </c>
      <c r="B2694" s="267">
        <v>2693</v>
      </c>
      <c r="C2694" s="268" t="s">
        <v>2151</v>
      </c>
      <c r="D2694" s="269">
        <v>42390</v>
      </c>
      <c r="E2694" s="270" t="s">
        <v>132</v>
      </c>
      <c r="F2694" s="384">
        <v>480000</v>
      </c>
      <c r="G2694" s="270">
        <v>600011872</v>
      </c>
    </row>
    <row r="2695" spans="1:7" x14ac:dyDescent="0.25">
      <c r="A2695" s="257">
        <v>2699</v>
      </c>
      <c r="B2695" s="267">
        <v>2694</v>
      </c>
      <c r="C2695" s="268" t="s">
        <v>3128</v>
      </c>
      <c r="D2695" s="269">
        <v>42390</v>
      </c>
      <c r="E2695" s="270" t="s">
        <v>2161</v>
      </c>
      <c r="F2695" s="384">
        <v>240000</v>
      </c>
      <c r="G2695" s="270">
        <v>190775753</v>
      </c>
    </row>
    <row r="2696" spans="1:7" x14ac:dyDescent="0.25">
      <c r="A2696" s="257">
        <v>2700</v>
      </c>
      <c r="B2696" s="267">
        <v>2695</v>
      </c>
      <c r="C2696" s="268" t="s">
        <v>265</v>
      </c>
      <c r="D2696" s="269">
        <v>42390</v>
      </c>
      <c r="E2696" s="270" t="s">
        <v>450</v>
      </c>
      <c r="F2696" s="384">
        <v>435000</v>
      </c>
      <c r="G2696" s="270">
        <v>100468996</v>
      </c>
    </row>
    <row r="2697" spans="1:7" x14ac:dyDescent="0.25">
      <c r="A2697" s="257">
        <v>2701</v>
      </c>
      <c r="B2697" s="267">
        <v>2696</v>
      </c>
      <c r="C2697" s="268" t="s">
        <v>3248</v>
      </c>
      <c r="D2697" s="269">
        <v>42390</v>
      </c>
      <c r="E2697" s="270" t="s">
        <v>2459</v>
      </c>
      <c r="F2697" s="384">
        <v>325000</v>
      </c>
      <c r="G2697" s="270">
        <v>100669291</v>
      </c>
    </row>
    <row r="2698" spans="1:7" x14ac:dyDescent="0.25">
      <c r="A2698" s="257">
        <v>2702</v>
      </c>
      <c r="B2698" s="267">
        <v>2697</v>
      </c>
      <c r="C2698" s="268" t="s">
        <v>2889</v>
      </c>
      <c r="D2698" s="269">
        <v>42390</v>
      </c>
      <c r="E2698" s="270" t="s">
        <v>523</v>
      </c>
      <c r="F2698" s="384">
        <v>435000</v>
      </c>
      <c r="G2698" s="270">
        <v>691539111</v>
      </c>
    </row>
    <row r="2699" spans="1:7" x14ac:dyDescent="0.25">
      <c r="A2699" s="257">
        <v>2703</v>
      </c>
      <c r="B2699" s="267">
        <v>2698</v>
      </c>
      <c r="C2699" s="268" t="s">
        <v>2687</v>
      </c>
      <c r="D2699" s="269">
        <v>42390</v>
      </c>
      <c r="E2699" s="270" t="s">
        <v>2775</v>
      </c>
      <c r="F2699" s="384">
        <v>280000</v>
      </c>
      <c r="G2699" s="270">
        <v>691301525</v>
      </c>
    </row>
    <row r="2700" spans="1:7" x14ac:dyDescent="0.25">
      <c r="A2700" s="257">
        <v>2704</v>
      </c>
      <c r="B2700" s="267">
        <v>2699</v>
      </c>
      <c r="C2700" s="268" t="s">
        <v>452</v>
      </c>
      <c r="D2700" s="269">
        <v>42390</v>
      </c>
      <c r="E2700" s="270" t="s">
        <v>146</v>
      </c>
      <c r="F2700" s="384">
        <v>198000</v>
      </c>
      <c r="G2700" s="270">
        <v>100839215</v>
      </c>
    </row>
    <row r="2701" spans="1:7" x14ac:dyDescent="0.25">
      <c r="A2701" s="257">
        <v>2705</v>
      </c>
      <c r="B2701" s="267">
        <v>2700</v>
      </c>
      <c r="C2701" s="268" t="s">
        <v>2889</v>
      </c>
      <c r="D2701" s="269">
        <v>42390</v>
      </c>
      <c r="E2701" s="270" t="s">
        <v>523</v>
      </c>
      <c r="F2701" s="384">
        <v>67000</v>
      </c>
      <c r="G2701" s="270">
        <v>691539111</v>
      </c>
    </row>
    <row r="2702" spans="1:7" x14ac:dyDescent="0.25">
      <c r="A2702" s="257">
        <v>2706</v>
      </c>
      <c r="B2702" s="267">
        <v>2701</v>
      </c>
      <c r="C2702" s="268" t="s">
        <v>2733</v>
      </c>
      <c r="D2702" s="269">
        <v>42391</v>
      </c>
      <c r="E2702" s="270" t="s">
        <v>3491</v>
      </c>
      <c r="F2702" s="384">
        <v>165000</v>
      </c>
      <c r="G2702" s="270">
        <v>800014037</v>
      </c>
    </row>
    <row r="2703" spans="1:7" x14ac:dyDescent="0.25">
      <c r="A2703" s="257">
        <v>2707</v>
      </c>
      <c r="B2703" s="267">
        <v>2702</v>
      </c>
      <c r="C2703" s="268" t="s">
        <v>2687</v>
      </c>
      <c r="D2703" s="269">
        <v>42391</v>
      </c>
      <c r="E2703" s="270" t="s">
        <v>2775</v>
      </c>
      <c r="F2703" s="384">
        <v>155000</v>
      </c>
      <c r="G2703" s="270">
        <v>691301525</v>
      </c>
    </row>
    <row r="2704" spans="1:7" x14ac:dyDescent="0.25">
      <c r="A2704" s="257">
        <v>2708</v>
      </c>
      <c r="B2704" s="267">
        <v>2703</v>
      </c>
      <c r="C2704" s="268" t="s">
        <v>1646</v>
      </c>
      <c r="D2704" s="269">
        <v>42391</v>
      </c>
      <c r="E2704" s="270" t="s">
        <v>1645</v>
      </c>
      <c r="F2704" s="384">
        <v>435000</v>
      </c>
      <c r="G2704" s="270">
        <v>691598185</v>
      </c>
    </row>
    <row r="2705" spans="1:7" x14ac:dyDescent="0.25">
      <c r="A2705" s="257">
        <v>2709</v>
      </c>
      <c r="B2705" s="267">
        <v>2704</v>
      </c>
      <c r="C2705" s="268" t="s">
        <v>2687</v>
      </c>
      <c r="D2705" s="269">
        <v>42391</v>
      </c>
      <c r="E2705" s="270" t="s">
        <v>2775</v>
      </c>
      <c r="F2705" s="384">
        <v>280000</v>
      </c>
      <c r="G2705" s="270">
        <v>691301525</v>
      </c>
    </row>
    <row r="2706" spans="1:7" x14ac:dyDescent="0.25">
      <c r="A2706" s="257">
        <v>2710</v>
      </c>
      <c r="B2706" s="267">
        <v>2705</v>
      </c>
      <c r="C2706" s="268" t="s">
        <v>2889</v>
      </c>
      <c r="D2706" s="269">
        <v>42391</v>
      </c>
      <c r="E2706" s="270" t="s">
        <v>523</v>
      </c>
      <c r="F2706" s="384">
        <v>130000</v>
      </c>
      <c r="G2706" s="270">
        <v>691539111</v>
      </c>
    </row>
    <row r="2707" spans="1:7" x14ac:dyDescent="0.25">
      <c r="A2707" s="257">
        <v>2711</v>
      </c>
      <c r="B2707" s="267">
        <v>2706</v>
      </c>
      <c r="C2707" s="268" t="s">
        <v>3126</v>
      </c>
      <c r="D2707" s="269">
        <v>42394</v>
      </c>
      <c r="E2707" s="270" t="s">
        <v>2409</v>
      </c>
      <c r="F2707" s="384">
        <v>435000</v>
      </c>
      <c r="G2707" s="270">
        <v>691464441</v>
      </c>
    </row>
    <row r="2708" spans="1:7" x14ac:dyDescent="0.25">
      <c r="A2708" s="257">
        <v>2712</v>
      </c>
      <c r="B2708" s="267">
        <v>2707</v>
      </c>
      <c r="C2708" s="268" t="s">
        <v>910</v>
      </c>
      <c r="D2708" s="269">
        <v>42394</v>
      </c>
      <c r="E2708" s="270" t="s">
        <v>1656</v>
      </c>
      <c r="F2708" s="384">
        <v>160000</v>
      </c>
      <c r="G2708" s="270">
        <v>101439397</v>
      </c>
    </row>
    <row r="2709" spans="1:7" x14ac:dyDescent="0.25">
      <c r="A2709" s="257">
        <v>2713</v>
      </c>
      <c r="B2709" s="267">
        <v>2708</v>
      </c>
      <c r="C2709" s="268" t="s">
        <v>462</v>
      </c>
      <c r="D2709" s="269">
        <v>42394</v>
      </c>
      <c r="E2709" s="270" t="s">
        <v>183</v>
      </c>
      <c r="F2709" s="384">
        <v>435000</v>
      </c>
      <c r="G2709" s="270">
        <v>190905167</v>
      </c>
    </row>
    <row r="2710" spans="1:7" x14ac:dyDescent="0.25">
      <c r="A2710" s="257">
        <v>2714</v>
      </c>
      <c r="B2710" s="267">
        <v>2709</v>
      </c>
      <c r="C2710" s="268" t="s">
        <v>680</v>
      </c>
      <c r="D2710" s="269">
        <v>42394</v>
      </c>
      <c r="E2710" s="270" t="s">
        <v>3598</v>
      </c>
      <c r="F2710" s="384">
        <v>435000</v>
      </c>
      <c r="G2710" s="270">
        <v>190221603</v>
      </c>
    </row>
    <row r="2711" spans="1:7" x14ac:dyDescent="0.25">
      <c r="A2711" s="257">
        <v>2715</v>
      </c>
      <c r="B2711" s="267">
        <v>2710</v>
      </c>
      <c r="C2711" s="268" t="s">
        <v>190</v>
      </c>
      <c r="D2711" s="269">
        <v>42394</v>
      </c>
      <c r="E2711" s="270" t="s">
        <v>188</v>
      </c>
      <c r="F2711" s="384">
        <v>165000</v>
      </c>
      <c r="G2711" s="270">
        <v>190270596</v>
      </c>
    </row>
    <row r="2712" spans="1:7" x14ac:dyDescent="0.25">
      <c r="A2712" s="257">
        <v>2716</v>
      </c>
      <c r="B2712" s="267">
        <v>2711</v>
      </c>
      <c r="C2712" s="268" t="s">
        <v>190</v>
      </c>
      <c r="D2712" s="269">
        <v>42394</v>
      </c>
      <c r="E2712" s="270" t="s">
        <v>188</v>
      </c>
      <c r="F2712" s="384">
        <v>180000</v>
      </c>
      <c r="G2712" s="270">
        <v>190270596</v>
      </c>
    </row>
    <row r="2713" spans="1:7" x14ac:dyDescent="0.25">
      <c r="A2713" s="257">
        <v>2717</v>
      </c>
      <c r="B2713" s="267">
        <v>2712</v>
      </c>
      <c r="C2713" s="268" t="s">
        <v>2613</v>
      </c>
      <c r="D2713" s="269">
        <v>42395</v>
      </c>
      <c r="E2713" s="270" t="s">
        <v>916</v>
      </c>
      <c r="F2713" s="384">
        <v>560000</v>
      </c>
      <c r="G2713" s="270">
        <v>101553117</v>
      </c>
    </row>
    <row r="2714" spans="1:7" x14ac:dyDescent="0.25">
      <c r="A2714" s="257">
        <v>2718</v>
      </c>
      <c r="B2714" s="267">
        <v>2713</v>
      </c>
      <c r="C2714" s="268" t="s">
        <v>2405</v>
      </c>
      <c r="D2714" s="269">
        <v>42395</v>
      </c>
      <c r="E2714" s="270" t="s">
        <v>1944</v>
      </c>
      <c r="F2714" s="384">
        <v>240000</v>
      </c>
      <c r="G2714" s="270">
        <v>100345799</v>
      </c>
    </row>
    <row r="2715" spans="1:7" x14ac:dyDescent="0.25">
      <c r="A2715" s="257">
        <v>2719</v>
      </c>
      <c r="B2715" s="267">
        <v>2714</v>
      </c>
      <c r="C2715" s="268" t="s">
        <v>2685</v>
      </c>
      <c r="D2715" s="269">
        <v>42395</v>
      </c>
      <c r="E2715" s="270" t="s">
        <v>481</v>
      </c>
      <c r="F2715" s="384">
        <v>198000</v>
      </c>
      <c r="G2715" s="270">
        <v>190819447</v>
      </c>
    </row>
    <row r="2716" spans="1:7" x14ac:dyDescent="0.25">
      <c r="A2716" s="257">
        <v>2720</v>
      </c>
      <c r="B2716" s="267">
        <v>2715</v>
      </c>
      <c r="C2716" s="268" t="s">
        <v>2143</v>
      </c>
      <c r="D2716" s="269">
        <v>42395</v>
      </c>
      <c r="E2716" s="270" t="s">
        <v>1927</v>
      </c>
      <c r="F2716" s="384">
        <v>67000</v>
      </c>
      <c r="G2716" s="270">
        <v>190032958</v>
      </c>
    </row>
    <row r="2717" spans="1:7" x14ac:dyDescent="0.25">
      <c r="A2717" s="257">
        <v>2721</v>
      </c>
      <c r="B2717" s="267">
        <v>2716</v>
      </c>
      <c r="C2717" s="268" t="s">
        <v>2835</v>
      </c>
      <c r="D2717" s="269">
        <v>42395</v>
      </c>
      <c r="E2717" s="270" t="s">
        <v>2890</v>
      </c>
      <c r="F2717" s="384">
        <v>170000</v>
      </c>
      <c r="G2717" s="270">
        <v>690367172</v>
      </c>
    </row>
    <row r="2718" spans="1:7" x14ac:dyDescent="0.25">
      <c r="A2718" s="257">
        <v>2722</v>
      </c>
      <c r="B2718" s="267">
        <v>2717</v>
      </c>
      <c r="C2718" s="268" t="s">
        <v>3140</v>
      </c>
      <c r="D2718" s="269">
        <v>42396</v>
      </c>
      <c r="E2718" s="270" t="s">
        <v>1537</v>
      </c>
      <c r="F2718" s="384">
        <v>93000</v>
      </c>
      <c r="G2718" s="270">
        <v>800014157</v>
      </c>
    </row>
    <row r="2719" spans="1:7" x14ac:dyDescent="0.25">
      <c r="A2719" s="257">
        <v>2723</v>
      </c>
      <c r="B2719" s="267">
        <v>2718</v>
      </c>
      <c r="C2719" s="268" t="s">
        <v>2637</v>
      </c>
      <c r="D2719" s="269">
        <v>42396</v>
      </c>
      <c r="E2719" s="270" t="s">
        <v>2772</v>
      </c>
      <c r="F2719" s="384">
        <v>435000</v>
      </c>
      <c r="G2719" s="270">
        <v>691149841</v>
      </c>
    </row>
    <row r="2720" spans="1:7" x14ac:dyDescent="0.25">
      <c r="A2720" s="257">
        <v>2724</v>
      </c>
      <c r="B2720" s="267">
        <v>2719</v>
      </c>
      <c r="C2720" s="268" t="s">
        <v>2893</v>
      </c>
      <c r="D2720" s="269">
        <v>42396</v>
      </c>
      <c r="E2720" s="270" t="s">
        <v>3220</v>
      </c>
      <c r="F2720" s="384">
        <v>198000</v>
      </c>
      <c r="G2720" s="270">
        <v>101371967</v>
      </c>
    </row>
    <row r="2721" spans="1:7" x14ac:dyDescent="0.25">
      <c r="A2721" s="257">
        <v>2725</v>
      </c>
      <c r="B2721" s="267">
        <v>2720</v>
      </c>
      <c r="C2721" s="268" t="s">
        <v>3248</v>
      </c>
      <c r="D2721" s="269">
        <v>42396</v>
      </c>
      <c r="E2721" s="270" t="s">
        <v>2459</v>
      </c>
      <c r="F2721" s="384">
        <v>325000</v>
      </c>
      <c r="G2721" s="270">
        <v>100669291</v>
      </c>
    </row>
    <row r="2722" spans="1:7" x14ac:dyDescent="0.25">
      <c r="A2722" s="257">
        <v>2726</v>
      </c>
      <c r="B2722" s="267">
        <v>2721</v>
      </c>
      <c r="C2722" s="268" t="s">
        <v>134</v>
      </c>
      <c r="D2722" s="269">
        <v>42396</v>
      </c>
      <c r="E2722" s="270" t="s">
        <v>3257</v>
      </c>
      <c r="F2722" s="384">
        <v>1305000</v>
      </c>
      <c r="G2722" s="270">
        <v>100099118</v>
      </c>
    </row>
    <row r="2723" spans="1:7" x14ac:dyDescent="0.25">
      <c r="A2723" s="257">
        <v>2727</v>
      </c>
      <c r="B2723" s="267">
        <v>2722</v>
      </c>
      <c r="C2723" s="268" t="s">
        <v>2613</v>
      </c>
      <c r="D2723" s="269">
        <v>42396</v>
      </c>
      <c r="E2723" s="270" t="s">
        <v>916</v>
      </c>
      <c r="F2723" s="384">
        <v>63000</v>
      </c>
      <c r="G2723" s="270">
        <v>101553117</v>
      </c>
    </row>
    <row r="2724" spans="1:7" x14ac:dyDescent="0.25">
      <c r="A2724" s="257">
        <v>2728</v>
      </c>
      <c r="B2724" s="267">
        <v>2723</v>
      </c>
      <c r="C2724" s="268" t="s">
        <v>452</v>
      </c>
      <c r="D2724" s="269">
        <v>42396</v>
      </c>
      <c r="E2724" s="270" t="s">
        <v>146</v>
      </c>
      <c r="F2724" s="384">
        <v>31000</v>
      </c>
      <c r="G2724" s="270">
        <v>100839215</v>
      </c>
    </row>
    <row r="2725" spans="1:7" x14ac:dyDescent="0.25">
      <c r="A2725" s="257">
        <v>2729</v>
      </c>
      <c r="B2725" s="267">
        <v>2724</v>
      </c>
      <c r="C2725" s="268" t="s">
        <v>3501</v>
      </c>
      <c r="D2725" s="269">
        <v>42396</v>
      </c>
      <c r="E2725" s="270" t="s">
        <v>2411</v>
      </c>
      <c r="F2725" s="384">
        <v>310000</v>
      </c>
      <c r="G2725" s="270">
        <v>100349860</v>
      </c>
    </row>
    <row r="2726" spans="1:7" x14ac:dyDescent="0.25">
      <c r="A2726" s="257">
        <v>2730</v>
      </c>
      <c r="B2726" s="267">
        <v>2725</v>
      </c>
      <c r="C2726" s="268" t="s">
        <v>2620</v>
      </c>
      <c r="D2726" s="269">
        <v>42396</v>
      </c>
      <c r="E2726" s="270" t="s">
        <v>3118</v>
      </c>
      <c r="F2726" s="384">
        <v>280000</v>
      </c>
      <c r="G2726" s="270">
        <v>690619688</v>
      </c>
    </row>
    <row r="2727" spans="1:7" x14ac:dyDescent="0.25">
      <c r="A2727" s="257">
        <v>2731</v>
      </c>
      <c r="B2727" s="267">
        <v>2726</v>
      </c>
      <c r="C2727" s="268" t="s">
        <v>2148</v>
      </c>
      <c r="D2727" s="269">
        <v>42396</v>
      </c>
      <c r="E2727" s="270" t="s">
        <v>398</v>
      </c>
      <c r="F2727" s="384">
        <v>63000</v>
      </c>
      <c r="G2727" s="270">
        <v>691561994</v>
      </c>
    </row>
    <row r="2728" spans="1:7" x14ac:dyDescent="0.25">
      <c r="A2728" s="257">
        <v>2732</v>
      </c>
      <c r="B2728" s="267">
        <v>2727</v>
      </c>
      <c r="C2728" s="268" t="s">
        <v>3248</v>
      </c>
      <c r="D2728" s="269">
        <v>42397</v>
      </c>
      <c r="E2728" s="270" t="s">
        <v>2459</v>
      </c>
      <c r="F2728" s="384">
        <v>198000</v>
      </c>
      <c r="G2728" s="270">
        <v>100669291</v>
      </c>
    </row>
    <row r="2729" spans="1:7" x14ac:dyDescent="0.25">
      <c r="A2729" s="257">
        <v>2733</v>
      </c>
      <c r="B2729" s="267">
        <v>2728</v>
      </c>
      <c r="C2729" s="268" t="s">
        <v>2975</v>
      </c>
      <c r="D2729" s="269">
        <v>42397</v>
      </c>
      <c r="E2729" s="270" t="s">
        <v>1002</v>
      </c>
      <c r="F2729" s="384">
        <v>155000</v>
      </c>
      <c r="G2729" s="270">
        <v>690033956</v>
      </c>
    </row>
    <row r="2730" spans="1:7" x14ac:dyDescent="0.25">
      <c r="A2730" s="257">
        <v>2734</v>
      </c>
      <c r="B2730" s="267">
        <v>2729</v>
      </c>
      <c r="C2730" s="268" t="s">
        <v>372</v>
      </c>
      <c r="D2730" s="269">
        <v>42397</v>
      </c>
      <c r="E2730" s="270" t="s">
        <v>1101</v>
      </c>
      <c r="F2730" s="384">
        <v>67000</v>
      </c>
      <c r="G2730" s="270">
        <v>100376734</v>
      </c>
    </row>
    <row r="2731" spans="1:7" x14ac:dyDescent="0.25">
      <c r="A2731" s="257">
        <v>2735</v>
      </c>
      <c r="B2731" s="267">
        <v>2730</v>
      </c>
      <c r="C2731" s="268" t="s">
        <v>1117</v>
      </c>
      <c r="D2731" s="269">
        <v>42397</v>
      </c>
      <c r="E2731" s="270" t="s">
        <v>2034</v>
      </c>
      <c r="F2731" s="384">
        <v>63000</v>
      </c>
      <c r="G2731" s="270">
        <v>101477759</v>
      </c>
    </row>
    <row r="2732" spans="1:7" x14ac:dyDescent="0.25">
      <c r="A2732" s="257">
        <v>2736</v>
      </c>
      <c r="B2732" s="267">
        <v>2731</v>
      </c>
      <c r="C2732" s="268" t="s">
        <v>2778</v>
      </c>
      <c r="D2732" s="269">
        <v>42397</v>
      </c>
      <c r="E2732" s="270" t="s">
        <v>326</v>
      </c>
      <c r="F2732" s="384">
        <v>560000</v>
      </c>
      <c r="G2732" s="270">
        <v>200216443</v>
      </c>
    </row>
    <row r="2733" spans="1:7" x14ac:dyDescent="0.25">
      <c r="A2733" s="257">
        <v>2737</v>
      </c>
      <c r="B2733" s="267">
        <v>2732</v>
      </c>
      <c r="C2733" s="268" t="s">
        <v>196</v>
      </c>
      <c r="D2733" s="269">
        <v>42397</v>
      </c>
      <c r="E2733" s="270" t="s">
        <v>2717</v>
      </c>
      <c r="F2733" s="384">
        <v>435000</v>
      </c>
      <c r="G2733" s="270">
        <v>101538513</v>
      </c>
    </row>
    <row r="2734" spans="1:7" x14ac:dyDescent="0.25">
      <c r="A2734" s="257">
        <v>2738</v>
      </c>
      <c r="B2734" s="267">
        <v>2733</v>
      </c>
      <c r="C2734" s="268" t="s">
        <v>1655</v>
      </c>
      <c r="D2734" s="269">
        <v>42397</v>
      </c>
      <c r="E2734" s="270" t="s">
        <v>3838</v>
      </c>
      <c r="F2734" s="384">
        <v>198000</v>
      </c>
      <c r="G2734" s="270">
        <v>191075936</v>
      </c>
    </row>
    <row r="2735" spans="1:7" x14ac:dyDescent="0.25">
      <c r="A2735" s="257">
        <v>2739</v>
      </c>
      <c r="B2735" s="267">
        <v>2734</v>
      </c>
      <c r="C2735" s="268" t="s">
        <v>3734</v>
      </c>
      <c r="D2735" s="269">
        <v>42397</v>
      </c>
      <c r="E2735" s="270" t="s">
        <v>2358</v>
      </c>
      <c r="F2735" s="384">
        <v>155000</v>
      </c>
      <c r="G2735" s="270">
        <v>800008903</v>
      </c>
    </row>
    <row r="2736" spans="1:7" x14ac:dyDescent="0.25">
      <c r="A2736" s="257">
        <v>2740</v>
      </c>
      <c r="B2736" s="267">
        <v>2735</v>
      </c>
      <c r="C2736" s="268" t="s">
        <v>686</v>
      </c>
      <c r="D2736" s="269">
        <v>42398</v>
      </c>
      <c r="E2736" s="270" t="s">
        <v>421</v>
      </c>
      <c r="F2736" s="384">
        <v>435000</v>
      </c>
      <c r="G2736" s="270">
        <v>808000701</v>
      </c>
    </row>
    <row r="2737" spans="1:7" x14ac:dyDescent="0.25">
      <c r="A2737" s="257">
        <v>2741</v>
      </c>
      <c r="B2737" s="267">
        <v>2736</v>
      </c>
      <c r="C2737" s="268" t="s">
        <v>74</v>
      </c>
      <c r="D2737" s="269">
        <v>42398</v>
      </c>
      <c r="E2737" s="270" t="s">
        <v>4233</v>
      </c>
      <c r="F2737" s="384">
        <v>715000</v>
      </c>
      <c r="G2737" s="270">
        <v>601062571</v>
      </c>
    </row>
    <row r="2738" spans="1:7" x14ac:dyDescent="0.25">
      <c r="A2738" s="257">
        <v>2742</v>
      </c>
      <c r="B2738" s="267">
        <v>2737</v>
      </c>
      <c r="C2738" s="268" t="s">
        <v>2733</v>
      </c>
      <c r="D2738" s="269">
        <v>42398</v>
      </c>
      <c r="E2738" s="270" t="s">
        <v>3491</v>
      </c>
      <c r="F2738" s="384">
        <v>36000</v>
      </c>
      <c r="G2738" s="270">
        <v>800014037</v>
      </c>
    </row>
    <row r="2739" spans="1:7" x14ac:dyDescent="0.25">
      <c r="A2739" s="257">
        <v>2743</v>
      </c>
      <c r="B2739" s="267">
        <v>2738</v>
      </c>
      <c r="C2739" s="268" t="s">
        <v>350</v>
      </c>
      <c r="D2739" s="269">
        <v>42398</v>
      </c>
      <c r="E2739" s="270" t="s">
        <v>224</v>
      </c>
      <c r="F2739" s="384">
        <v>198000</v>
      </c>
      <c r="G2739" s="270">
        <v>190304908</v>
      </c>
    </row>
    <row r="2740" spans="1:7" x14ac:dyDescent="0.25">
      <c r="A2740" s="257">
        <v>2744</v>
      </c>
      <c r="B2740" s="267">
        <v>2739</v>
      </c>
      <c r="C2740" s="268" t="s">
        <v>128</v>
      </c>
      <c r="D2740" s="269">
        <v>42398</v>
      </c>
      <c r="E2740" s="270" t="s">
        <v>3259</v>
      </c>
      <c r="F2740" s="384">
        <v>155000</v>
      </c>
      <c r="G2740" s="270">
        <v>190904186</v>
      </c>
    </row>
    <row r="2741" spans="1:7" x14ac:dyDescent="0.25">
      <c r="A2741" s="257">
        <v>2745</v>
      </c>
      <c r="B2741" s="267">
        <v>2740</v>
      </c>
      <c r="C2741" s="268" t="s">
        <v>978</v>
      </c>
      <c r="D2741" s="269">
        <v>42398</v>
      </c>
      <c r="E2741" s="270" t="s">
        <v>847</v>
      </c>
      <c r="F2741" s="384">
        <v>155000</v>
      </c>
      <c r="G2741" s="270">
        <v>190853326</v>
      </c>
    </row>
    <row r="2742" spans="1:7" x14ac:dyDescent="0.25">
      <c r="A2742" s="257">
        <v>2746</v>
      </c>
      <c r="B2742" s="267">
        <v>2741</v>
      </c>
      <c r="C2742" s="268" t="s">
        <v>3748</v>
      </c>
      <c r="D2742" s="269">
        <v>42398</v>
      </c>
      <c r="E2742" s="270" t="s">
        <v>1788</v>
      </c>
      <c r="F2742" s="384">
        <v>1585000</v>
      </c>
      <c r="G2742" s="270">
        <v>800001327</v>
      </c>
    </row>
    <row r="2743" spans="1:7" x14ac:dyDescent="0.25">
      <c r="A2743" s="257">
        <v>2747</v>
      </c>
      <c r="B2743" s="267">
        <v>2742</v>
      </c>
      <c r="C2743" s="268" t="s">
        <v>2975</v>
      </c>
      <c r="D2743" s="269">
        <v>42398</v>
      </c>
      <c r="E2743" s="270" t="s">
        <v>1002</v>
      </c>
      <c r="F2743" s="384">
        <v>63000</v>
      </c>
      <c r="G2743" s="270">
        <v>690033956</v>
      </c>
    </row>
    <row r="2744" spans="1:7" x14ac:dyDescent="0.25">
      <c r="A2744" s="257">
        <v>2748</v>
      </c>
      <c r="B2744" s="267">
        <v>2743</v>
      </c>
      <c r="C2744" s="268" t="s">
        <v>1655</v>
      </c>
      <c r="D2744" s="269">
        <v>42398</v>
      </c>
      <c r="E2744" s="270" t="s">
        <v>3838</v>
      </c>
      <c r="F2744" s="384">
        <v>31000</v>
      </c>
      <c r="G2744" s="270">
        <v>191075936</v>
      </c>
    </row>
    <row r="2745" spans="1:7" x14ac:dyDescent="0.25">
      <c r="A2745" s="257">
        <v>2749</v>
      </c>
      <c r="B2745" s="267">
        <v>2744</v>
      </c>
      <c r="C2745" s="268" t="s">
        <v>2143</v>
      </c>
      <c r="D2745" s="269">
        <v>42401</v>
      </c>
      <c r="E2745" s="270" t="s">
        <v>1927</v>
      </c>
      <c r="F2745" s="384">
        <v>465000</v>
      </c>
      <c r="G2745" s="270">
        <v>190032958</v>
      </c>
    </row>
    <row r="2746" spans="1:7" x14ac:dyDescent="0.25">
      <c r="A2746" s="257">
        <v>2750</v>
      </c>
      <c r="B2746" s="267">
        <v>2745</v>
      </c>
      <c r="C2746" s="268" t="s">
        <v>3117</v>
      </c>
      <c r="D2746" s="269">
        <v>42401</v>
      </c>
      <c r="E2746" s="270" t="s">
        <v>3116</v>
      </c>
      <c r="F2746" s="384">
        <v>198000</v>
      </c>
      <c r="G2746" s="270">
        <v>690635645</v>
      </c>
    </row>
    <row r="2747" spans="1:7" x14ac:dyDescent="0.25">
      <c r="A2747" s="257">
        <v>2751</v>
      </c>
      <c r="B2747" s="267">
        <v>2746</v>
      </c>
      <c r="C2747" s="268" t="s">
        <v>68</v>
      </c>
      <c r="D2747" s="269">
        <v>42401</v>
      </c>
      <c r="E2747" s="270" t="s">
        <v>3843</v>
      </c>
      <c r="F2747" s="384">
        <v>99000</v>
      </c>
      <c r="G2747" s="270">
        <v>190771653</v>
      </c>
    </row>
    <row r="2748" spans="1:7" x14ac:dyDescent="0.25">
      <c r="A2748" s="257">
        <v>2752</v>
      </c>
      <c r="B2748" s="267">
        <v>2747</v>
      </c>
      <c r="C2748" s="268" t="s">
        <v>2687</v>
      </c>
      <c r="D2748" s="269">
        <v>42405</v>
      </c>
      <c r="E2748" s="270" t="s">
        <v>2775</v>
      </c>
      <c r="F2748" s="384">
        <v>280000</v>
      </c>
      <c r="G2748" s="270">
        <v>691301525</v>
      </c>
    </row>
    <row r="2749" spans="1:7" x14ac:dyDescent="0.25">
      <c r="A2749" s="257">
        <v>2753</v>
      </c>
      <c r="B2749" s="267">
        <v>2748</v>
      </c>
      <c r="C2749" s="268" t="s">
        <v>683</v>
      </c>
      <c r="D2749" s="269">
        <v>42405</v>
      </c>
      <c r="E2749" s="270" t="s">
        <v>3324</v>
      </c>
      <c r="F2749" s="384">
        <v>165000</v>
      </c>
      <c r="G2749" s="270">
        <v>190253060</v>
      </c>
    </row>
    <row r="2750" spans="1:7" x14ac:dyDescent="0.25">
      <c r="A2750" s="257">
        <v>2754</v>
      </c>
      <c r="B2750" s="267">
        <v>2749</v>
      </c>
      <c r="C2750" s="268" t="s">
        <v>683</v>
      </c>
      <c r="D2750" s="269">
        <v>42405</v>
      </c>
      <c r="E2750" s="270" t="s">
        <v>3324</v>
      </c>
      <c r="F2750" s="384">
        <v>198000</v>
      </c>
      <c r="G2750" s="270">
        <v>190253060</v>
      </c>
    </row>
    <row r="2751" spans="1:7" x14ac:dyDescent="0.25">
      <c r="A2751" s="257">
        <v>2755</v>
      </c>
      <c r="B2751" s="267">
        <v>2750</v>
      </c>
      <c r="C2751" s="268" t="s">
        <v>2687</v>
      </c>
      <c r="D2751" s="269">
        <v>42405</v>
      </c>
      <c r="E2751" s="270" t="s">
        <v>2775</v>
      </c>
      <c r="F2751" s="384">
        <v>155000</v>
      </c>
      <c r="G2751" s="270">
        <v>691301525</v>
      </c>
    </row>
    <row r="2752" spans="1:7" x14ac:dyDescent="0.25">
      <c r="A2752" s="257">
        <v>2756</v>
      </c>
      <c r="B2752" s="267">
        <v>2751</v>
      </c>
      <c r="C2752" s="268" t="s">
        <v>494</v>
      </c>
      <c r="D2752" s="269">
        <v>42405</v>
      </c>
      <c r="E2752" s="270" t="s">
        <v>339</v>
      </c>
      <c r="F2752" s="384">
        <v>155000</v>
      </c>
      <c r="G2752" s="270">
        <v>690629013</v>
      </c>
    </row>
    <row r="2753" spans="1:7" x14ac:dyDescent="0.25">
      <c r="A2753" s="257">
        <v>2757</v>
      </c>
      <c r="B2753" s="267">
        <v>2752</v>
      </c>
      <c r="C2753" s="268" t="s">
        <v>2714</v>
      </c>
      <c r="D2753" s="269">
        <v>42405</v>
      </c>
      <c r="E2753" s="270" t="s">
        <v>3228</v>
      </c>
      <c r="F2753" s="384">
        <v>560000</v>
      </c>
      <c r="G2753" s="270">
        <v>100025653</v>
      </c>
    </row>
    <row r="2754" spans="1:7" x14ac:dyDescent="0.25">
      <c r="A2754" s="257">
        <v>2758</v>
      </c>
      <c r="B2754" s="267">
        <v>2753</v>
      </c>
      <c r="C2754" s="268" t="s">
        <v>866</v>
      </c>
      <c r="D2754" s="269">
        <v>42405</v>
      </c>
      <c r="E2754" s="270" t="s">
        <v>1912</v>
      </c>
      <c r="F2754" s="384">
        <v>280000</v>
      </c>
      <c r="G2754" s="270">
        <v>690633402</v>
      </c>
    </row>
    <row r="2755" spans="1:7" x14ac:dyDescent="0.25">
      <c r="A2755" s="257">
        <v>2759</v>
      </c>
      <c r="B2755" s="267">
        <v>2754</v>
      </c>
      <c r="C2755" s="268" t="s">
        <v>832</v>
      </c>
      <c r="D2755" s="269">
        <v>42405</v>
      </c>
      <c r="E2755" s="270" t="s">
        <v>245</v>
      </c>
      <c r="F2755" s="384">
        <v>160000</v>
      </c>
      <c r="G2755" s="270">
        <v>100886879</v>
      </c>
    </row>
    <row r="2756" spans="1:7" x14ac:dyDescent="0.25">
      <c r="A2756" s="257">
        <v>2760</v>
      </c>
      <c r="B2756" s="267">
        <v>2755</v>
      </c>
      <c r="C2756" s="268" t="s">
        <v>452</v>
      </c>
      <c r="D2756" s="269">
        <v>42425</v>
      </c>
      <c r="E2756" s="270" t="s">
        <v>146</v>
      </c>
      <c r="F2756" s="384">
        <v>160000</v>
      </c>
      <c r="G2756" s="270">
        <v>100839215</v>
      </c>
    </row>
    <row r="2757" spans="1:7" x14ac:dyDescent="0.25">
      <c r="A2757" s="257">
        <v>2761</v>
      </c>
      <c r="B2757" s="267">
        <v>2756</v>
      </c>
      <c r="C2757" s="268" t="s">
        <v>3526</v>
      </c>
      <c r="D2757" s="269">
        <v>42425</v>
      </c>
      <c r="E2757" s="270" t="s">
        <v>3541</v>
      </c>
      <c r="F2757" s="384">
        <v>37000</v>
      </c>
      <c r="G2757" s="270">
        <v>191114896</v>
      </c>
    </row>
    <row r="2758" spans="1:7" x14ac:dyDescent="0.25">
      <c r="A2758" s="257">
        <v>2762</v>
      </c>
      <c r="B2758" s="267">
        <v>2757</v>
      </c>
      <c r="C2758" s="268" t="s">
        <v>167</v>
      </c>
      <c r="D2758" s="269">
        <v>42425</v>
      </c>
      <c r="E2758" s="270" t="s">
        <v>166</v>
      </c>
      <c r="F2758" s="384">
        <v>1312000</v>
      </c>
      <c r="G2758" s="270">
        <v>691794670</v>
      </c>
    </row>
    <row r="2759" spans="1:7" x14ac:dyDescent="0.25">
      <c r="A2759" s="257">
        <v>2763</v>
      </c>
      <c r="B2759" s="267">
        <v>2758</v>
      </c>
      <c r="C2759" s="268" t="s">
        <v>316</v>
      </c>
      <c r="D2759" s="269">
        <v>42425</v>
      </c>
      <c r="E2759" s="270" t="s">
        <v>168</v>
      </c>
      <c r="F2759" s="384">
        <v>284000</v>
      </c>
      <c r="G2759" s="270">
        <v>192566948</v>
      </c>
    </row>
    <row r="2760" spans="1:7" x14ac:dyDescent="0.25">
      <c r="A2760" s="257">
        <v>2764</v>
      </c>
      <c r="B2760" s="267">
        <v>2759</v>
      </c>
      <c r="C2760" s="268" t="s">
        <v>1654</v>
      </c>
      <c r="D2760" s="269">
        <v>42425</v>
      </c>
      <c r="E2760" s="270" t="s">
        <v>898</v>
      </c>
      <c r="F2760" s="384">
        <v>235000</v>
      </c>
      <c r="G2760" s="270">
        <v>192586357</v>
      </c>
    </row>
    <row r="2761" spans="1:7" x14ac:dyDescent="0.25">
      <c r="A2761" s="257">
        <v>2765</v>
      </c>
      <c r="B2761" s="267">
        <v>2760</v>
      </c>
      <c r="C2761" s="268" t="s">
        <v>67</v>
      </c>
      <c r="D2761" s="269">
        <v>42425</v>
      </c>
      <c r="E2761" s="270" t="s">
        <v>914</v>
      </c>
      <c r="F2761" s="384">
        <v>800000</v>
      </c>
      <c r="G2761" s="270">
        <v>190114911</v>
      </c>
    </row>
    <row r="2762" spans="1:7" x14ac:dyDescent="0.25">
      <c r="A2762" s="257">
        <v>2766</v>
      </c>
      <c r="B2762" s="267">
        <v>2761</v>
      </c>
      <c r="C2762" s="268" t="s">
        <v>2790</v>
      </c>
      <c r="D2762" s="269">
        <v>42425</v>
      </c>
      <c r="E2762" s="270" t="s">
        <v>713</v>
      </c>
      <c r="F2762" s="384">
        <v>154000</v>
      </c>
      <c r="G2762" s="270">
        <v>191167894</v>
      </c>
    </row>
    <row r="2763" spans="1:7" x14ac:dyDescent="0.25">
      <c r="A2763" s="257">
        <v>2767</v>
      </c>
      <c r="B2763" s="267">
        <v>2762</v>
      </c>
      <c r="C2763" s="268" t="s">
        <v>413</v>
      </c>
      <c r="D2763" s="269">
        <v>42425</v>
      </c>
      <c r="E2763" s="270" t="s">
        <v>455</v>
      </c>
      <c r="F2763" s="384">
        <v>74000</v>
      </c>
      <c r="G2763" s="270">
        <v>190638152</v>
      </c>
    </row>
    <row r="2764" spans="1:7" x14ac:dyDescent="0.25">
      <c r="A2764" s="257">
        <v>2768</v>
      </c>
      <c r="B2764" s="267">
        <v>2763</v>
      </c>
      <c r="C2764" s="268" t="s">
        <v>2963</v>
      </c>
      <c r="D2764" s="269">
        <v>42426</v>
      </c>
      <c r="E2764" s="270" t="s">
        <v>220</v>
      </c>
      <c r="F2764" s="384">
        <v>1134000</v>
      </c>
      <c r="G2764" s="270">
        <v>100230496</v>
      </c>
    </row>
    <row r="2765" spans="1:7" x14ac:dyDescent="0.25">
      <c r="A2765" s="257">
        <v>2769</v>
      </c>
      <c r="B2765" s="267">
        <v>2764</v>
      </c>
      <c r="C2765" s="268" t="s">
        <v>181</v>
      </c>
      <c r="D2765" s="269">
        <v>42426</v>
      </c>
      <c r="E2765" s="270" t="s">
        <v>3107</v>
      </c>
      <c r="F2765" s="384">
        <v>284000</v>
      </c>
      <c r="G2765" s="270">
        <v>100320487</v>
      </c>
    </row>
    <row r="2766" spans="1:7" x14ac:dyDescent="0.25">
      <c r="A2766" s="257">
        <v>2770</v>
      </c>
      <c r="B2766" s="267">
        <v>2765</v>
      </c>
      <c r="C2766" s="268" t="s">
        <v>342</v>
      </c>
      <c r="D2766" s="269">
        <v>42426</v>
      </c>
      <c r="E2766" s="270" t="s">
        <v>3558</v>
      </c>
      <c r="F2766" s="384">
        <v>235000</v>
      </c>
      <c r="G2766" s="270">
        <v>601072665</v>
      </c>
    </row>
    <row r="2767" spans="1:7" x14ac:dyDescent="0.25">
      <c r="A2767" s="257">
        <v>2771</v>
      </c>
      <c r="B2767" s="267">
        <v>2766</v>
      </c>
      <c r="C2767" s="268" t="s">
        <v>3326</v>
      </c>
      <c r="D2767" s="269">
        <v>42426</v>
      </c>
      <c r="E2767" s="270" t="s">
        <v>164</v>
      </c>
      <c r="F2767" s="384">
        <v>5680000</v>
      </c>
      <c r="G2767" s="270">
        <v>100534485</v>
      </c>
    </row>
    <row r="2768" spans="1:7" x14ac:dyDescent="0.25">
      <c r="A2768" s="257">
        <v>2772</v>
      </c>
      <c r="B2768" s="267">
        <v>2767</v>
      </c>
      <c r="C2768" s="268" t="s">
        <v>2616</v>
      </c>
      <c r="D2768" s="269">
        <v>42426</v>
      </c>
      <c r="E2768" s="270" t="s">
        <v>3623</v>
      </c>
      <c r="F2768" s="384">
        <v>210000</v>
      </c>
      <c r="G2768" s="270">
        <v>100265026</v>
      </c>
    </row>
    <row r="2769" spans="1:7" x14ac:dyDescent="0.25">
      <c r="A2769" s="257">
        <v>2773</v>
      </c>
      <c r="B2769" s="267">
        <v>2768</v>
      </c>
      <c r="C2769" s="268" t="s">
        <v>2448</v>
      </c>
      <c r="D2769" s="269">
        <v>42426</v>
      </c>
      <c r="E2769" s="270" t="s">
        <v>431</v>
      </c>
      <c r="F2769" s="384">
        <v>235000</v>
      </c>
      <c r="G2769" s="270">
        <v>100511893</v>
      </c>
    </row>
    <row r="2770" spans="1:7" x14ac:dyDescent="0.25">
      <c r="A2770" s="257">
        <v>2774</v>
      </c>
      <c r="B2770" s="267">
        <v>2769</v>
      </c>
      <c r="C2770" s="268" t="s">
        <v>985</v>
      </c>
      <c r="D2770" s="269">
        <v>42426</v>
      </c>
      <c r="E2770" s="270" t="s">
        <v>3099</v>
      </c>
      <c r="F2770" s="384">
        <v>190000</v>
      </c>
      <c r="G2770" s="270">
        <v>690397548</v>
      </c>
    </row>
    <row r="2771" spans="1:7" x14ac:dyDescent="0.25">
      <c r="A2771" s="257">
        <v>2775</v>
      </c>
      <c r="B2771" s="267">
        <v>2770</v>
      </c>
      <c r="C2771" s="268" t="s">
        <v>708</v>
      </c>
      <c r="D2771" s="269">
        <v>42429</v>
      </c>
      <c r="E2771" s="270" t="s">
        <v>2731</v>
      </c>
      <c r="F2771" s="384">
        <v>516000</v>
      </c>
      <c r="G2771" s="270">
        <v>190999368</v>
      </c>
    </row>
    <row r="2772" spans="1:7" x14ac:dyDescent="0.25">
      <c r="A2772" s="257">
        <v>2776</v>
      </c>
      <c r="B2772" s="267">
        <v>2771</v>
      </c>
      <c r="C2772" s="268" t="s">
        <v>2675</v>
      </c>
      <c r="D2772" s="269">
        <v>42429</v>
      </c>
      <c r="E2772" s="270" t="s">
        <v>837</v>
      </c>
      <c r="F2772" s="384">
        <v>200000</v>
      </c>
      <c r="G2772" s="270">
        <v>101449345</v>
      </c>
    </row>
    <row r="2773" spans="1:7" x14ac:dyDescent="0.25">
      <c r="A2773" s="257">
        <v>2777</v>
      </c>
      <c r="B2773" s="267">
        <v>2772</v>
      </c>
      <c r="C2773" s="268" t="s">
        <v>519</v>
      </c>
      <c r="D2773" s="269">
        <v>42429</v>
      </c>
      <c r="E2773" s="270" t="s">
        <v>2668</v>
      </c>
      <c r="F2773" s="384">
        <v>37000</v>
      </c>
      <c r="G2773" s="270">
        <v>191428080</v>
      </c>
    </row>
    <row r="2774" spans="1:7" x14ac:dyDescent="0.25">
      <c r="A2774" s="257">
        <v>2778</v>
      </c>
      <c r="B2774" s="267">
        <v>2773</v>
      </c>
      <c r="C2774" s="268" t="s">
        <v>3866</v>
      </c>
      <c r="D2774" s="269">
        <v>42429</v>
      </c>
      <c r="E2774" s="270" t="s">
        <v>1939</v>
      </c>
      <c r="F2774" s="384">
        <v>235000</v>
      </c>
      <c r="G2774" s="270">
        <v>691458394</v>
      </c>
    </row>
    <row r="2775" spans="1:7" x14ac:dyDescent="0.25">
      <c r="A2775" s="257">
        <v>2779</v>
      </c>
      <c r="B2775" s="267">
        <v>2774</v>
      </c>
      <c r="C2775" s="268" t="s">
        <v>3866</v>
      </c>
      <c r="D2775" s="269">
        <v>42429</v>
      </c>
      <c r="E2775" s="270" t="s">
        <v>1939</v>
      </c>
      <c r="F2775" s="384">
        <v>37000</v>
      </c>
      <c r="G2775" s="270">
        <v>691458394</v>
      </c>
    </row>
    <row r="2776" spans="1:7" x14ac:dyDescent="0.25">
      <c r="A2776" s="257">
        <v>2780</v>
      </c>
      <c r="B2776" s="267">
        <v>2775</v>
      </c>
      <c r="C2776" s="268" t="s">
        <v>3117</v>
      </c>
      <c r="D2776" s="269">
        <v>42429</v>
      </c>
      <c r="E2776" s="270" t="s">
        <v>3116</v>
      </c>
      <c r="F2776" s="384">
        <v>284000</v>
      </c>
      <c r="G2776" s="270">
        <v>690635645</v>
      </c>
    </row>
    <row r="2777" spans="1:7" x14ac:dyDescent="0.25">
      <c r="A2777" s="257">
        <v>2781</v>
      </c>
      <c r="B2777" s="267">
        <v>2776</v>
      </c>
      <c r="C2777" s="268" t="s">
        <v>2434</v>
      </c>
      <c r="D2777" s="269">
        <v>42430</v>
      </c>
      <c r="E2777" s="270" t="s">
        <v>820</v>
      </c>
      <c r="F2777" s="384">
        <v>516000</v>
      </c>
      <c r="G2777" s="270">
        <v>191301074</v>
      </c>
    </row>
    <row r="2778" spans="1:7" x14ac:dyDescent="0.25">
      <c r="A2778" s="257">
        <v>2782</v>
      </c>
      <c r="B2778" s="267">
        <v>2777</v>
      </c>
      <c r="C2778" s="268" t="s">
        <v>2616</v>
      </c>
      <c r="D2778" s="269">
        <v>42430</v>
      </c>
      <c r="E2778" s="270" t="s">
        <v>3623</v>
      </c>
      <c r="F2778" s="384">
        <v>252000</v>
      </c>
      <c r="G2778" s="270">
        <v>100265026</v>
      </c>
    </row>
    <row r="2779" spans="1:7" x14ac:dyDescent="0.25">
      <c r="A2779" s="257">
        <v>2783</v>
      </c>
      <c r="B2779" s="267">
        <v>2778</v>
      </c>
      <c r="C2779" s="268" t="s">
        <v>333</v>
      </c>
      <c r="D2779" s="269">
        <v>42430</v>
      </c>
      <c r="E2779" s="270" t="s">
        <v>209</v>
      </c>
      <c r="F2779" s="384">
        <v>235000</v>
      </c>
      <c r="G2779" s="270">
        <v>191118996</v>
      </c>
    </row>
    <row r="2780" spans="1:7" x14ac:dyDescent="0.25">
      <c r="A2780" s="257">
        <v>2784</v>
      </c>
      <c r="B2780" s="267">
        <v>2779</v>
      </c>
      <c r="C2780" s="268" t="s">
        <v>3133</v>
      </c>
      <c r="D2780" s="269">
        <v>42430</v>
      </c>
      <c r="E2780" s="270" t="s">
        <v>3587</v>
      </c>
      <c r="F2780" s="384">
        <v>536000</v>
      </c>
      <c r="G2780" s="270">
        <v>101254783</v>
      </c>
    </row>
    <row r="2781" spans="1:7" x14ac:dyDescent="0.25">
      <c r="A2781" s="257">
        <v>2785</v>
      </c>
      <c r="B2781" s="267">
        <v>2780</v>
      </c>
      <c r="C2781" s="268" t="s">
        <v>2405</v>
      </c>
      <c r="D2781" s="269">
        <v>42430</v>
      </c>
      <c r="E2781" s="270" t="s">
        <v>1944</v>
      </c>
      <c r="F2781" s="384">
        <v>284000</v>
      </c>
      <c r="G2781" s="270">
        <v>100345799</v>
      </c>
    </row>
    <row r="2782" spans="1:7" x14ac:dyDescent="0.25">
      <c r="A2782" s="257">
        <v>2786</v>
      </c>
      <c r="B2782" s="267">
        <v>2781</v>
      </c>
      <c r="C2782" s="268" t="s">
        <v>3216</v>
      </c>
      <c r="D2782" s="269">
        <v>42431</v>
      </c>
      <c r="E2782" s="270" t="s">
        <v>1644</v>
      </c>
      <c r="F2782" s="384">
        <v>1660000</v>
      </c>
      <c r="G2782" s="270">
        <v>100315288</v>
      </c>
    </row>
    <row r="2783" spans="1:7" x14ac:dyDescent="0.25">
      <c r="A2783" s="257">
        <v>2787</v>
      </c>
      <c r="B2783" s="267">
        <v>2782</v>
      </c>
      <c r="C2783" s="268" t="s">
        <v>488</v>
      </c>
      <c r="D2783" s="269">
        <v>42431</v>
      </c>
      <c r="E2783" s="270" t="s">
        <v>3622</v>
      </c>
      <c r="F2783" s="384">
        <v>210000</v>
      </c>
      <c r="G2783" s="270">
        <v>190787319</v>
      </c>
    </row>
    <row r="2784" spans="1:7" x14ac:dyDescent="0.25">
      <c r="A2784" s="257">
        <v>2788</v>
      </c>
      <c r="B2784" s="267">
        <v>2783</v>
      </c>
      <c r="C2784" s="268" t="s">
        <v>3636</v>
      </c>
      <c r="D2784" s="269">
        <v>42431</v>
      </c>
      <c r="E2784" s="270" t="s">
        <v>3650</v>
      </c>
      <c r="F2784" s="384">
        <v>516000</v>
      </c>
      <c r="G2784" s="270">
        <v>600204179</v>
      </c>
    </row>
    <row r="2785" spans="1:7" x14ac:dyDescent="0.25">
      <c r="A2785" s="257">
        <v>2789</v>
      </c>
      <c r="B2785" s="267">
        <v>2784</v>
      </c>
      <c r="C2785" s="268" t="s">
        <v>1124</v>
      </c>
      <c r="D2785" s="269">
        <v>42431</v>
      </c>
      <c r="E2785" s="270" t="s">
        <v>226</v>
      </c>
      <c r="F2785" s="384">
        <v>616000</v>
      </c>
      <c r="G2785" s="270">
        <v>190654467</v>
      </c>
    </row>
    <row r="2786" spans="1:7" x14ac:dyDescent="0.25">
      <c r="A2786" s="257">
        <v>2790</v>
      </c>
      <c r="B2786" s="267">
        <v>2785</v>
      </c>
      <c r="C2786" s="268" t="s">
        <v>2099</v>
      </c>
      <c r="D2786" s="269">
        <v>42431</v>
      </c>
      <c r="E2786" s="270" t="s">
        <v>2098</v>
      </c>
      <c r="F2786" s="384">
        <v>235000</v>
      </c>
      <c r="G2786" s="270">
        <v>190919588</v>
      </c>
    </row>
    <row r="2787" spans="1:7" x14ac:dyDescent="0.25">
      <c r="A2787" s="257">
        <v>2791</v>
      </c>
      <c r="B2787" s="267">
        <v>2786</v>
      </c>
      <c r="C2787" s="268" t="s">
        <v>2036</v>
      </c>
      <c r="D2787" s="269">
        <v>42431</v>
      </c>
      <c r="E2787" s="270" t="s">
        <v>3594</v>
      </c>
      <c r="F2787" s="384">
        <v>516000</v>
      </c>
      <c r="G2787" s="270">
        <v>190882802</v>
      </c>
    </row>
    <row r="2788" spans="1:7" x14ac:dyDescent="0.25">
      <c r="A2788" s="257">
        <v>2792</v>
      </c>
      <c r="B2788" s="267">
        <v>2787</v>
      </c>
      <c r="C2788" s="268" t="s">
        <v>1917</v>
      </c>
      <c r="D2788" s="269">
        <v>42431</v>
      </c>
      <c r="E2788" s="270" t="s">
        <v>874</v>
      </c>
      <c r="F2788" s="384">
        <v>516000</v>
      </c>
      <c r="G2788" s="270">
        <v>191360926</v>
      </c>
    </row>
    <row r="2789" spans="1:7" x14ac:dyDescent="0.25">
      <c r="A2789" s="257">
        <v>2793</v>
      </c>
      <c r="B2789" s="267">
        <v>2788</v>
      </c>
      <c r="C2789" s="268" t="s">
        <v>3290</v>
      </c>
      <c r="D2789" s="269">
        <v>42431</v>
      </c>
      <c r="E2789" s="270" t="s">
        <v>3289</v>
      </c>
      <c r="F2789" s="384">
        <v>284000</v>
      </c>
      <c r="G2789" s="270">
        <v>691459653</v>
      </c>
    </row>
    <row r="2790" spans="1:7" x14ac:dyDescent="0.25">
      <c r="A2790" s="257">
        <v>2794</v>
      </c>
      <c r="B2790" s="267">
        <v>2789</v>
      </c>
      <c r="C2790" s="268" t="s">
        <v>3248</v>
      </c>
      <c r="D2790" s="269">
        <v>42431</v>
      </c>
      <c r="E2790" s="270" t="s">
        <v>2459</v>
      </c>
      <c r="F2790" s="384">
        <v>80000</v>
      </c>
      <c r="G2790" s="270">
        <v>100669291</v>
      </c>
    </row>
    <row r="2791" spans="1:7" x14ac:dyDescent="0.25">
      <c r="A2791" s="257">
        <v>2795</v>
      </c>
      <c r="B2791" s="267">
        <v>2790</v>
      </c>
      <c r="C2791" s="268" t="s">
        <v>3864</v>
      </c>
      <c r="D2791" s="269">
        <v>42431</v>
      </c>
      <c r="E2791" s="270" t="s">
        <v>906</v>
      </c>
      <c r="F2791" s="384">
        <v>356000</v>
      </c>
      <c r="G2791" s="270">
        <v>100348119</v>
      </c>
    </row>
    <row r="2792" spans="1:7" x14ac:dyDescent="0.25">
      <c r="A2792" s="257">
        <v>2796</v>
      </c>
      <c r="B2792" s="267">
        <v>2791</v>
      </c>
      <c r="C2792" s="268" t="s">
        <v>876</v>
      </c>
      <c r="D2792" s="269">
        <v>42434</v>
      </c>
      <c r="E2792" s="270" t="s">
        <v>875</v>
      </c>
      <c r="F2792" s="384">
        <v>184000</v>
      </c>
      <c r="G2792" s="270">
        <v>390417644</v>
      </c>
    </row>
    <row r="2793" spans="1:7" x14ac:dyDescent="0.25">
      <c r="A2793" s="257">
        <v>2797</v>
      </c>
      <c r="B2793" s="267">
        <v>2792</v>
      </c>
      <c r="C2793" s="268" t="s">
        <v>3290</v>
      </c>
      <c r="D2793" s="269">
        <v>42434</v>
      </c>
      <c r="E2793" s="270" t="s">
        <v>3289</v>
      </c>
      <c r="F2793" s="384">
        <v>332000</v>
      </c>
      <c r="G2793" s="270">
        <v>691459653</v>
      </c>
    </row>
    <row r="2794" spans="1:7" x14ac:dyDescent="0.25">
      <c r="A2794" s="257">
        <v>2798</v>
      </c>
      <c r="B2794" s="267">
        <v>2793</v>
      </c>
      <c r="C2794" s="268" t="s">
        <v>1056</v>
      </c>
      <c r="D2794" s="269">
        <v>42434</v>
      </c>
      <c r="E2794" s="270" t="s">
        <v>4235</v>
      </c>
      <c r="F2794" s="384">
        <v>78000</v>
      </c>
      <c r="G2794" s="270">
        <v>101185261</v>
      </c>
    </row>
    <row r="2795" spans="1:7" x14ac:dyDescent="0.25">
      <c r="A2795" s="257">
        <v>2799</v>
      </c>
      <c r="B2795" s="267">
        <v>2794</v>
      </c>
      <c r="C2795" s="268" t="s">
        <v>876</v>
      </c>
      <c r="D2795" s="269">
        <v>42434</v>
      </c>
      <c r="E2795" s="270" t="s">
        <v>875</v>
      </c>
      <c r="F2795" s="384">
        <v>80000</v>
      </c>
      <c r="G2795" s="270">
        <v>390417644</v>
      </c>
    </row>
    <row r="2796" spans="1:7" x14ac:dyDescent="0.25">
      <c r="A2796" s="257">
        <v>2800</v>
      </c>
      <c r="B2796" s="267">
        <v>2795</v>
      </c>
      <c r="C2796" s="268" t="s">
        <v>4201</v>
      </c>
      <c r="D2796" s="269">
        <v>42436</v>
      </c>
      <c r="E2796" s="270" t="s">
        <v>349</v>
      </c>
      <c r="F2796" s="384">
        <v>184000</v>
      </c>
      <c r="G2796" s="270">
        <v>690604750</v>
      </c>
    </row>
    <row r="2797" spans="1:7" x14ac:dyDescent="0.25">
      <c r="A2797" s="257">
        <v>2801</v>
      </c>
      <c r="B2797" s="267">
        <v>2796</v>
      </c>
      <c r="C2797" s="268" t="s">
        <v>1525</v>
      </c>
      <c r="D2797" s="269">
        <v>42438</v>
      </c>
      <c r="E2797" s="270" t="s">
        <v>1005</v>
      </c>
      <c r="F2797" s="384">
        <v>332000</v>
      </c>
      <c r="G2797" s="270">
        <v>101116081</v>
      </c>
    </row>
    <row r="2798" spans="1:7" x14ac:dyDescent="0.25">
      <c r="A2798" s="257">
        <v>2802</v>
      </c>
      <c r="B2798" s="267">
        <v>2797</v>
      </c>
      <c r="C2798" s="268" t="s">
        <v>3253</v>
      </c>
      <c r="D2798" s="269">
        <v>42438</v>
      </c>
      <c r="E2798" s="270" t="s">
        <v>3631</v>
      </c>
      <c r="F2798" s="384">
        <v>184000</v>
      </c>
      <c r="G2798" s="270">
        <v>691380883</v>
      </c>
    </row>
    <row r="2799" spans="1:7" x14ac:dyDescent="0.25">
      <c r="A2799" s="257">
        <v>2803</v>
      </c>
      <c r="B2799" s="267">
        <v>2798</v>
      </c>
      <c r="C2799" s="268" t="s">
        <v>215</v>
      </c>
      <c r="D2799" s="269">
        <v>42438</v>
      </c>
      <c r="E2799" s="270" t="s">
        <v>214</v>
      </c>
      <c r="F2799" s="384">
        <v>1032000</v>
      </c>
      <c r="G2799" s="270">
        <v>691601322</v>
      </c>
    </row>
    <row r="2800" spans="1:7" x14ac:dyDescent="0.25">
      <c r="A2800" s="257">
        <v>2804</v>
      </c>
      <c r="B2800" s="267">
        <v>2799</v>
      </c>
      <c r="C2800" s="268" t="s">
        <v>712</v>
      </c>
      <c r="D2800" s="269">
        <v>42438</v>
      </c>
      <c r="E2800" s="270" t="s">
        <v>711</v>
      </c>
      <c r="F2800" s="384">
        <v>252000</v>
      </c>
      <c r="G2800" s="270">
        <v>190017440</v>
      </c>
    </row>
    <row r="2801" spans="1:7" x14ac:dyDescent="0.25">
      <c r="A2801" s="257">
        <v>2805</v>
      </c>
      <c r="B2801" s="267">
        <v>2800</v>
      </c>
      <c r="C2801" s="268" t="s">
        <v>2674</v>
      </c>
      <c r="D2801" s="269">
        <v>42438</v>
      </c>
      <c r="E2801" s="270" t="s">
        <v>2072</v>
      </c>
      <c r="F2801" s="384">
        <v>235000</v>
      </c>
      <c r="G2801" s="270">
        <v>191251634</v>
      </c>
    </row>
    <row r="2802" spans="1:7" x14ac:dyDescent="0.25">
      <c r="A2802" s="257">
        <v>2806</v>
      </c>
      <c r="B2802" s="267">
        <v>2801</v>
      </c>
      <c r="C2802" s="268" t="s">
        <v>2143</v>
      </c>
      <c r="D2802" s="269">
        <v>42438</v>
      </c>
      <c r="E2802" s="270" t="s">
        <v>1927</v>
      </c>
      <c r="F2802" s="384">
        <v>195000</v>
      </c>
      <c r="G2802" s="270">
        <v>190032958</v>
      </c>
    </row>
    <row r="2803" spans="1:7" x14ac:dyDescent="0.25">
      <c r="A2803" s="257">
        <v>2807</v>
      </c>
      <c r="B2803" s="267">
        <v>2802</v>
      </c>
      <c r="C2803" s="268" t="s">
        <v>1056</v>
      </c>
      <c r="D2803" s="269">
        <v>42438</v>
      </c>
      <c r="E2803" s="270" t="s">
        <v>4235</v>
      </c>
      <c r="F2803" s="384">
        <v>35000</v>
      </c>
      <c r="G2803" s="270">
        <v>101185261</v>
      </c>
    </row>
    <row r="2804" spans="1:7" x14ac:dyDescent="0.25">
      <c r="A2804" s="257">
        <v>2808</v>
      </c>
      <c r="B2804" s="267">
        <v>2803</v>
      </c>
      <c r="C2804" s="268" t="s">
        <v>315</v>
      </c>
      <c r="D2804" s="269">
        <v>42438</v>
      </c>
      <c r="E2804" s="270" t="s">
        <v>3862</v>
      </c>
      <c r="F2804" s="384">
        <v>722000</v>
      </c>
      <c r="G2804" s="270">
        <v>601058802</v>
      </c>
    </row>
    <row r="2805" spans="1:7" x14ac:dyDescent="0.25">
      <c r="A2805" s="257">
        <v>2809</v>
      </c>
      <c r="B2805" s="267">
        <v>2804</v>
      </c>
      <c r="C2805" s="268" t="s">
        <v>2143</v>
      </c>
      <c r="D2805" s="269">
        <v>42443</v>
      </c>
      <c r="E2805" s="270" t="s">
        <v>1927</v>
      </c>
      <c r="F2805" s="384">
        <v>516000</v>
      </c>
      <c r="G2805" s="270">
        <v>190032958</v>
      </c>
    </row>
    <row r="2806" spans="1:7" x14ac:dyDescent="0.25">
      <c r="A2806" s="257">
        <v>2810</v>
      </c>
      <c r="B2806" s="267">
        <v>2805</v>
      </c>
      <c r="C2806" s="268" t="s">
        <v>2360</v>
      </c>
      <c r="D2806" s="269">
        <v>42443</v>
      </c>
      <c r="E2806" s="270" t="s">
        <v>1807</v>
      </c>
      <c r="F2806" s="384">
        <v>195000</v>
      </c>
      <c r="G2806" s="270">
        <v>101277625</v>
      </c>
    </row>
    <row r="2807" spans="1:7" x14ac:dyDescent="0.25">
      <c r="A2807" s="257">
        <v>2811</v>
      </c>
      <c r="B2807" s="267">
        <v>2806</v>
      </c>
      <c r="C2807" s="268" t="s">
        <v>3616</v>
      </c>
      <c r="D2807" s="269">
        <v>42443</v>
      </c>
      <c r="E2807" s="270" t="s">
        <v>4203</v>
      </c>
      <c r="F2807" s="384">
        <v>1032000</v>
      </c>
      <c r="G2807" s="270">
        <v>191306290</v>
      </c>
    </row>
    <row r="2808" spans="1:7" x14ac:dyDescent="0.25">
      <c r="A2808" s="257">
        <v>2812</v>
      </c>
      <c r="B2808" s="267">
        <v>2807</v>
      </c>
      <c r="C2808" s="268" t="s">
        <v>870</v>
      </c>
      <c r="D2808" s="269">
        <v>42446</v>
      </c>
      <c r="E2808" s="270" t="s">
        <v>428</v>
      </c>
      <c r="F2808" s="384">
        <v>284000</v>
      </c>
      <c r="G2808" s="270">
        <v>100783448</v>
      </c>
    </row>
    <row r="2809" spans="1:7" x14ac:dyDescent="0.25">
      <c r="A2809" s="257">
        <v>2813</v>
      </c>
      <c r="B2809" s="267">
        <v>2808</v>
      </c>
      <c r="C2809" s="268" t="s">
        <v>494</v>
      </c>
      <c r="D2809" s="269">
        <v>42446</v>
      </c>
      <c r="E2809" s="270" t="s">
        <v>339</v>
      </c>
      <c r="F2809" s="384">
        <v>184000</v>
      </c>
      <c r="G2809" s="270">
        <v>690629013</v>
      </c>
    </row>
    <row r="2810" spans="1:7" x14ac:dyDescent="0.25">
      <c r="A2810" s="257">
        <v>2814</v>
      </c>
      <c r="B2810" s="267">
        <v>2809</v>
      </c>
      <c r="C2810" s="268" t="s">
        <v>3301</v>
      </c>
      <c r="D2810" s="269">
        <v>42446</v>
      </c>
      <c r="E2810" s="270" t="s">
        <v>2841</v>
      </c>
      <c r="F2810" s="384">
        <v>195000</v>
      </c>
      <c r="G2810" s="270">
        <v>101337452</v>
      </c>
    </row>
    <row r="2811" spans="1:7" x14ac:dyDescent="0.25">
      <c r="A2811" s="257">
        <v>2815</v>
      </c>
      <c r="B2811" s="267">
        <v>2810</v>
      </c>
      <c r="C2811" s="268" t="s">
        <v>802</v>
      </c>
      <c r="D2811" s="269">
        <v>42446</v>
      </c>
      <c r="E2811" s="270" t="s">
        <v>1641</v>
      </c>
      <c r="F2811" s="384">
        <v>1548000</v>
      </c>
      <c r="G2811" s="270">
        <v>100135464</v>
      </c>
    </row>
    <row r="2812" spans="1:7" x14ac:dyDescent="0.25">
      <c r="A2812" s="257">
        <v>2816</v>
      </c>
      <c r="B2812" s="267">
        <v>2811</v>
      </c>
      <c r="C2812" s="268" t="s">
        <v>494</v>
      </c>
      <c r="D2812" s="269">
        <v>42446</v>
      </c>
      <c r="E2812" s="270" t="s">
        <v>339</v>
      </c>
      <c r="F2812" s="384">
        <v>43000</v>
      </c>
      <c r="G2812" s="270">
        <v>690629013</v>
      </c>
    </row>
    <row r="2813" spans="1:7" x14ac:dyDescent="0.25">
      <c r="A2813" s="257">
        <v>2817</v>
      </c>
      <c r="B2813" s="267">
        <v>2812</v>
      </c>
      <c r="C2813" s="268" t="s">
        <v>414</v>
      </c>
      <c r="D2813" s="269">
        <v>42447</v>
      </c>
      <c r="E2813" s="270" t="s">
        <v>3629</v>
      </c>
      <c r="F2813" s="384">
        <v>516000</v>
      </c>
      <c r="G2813" s="270">
        <v>100286955</v>
      </c>
    </row>
    <row r="2814" spans="1:7" x14ac:dyDescent="0.25">
      <c r="A2814" s="257">
        <v>2818</v>
      </c>
      <c r="B2814" s="267">
        <v>2813</v>
      </c>
      <c r="C2814" s="268" t="s">
        <v>262</v>
      </c>
      <c r="D2814" s="269">
        <v>42447</v>
      </c>
      <c r="E2814" s="270" t="s">
        <v>927</v>
      </c>
      <c r="F2814" s="384">
        <v>190000</v>
      </c>
      <c r="G2814" s="270">
        <v>190454318</v>
      </c>
    </row>
    <row r="2815" spans="1:7" x14ac:dyDescent="0.25">
      <c r="A2815" s="257">
        <v>2819</v>
      </c>
      <c r="B2815" s="267">
        <v>2814</v>
      </c>
      <c r="C2815" s="268" t="s">
        <v>3731</v>
      </c>
      <c r="D2815" s="269">
        <v>42447</v>
      </c>
      <c r="E2815" s="270" t="s">
        <v>2611</v>
      </c>
      <c r="F2815" s="384">
        <v>516000</v>
      </c>
      <c r="G2815" s="270">
        <v>191215579</v>
      </c>
    </row>
    <row r="2816" spans="1:7" x14ac:dyDescent="0.25">
      <c r="A2816" s="257">
        <v>2820</v>
      </c>
      <c r="B2816" s="267">
        <v>2815</v>
      </c>
      <c r="C2816" s="268" t="s">
        <v>69</v>
      </c>
      <c r="D2816" s="269">
        <v>42447</v>
      </c>
      <c r="E2816" s="270" t="s">
        <v>1790</v>
      </c>
      <c r="F2816" s="384">
        <v>235000</v>
      </c>
      <c r="G2816" s="270">
        <v>800013640</v>
      </c>
    </row>
    <row r="2817" spans="1:7" x14ac:dyDescent="0.25">
      <c r="A2817" s="257">
        <v>2821</v>
      </c>
      <c r="B2817" s="267">
        <v>2816</v>
      </c>
      <c r="C2817" s="268" t="s">
        <v>210</v>
      </c>
      <c r="D2817" s="269">
        <v>42447</v>
      </c>
      <c r="E2817" s="270" t="s">
        <v>4232</v>
      </c>
      <c r="F2817" s="384">
        <v>332000</v>
      </c>
      <c r="G2817" s="270">
        <v>690616954</v>
      </c>
    </row>
    <row r="2818" spans="1:7" x14ac:dyDescent="0.25">
      <c r="A2818" s="257">
        <v>2822</v>
      </c>
      <c r="B2818" s="267">
        <v>2817</v>
      </c>
      <c r="C2818" s="268" t="s">
        <v>196</v>
      </c>
      <c r="D2818" s="269">
        <v>42450</v>
      </c>
      <c r="E2818" s="270" t="s">
        <v>2717</v>
      </c>
      <c r="F2818" s="384">
        <v>516000</v>
      </c>
      <c r="G2818" s="270">
        <v>101538513</v>
      </c>
    </row>
    <row r="2819" spans="1:7" x14ac:dyDescent="0.25">
      <c r="A2819" s="257">
        <v>2823</v>
      </c>
      <c r="B2819" s="267">
        <v>2818</v>
      </c>
      <c r="C2819" s="268" t="s">
        <v>802</v>
      </c>
      <c r="D2819" s="269">
        <v>42450</v>
      </c>
      <c r="E2819" s="270" t="s">
        <v>1641</v>
      </c>
      <c r="F2819" s="384">
        <v>4644000</v>
      </c>
      <c r="G2819" s="270">
        <v>100135464</v>
      </c>
    </row>
    <row r="2820" spans="1:7" x14ac:dyDescent="0.25">
      <c r="A2820" s="257">
        <v>2824</v>
      </c>
      <c r="B2820" s="267">
        <v>2819</v>
      </c>
      <c r="C2820" s="268" t="s">
        <v>1525</v>
      </c>
      <c r="D2820" s="269">
        <v>42450</v>
      </c>
      <c r="E2820" s="270" t="s">
        <v>1005</v>
      </c>
      <c r="F2820" s="384">
        <v>356000</v>
      </c>
      <c r="G2820" s="270">
        <v>101116081</v>
      </c>
    </row>
    <row r="2821" spans="1:7" x14ac:dyDescent="0.25">
      <c r="A2821" s="257">
        <v>2825</v>
      </c>
      <c r="B2821" s="267">
        <v>2820</v>
      </c>
      <c r="C2821" s="268" t="s">
        <v>3534</v>
      </c>
      <c r="D2821" s="269">
        <v>42450</v>
      </c>
      <c r="E2821" s="270" t="s">
        <v>380</v>
      </c>
      <c r="F2821" s="384">
        <v>195000</v>
      </c>
      <c r="G2821" s="270">
        <v>191597159</v>
      </c>
    </row>
    <row r="2822" spans="1:7" x14ac:dyDescent="0.25">
      <c r="A2822" s="257">
        <v>2826</v>
      </c>
      <c r="B2822" s="267">
        <v>2821</v>
      </c>
      <c r="C2822" s="268" t="s">
        <v>352</v>
      </c>
      <c r="D2822" s="269">
        <v>42450</v>
      </c>
      <c r="E2822" s="270" t="s">
        <v>2757</v>
      </c>
      <c r="F2822" s="384">
        <v>1032000</v>
      </c>
      <c r="G2822" s="270">
        <v>691523351</v>
      </c>
    </row>
    <row r="2823" spans="1:7" x14ac:dyDescent="0.25">
      <c r="A2823" s="257">
        <v>2827</v>
      </c>
      <c r="B2823" s="267">
        <v>2822</v>
      </c>
      <c r="C2823" s="268" t="s">
        <v>2375</v>
      </c>
      <c r="D2823" s="269">
        <v>42450</v>
      </c>
      <c r="E2823" s="270" t="s">
        <v>4204</v>
      </c>
      <c r="F2823" s="384">
        <v>235000</v>
      </c>
      <c r="G2823" s="270">
        <v>192237728</v>
      </c>
    </row>
    <row r="2824" spans="1:7" x14ac:dyDescent="0.25">
      <c r="A2824" s="257">
        <v>2828</v>
      </c>
      <c r="B2824" s="267">
        <v>2823</v>
      </c>
      <c r="C2824" s="268" t="s">
        <v>53</v>
      </c>
      <c r="D2824" s="269">
        <v>42450</v>
      </c>
      <c r="E2824" s="270" t="s">
        <v>893</v>
      </c>
      <c r="F2824" s="384">
        <v>516000</v>
      </c>
      <c r="G2824" s="270">
        <v>691535129</v>
      </c>
    </row>
    <row r="2825" spans="1:7" x14ac:dyDescent="0.25">
      <c r="A2825" s="257">
        <v>2829</v>
      </c>
      <c r="B2825" s="267">
        <v>2824</v>
      </c>
      <c r="C2825" s="268" t="s">
        <v>1688</v>
      </c>
      <c r="D2825" s="269">
        <v>42450</v>
      </c>
      <c r="E2825" s="270" t="s">
        <v>498</v>
      </c>
      <c r="F2825" s="384">
        <v>380000</v>
      </c>
      <c r="G2825" s="270">
        <v>190970908</v>
      </c>
    </row>
    <row r="2826" spans="1:7" x14ac:dyDescent="0.25">
      <c r="A2826" s="257">
        <v>2830</v>
      </c>
      <c r="B2826" s="267">
        <v>2825</v>
      </c>
      <c r="C2826" s="268" t="s">
        <v>4188</v>
      </c>
      <c r="D2826" s="269">
        <v>42450</v>
      </c>
      <c r="E2826" s="270" t="s">
        <v>815</v>
      </c>
      <c r="F2826" s="384">
        <v>516000</v>
      </c>
      <c r="G2826" s="270">
        <v>100115154</v>
      </c>
    </row>
    <row r="2827" spans="1:7" x14ac:dyDescent="0.25">
      <c r="A2827" s="257">
        <v>2831</v>
      </c>
      <c r="B2827" s="267">
        <v>2826</v>
      </c>
      <c r="C2827" s="268" t="s">
        <v>69</v>
      </c>
      <c r="D2827" s="269">
        <v>42450</v>
      </c>
      <c r="E2827" s="270" t="s">
        <v>1790</v>
      </c>
      <c r="F2827" s="384">
        <v>37000</v>
      </c>
      <c r="G2827" s="270">
        <v>800013640</v>
      </c>
    </row>
    <row r="2828" spans="1:7" x14ac:dyDescent="0.25">
      <c r="A2828" s="257">
        <v>2832</v>
      </c>
      <c r="B2828" s="267">
        <v>2827</v>
      </c>
      <c r="C2828" s="268" t="s">
        <v>3542</v>
      </c>
      <c r="D2828" s="269">
        <v>42450</v>
      </c>
      <c r="E2828" s="270" t="s">
        <v>3112</v>
      </c>
      <c r="F2828" s="384">
        <v>190000</v>
      </c>
      <c r="G2828" s="270">
        <v>191129037</v>
      </c>
    </row>
    <row r="2829" spans="1:7" x14ac:dyDescent="0.25">
      <c r="A2829" s="257">
        <v>2833</v>
      </c>
      <c r="B2829" s="267">
        <v>2828</v>
      </c>
      <c r="C2829" s="268" t="s">
        <v>3326</v>
      </c>
      <c r="D2829" s="269">
        <v>42451</v>
      </c>
      <c r="E2829" s="270" t="s">
        <v>164</v>
      </c>
      <c r="F2829" s="384">
        <v>235000</v>
      </c>
      <c r="G2829" s="270">
        <v>100534485</v>
      </c>
    </row>
    <row r="2830" spans="1:7" x14ac:dyDescent="0.25">
      <c r="A2830" s="257">
        <v>2834</v>
      </c>
      <c r="B2830" s="267">
        <v>2829</v>
      </c>
      <c r="C2830" s="268" t="s">
        <v>2855</v>
      </c>
      <c r="D2830" s="269">
        <v>42451</v>
      </c>
      <c r="E2830" s="270" t="s">
        <v>929</v>
      </c>
      <c r="F2830" s="384">
        <v>235000</v>
      </c>
      <c r="G2830" s="270">
        <v>808000819</v>
      </c>
    </row>
    <row r="2831" spans="1:7" x14ac:dyDescent="0.25">
      <c r="A2831" s="257">
        <v>2835</v>
      </c>
      <c r="B2831" s="267">
        <v>2830</v>
      </c>
      <c r="C2831" s="268" t="s">
        <v>401</v>
      </c>
      <c r="D2831" s="269">
        <v>42451</v>
      </c>
      <c r="E2831" s="270" t="s">
        <v>813</v>
      </c>
      <c r="F2831" s="384">
        <v>380000</v>
      </c>
      <c r="G2831" s="270">
        <v>100648873</v>
      </c>
    </row>
    <row r="2832" spans="1:7" x14ac:dyDescent="0.25">
      <c r="A2832" s="257">
        <v>2836</v>
      </c>
      <c r="B2832" s="267">
        <v>2831</v>
      </c>
      <c r="C2832" s="268" t="s">
        <v>2855</v>
      </c>
      <c r="D2832" s="269">
        <v>42451</v>
      </c>
      <c r="E2832" s="270" t="s">
        <v>929</v>
      </c>
      <c r="F2832" s="384">
        <v>37000</v>
      </c>
      <c r="G2832" s="270">
        <v>808000819</v>
      </c>
    </row>
    <row r="2833" spans="1:7" x14ac:dyDescent="0.25">
      <c r="A2833" s="257">
        <v>2837</v>
      </c>
      <c r="B2833" s="267">
        <v>2832</v>
      </c>
      <c r="C2833" s="268" t="s">
        <v>2635</v>
      </c>
      <c r="D2833" s="269">
        <v>42454</v>
      </c>
      <c r="E2833" s="270" t="s">
        <v>700</v>
      </c>
      <c r="F2833" s="384">
        <v>234000</v>
      </c>
      <c r="G2833" s="270">
        <v>691572035</v>
      </c>
    </row>
    <row r="2834" spans="1:7" x14ac:dyDescent="0.25">
      <c r="A2834" s="257">
        <v>2838</v>
      </c>
      <c r="B2834" s="267">
        <v>2833</v>
      </c>
      <c r="C2834" s="268" t="s">
        <v>2645</v>
      </c>
      <c r="D2834" s="269">
        <v>42454</v>
      </c>
      <c r="E2834" s="270" t="s">
        <v>239</v>
      </c>
      <c r="F2834" s="384">
        <v>516000</v>
      </c>
      <c r="G2834" s="270">
        <v>101139097</v>
      </c>
    </row>
    <row r="2835" spans="1:7" x14ac:dyDescent="0.25">
      <c r="A2835" s="257">
        <v>2839</v>
      </c>
      <c r="B2835" s="267">
        <v>2834</v>
      </c>
      <c r="C2835" s="268" t="s">
        <v>1608</v>
      </c>
      <c r="D2835" s="269">
        <v>42454</v>
      </c>
      <c r="E2835" s="270" t="s">
        <v>2743</v>
      </c>
      <c r="F2835" s="384">
        <v>284000</v>
      </c>
      <c r="G2835" s="270">
        <v>600052544</v>
      </c>
    </row>
    <row r="2836" spans="1:7" x14ac:dyDescent="0.25">
      <c r="A2836" s="257">
        <v>2840</v>
      </c>
      <c r="B2836" s="267">
        <v>2835</v>
      </c>
      <c r="C2836" s="268" t="s">
        <v>487</v>
      </c>
      <c r="D2836" s="269">
        <v>42454</v>
      </c>
      <c r="E2836" s="270" t="s">
        <v>12</v>
      </c>
      <c r="F2836" s="384">
        <v>190000</v>
      </c>
      <c r="G2836" s="270">
        <v>91691873</v>
      </c>
    </row>
    <row r="2837" spans="1:7" x14ac:dyDescent="0.25">
      <c r="A2837" s="257">
        <v>2841</v>
      </c>
      <c r="B2837" s="267">
        <v>2836</v>
      </c>
      <c r="C2837" s="268" t="s">
        <v>231</v>
      </c>
      <c r="D2837" s="269">
        <v>42454</v>
      </c>
      <c r="E2837" s="270" t="s">
        <v>955</v>
      </c>
      <c r="F2837" s="384">
        <v>332000</v>
      </c>
      <c r="G2837" s="270">
        <v>191835639</v>
      </c>
    </row>
    <row r="2838" spans="1:7" x14ac:dyDescent="0.25">
      <c r="A2838" s="257">
        <v>2842</v>
      </c>
      <c r="B2838" s="267">
        <v>2837</v>
      </c>
      <c r="C2838" s="268" t="s">
        <v>2793</v>
      </c>
      <c r="D2838" s="269">
        <v>42454</v>
      </c>
      <c r="E2838" s="270" t="s">
        <v>1530</v>
      </c>
      <c r="F2838" s="384">
        <v>184000</v>
      </c>
      <c r="G2838" s="270">
        <v>190821953</v>
      </c>
    </row>
    <row r="2839" spans="1:7" x14ac:dyDescent="0.25">
      <c r="A2839" s="257">
        <v>2843</v>
      </c>
      <c r="B2839" s="267">
        <v>2838</v>
      </c>
      <c r="C2839" s="268" t="s">
        <v>135</v>
      </c>
      <c r="D2839" s="269">
        <v>42454</v>
      </c>
      <c r="E2839" s="270" t="s">
        <v>4183</v>
      </c>
      <c r="F2839" s="384">
        <v>195000</v>
      </c>
      <c r="G2839" s="270">
        <v>691061027</v>
      </c>
    </row>
    <row r="2840" spans="1:7" x14ac:dyDescent="0.25">
      <c r="A2840" s="257">
        <v>2844</v>
      </c>
      <c r="B2840" s="267">
        <v>2839</v>
      </c>
      <c r="C2840" s="268" t="s">
        <v>2889</v>
      </c>
      <c r="D2840" s="269">
        <v>42454</v>
      </c>
      <c r="E2840" s="270" t="s">
        <v>523</v>
      </c>
      <c r="F2840" s="384">
        <v>184000</v>
      </c>
      <c r="G2840" s="270">
        <v>691539111</v>
      </c>
    </row>
    <row r="2841" spans="1:7" x14ac:dyDescent="0.25">
      <c r="A2841" s="257">
        <v>2845</v>
      </c>
      <c r="B2841" s="267">
        <v>2840</v>
      </c>
      <c r="C2841" s="268" t="s">
        <v>3636</v>
      </c>
      <c r="D2841" s="269">
        <v>42454</v>
      </c>
      <c r="E2841" s="270" t="s">
        <v>3650</v>
      </c>
      <c r="F2841" s="384">
        <v>235000</v>
      </c>
      <c r="G2841" s="270">
        <v>600204179</v>
      </c>
    </row>
    <row r="2842" spans="1:7" x14ac:dyDescent="0.25">
      <c r="A2842" s="257">
        <v>2846</v>
      </c>
      <c r="B2842" s="267">
        <v>2841</v>
      </c>
      <c r="C2842" s="268" t="s">
        <v>2375</v>
      </c>
      <c r="D2842" s="269">
        <v>42455</v>
      </c>
      <c r="E2842" s="270" t="s">
        <v>4204</v>
      </c>
      <c r="F2842" s="384">
        <v>80000</v>
      </c>
      <c r="G2842" s="270">
        <v>192237728</v>
      </c>
    </row>
    <row r="2843" spans="1:7" x14ac:dyDescent="0.25">
      <c r="A2843" s="257">
        <v>2847</v>
      </c>
      <c r="B2843" s="267">
        <v>2842</v>
      </c>
      <c r="C2843" s="268" t="s">
        <v>2444</v>
      </c>
      <c r="D2843" s="269">
        <v>42455</v>
      </c>
      <c r="E2843" s="270" t="s">
        <v>2594</v>
      </c>
      <c r="F2843" s="384">
        <v>235000</v>
      </c>
      <c r="G2843" s="270">
        <v>100008077</v>
      </c>
    </row>
    <row r="2844" spans="1:7" x14ac:dyDescent="0.25">
      <c r="A2844" s="257">
        <v>2848</v>
      </c>
      <c r="B2844" s="267">
        <v>2843</v>
      </c>
      <c r="C2844" s="268" t="s">
        <v>3216</v>
      </c>
      <c r="D2844" s="269">
        <v>42458</v>
      </c>
      <c r="E2844" s="270" t="s">
        <v>1644</v>
      </c>
      <c r="F2844" s="384">
        <v>1660000</v>
      </c>
      <c r="G2844" s="270">
        <v>100315288</v>
      </c>
    </row>
    <row r="2845" spans="1:7" x14ac:dyDescent="0.25">
      <c r="A2845" s="257">
        <v>2849</v>
      </c>
      <c r="B2845" s="267">
        <v>2844</v>
      </c>
      <c r="C2845" s="268" t="s">
        <v>202</v>
      </c>
      <c r="D2845" s="269">
        <v>42458</v>
      </c>
      <c r="E2845" s="270" t="s">
        <v>1701</v>
      </c>
      <c r="F2845" s="384">
        <v>516000</v>
      </c>
      <c r="G2845" s="270">
        <v>100984075</v>
      </c>
    </row>
    <row r="2846" spans="1:7" x14ac:dyDescent="0.25">
      <c r="A2846" s="257">
        <v>2850</v>
      </c>
      <c r="B2846" s="267">
        <v>2845</v>
      </c>
      <c r="C2846" s="268" t="s">
        <v>2143</v>
      </c>
      <c r="D2846" s="269">
        <v>42458</v>
      </c>
      <c r="E2846" s="270" t="s">
        <v>1927</v>
      </c>
      <c r="F2846" s="384">
        <v>419000</v>
      </c>
      <c r="G2846" s="270">
        <v>190032958</v>
      </c>
    </row>
    <row r="2847" spans="1:7" x14ac:dyDescent="0.25">
      <c r="A2847" s="257">
        <v>2851</v>
      </c>
      <c r="B2847" s="267">
        <v>2846</v>
      </c>
      <c r="C2847" s="268" t="s">
        <v>1028</v>
      </c>
      <c r="D2847" s="269">
        <v>42458</v>
      </c>
      <c r="E2847" s="270" t="s">
        <v>2970</v>
      </c>
      <c r="F2847" s="384">
        <v>195000</v>
      </c>
      <c r="G2847" s="270">
        <v>691313083</v>
      </c>
    </row>
    <row r="2848" spans="1:7" x14ac:dyDescent="0.25">
      <c r="A2848" s="257">
        <v>2852</v>
      </c>
      <c r="B2848" s="267">
        <v>2847</v>
      </c>
      <c r="C2848" s="268" t="s">
        <v>1917</v>
      </c>
      <c r="D2848" s="269">
        <v>42458</v>
      </c>
      <c r="E2848" s="270" t="s">
        <v>874</v>
      </c>
      <c r="F2848" s="384">
        <v>235000</v>
      </c>
      <c r="G2848" s="270">
        <v>191360926</v>
      </c>
    </row>
    <row r="2849" spans="1:7" x14ac:dyDescent="0.25">
      <c r="A2849" s="257">
        <v>2853</v>
      </c>
      <c r="B2849" s="267">
        <v>2848</v>
      </c>
      <c r="C2849" s="268" t="s">
        <v>2360</v>
      </c>
      <c r="D2849" s="269">
        <v>42459</v>
      </c>
      <c r="E2849" s="270" t="s">
        <v>1807</v>
      </c>
      <c r="F2849" s="384">
        <v>252000</v>
      </c>
      <c r="G2849" s="270">
        <v>101277625</v>
      </c>
    </row>
    <row r="2850" spans="1:7" x14ac:dyDescent="0.25">
      <c r="A2850" s="257">
        <v>2854</v>
      </c>
      <c r="B2850" s="267">
        <v>2849</v>
      </c>
      <c r="C2850" s="268" t="s">
        <v>2095</v>
      </c>
      <c r="D2850" s="269">
        <v>42459</v>
      </c>
      <c r="E2850" s="270" t="s">
        <v>2859</v>
      </c>
      <c r="F2850" s="384">
        <v>522000</v>
      </c>
      <c r="G2850" s="270">
        <v>100261801</v>
      </c>
    </row>
    <row r="2851" spans="1:7" x14ac:dyDescent="0.25">
      <c r="A2851" s="257">
        <v>2855</v>
      </c>
      <c r="B2851" s="267">
        <v>2850</v>
      </c>
      <c r="C2851" s="268" t="s">
        <v>684</v>
      </c>
      <c r="D2851" s="269">
        <v>42459</v>
      </c>
      <c r="E2851" s="270" t="s">
        <v>1107</v>
      </c>
      <c r="F2851" s="384">
        <v>516000</v>
      </c>
      <c r="G2851" s="270">
        <v>190834982</v>
      </c>
    </row>
    <row r="2852" spans="1:7" x14ac:dyDescent="0.25">
      <c r="A2852" s="257">
        <v>2856</v>
      </c>
      <c r="B2852" s="267">
        <v>2851</v>
      </c>
      <c r="C2852" s="268" t="s">
        <v>3209</v>
      </c>
      <c r="D2852" s="269">
        <v>42459</v>
      </c>
      <c r="E2852" s="270" t="s">
        <v>309</v>
      </c>
      <c r="F2852" s="384">
        <v>568000</v>
      </c>
      <c r="G2852" s="270">
        <v>691072211</v>
      </c>
    </row>
    <row r="2853" spans="1:7" x14ac:dyDescent="0.25">
      <c r="A2853" s="257">
        <v>2857</v>
      </c>
      <c r="B2853" s="267">
        <v>2852</v>
      </c>
      <c r="C2853" s="268" t="s">
        <v>2597</v>
      </c>
      <c r="D2853" s="269">
        <v>42459</v>
      </c>
      <c r="E2853" s="270" t="s">
        <v>1640</v>
      </c>
      <c r="F2853" s="384">
        <v>652000</v>
      </c>
      <c r="G2853" s="270">
        <v>100262573</v>
      </c>
    </row>
    <row r="2854" spans="1:7" x14ac:dyDescent="0.25">
      <c r="A2854" s="257">
        <v>2858</v>
      </c>
      <c r="B2854" s="267">
        <v>2853</v>
      </c>
      <c r="C2854" s="268" t="s">
        <v>3534</v>
      </c>
      <c r="D2854" s="269">
        <v>42459</v>
      </c>
      <c r="E2854" s="270" t="s">
        <v>380</v>
      </c>
      <c r="F2854" s="384">
        <v>43000</v>
      </c>
      <c r="G2854" s="270">
        <v>191597159</v>
      </c>
    </row>
    <row r="2855" spans="1:7" x14ac:dyDescent="0.25">
      <c r="A2855" s="257">
        <v>2859</v>
      </c>
      <c r="B2855" s="267">
        <v>2854</v>
      </c>
      <c r="C2855" s="268" t="s">
        <v>2699</v>
      </c>
      <c r="D2855" s="269">
        <v>42459</v>
      </c>
      <c r="E2855" s="270" t="s">
        <v>2698</v>
      </c>
      <c r="F2855" s="384">
        <v>190000</v>
      </c>
      <c r="G2855" s="270">
        <v>102385946</v>
      </c>
    </row>
    <row r="2856" spans="1:7" x14ac:dyDescent="0.25">
      <c r="A2856" s="257">
        <v>2860</v>
      </c>
      <c r="B2856" s="267">
        <v>2855</v>
      </c>
      <c r="C2856" s="268" t="s">
        <v>3632</v>
      </c>
      <c r="D2856" s="269">
        <v>42466</v>
      </c>
      <c r="E2856" s="270" t="s">
        <v>2455</v>
      </c>
      <c r="F2856" s="384">
        <v>184000</v>
      </c>
      <c r="G2856" s="270">
        <v>691530048</v>
      </c>
    </row>
    <row r="2857" spans="1:7" x14ac:dyDescent="0.25">
      <c r="A2857" s="257">
        <v>2861</v>
      </c>
      <c r="B2857" s="267">
        <v>2856</v>
      </c>
      <c r="C2857" s="268" t="s">
        <v>3209</v>
      </c>
      <c r="D2857" s="269">
        <v>42466</v>
      </c>
      <c r="E2857" s="270" t="s">
        <v>309</v>
      </c>
      <c r="F2857" s="384">
        <v>111000</v>
      </c>
      <c r="G2857" s="270">
        <v>691072211</v>
      </c>
    </row>
    <row r="2858" spans="1:7" x14ac:dyDescent="0.25">
      <c r="A2858" s="257">
        <v>2862</v>
      </c>
      <c r="B2858" s="267">
        <v>2857</v>
      </c>
      <c r="C2858" s="268" t="s">
        <v>367</v>
      </c>
      <c r="D2858" s="269">
        <v>42466</v>
      </c>
      <c r="E2858" s="270" t="s">
        <v>839</v>
      </c>
      <c r="F2858" s="384">
        <v>235000</v>
      </c>
      <c r="G2858" s="270">
        <v>101166741</v>
      </c>
    </row>
    <row r="2859" spans="1:7" x14ac:dyDescent="0.25">
      <c r="A2859" s="257">
        <v>2863</v>
      </c>
      <c r="B2859" s="267">
        <v>2858</v>
      </c>
      <c r="C2859" s="268" t="s">
        <v>333</v>
      </c>
      <c r="D2859" s="269">
        <v>42466</v>
      </c>
      <c r="E2859" s="270" t="s">
        <v>209</v>
      </c>
      <c r="F2859" s="384">
        <v>235000</v>
      </c>
      <c r="G2859" s="270">
        <v>191118996</v>
      </c>
    </row>
    <row r="2860" spans="1:7" x14ac:dyDescent="0.25">
      <c r="A2860" s="257">
        <v>2864</v>
      </c>
      <c r="B2860" s="267">
        <v>2859</v>
      </c>
      <c r="C2860" s="268" t="s">
        <v>2444</v>
      </c>
      <c r="D2860" s="269">
        <v>42466</v>
      </c>
      <c r="E2860" s="270" t="s">
        <v>2594</v>
      </c>
      <c r="F2860" s="384">
        <v>470000</v>
      </c>
      <c r="G2860" s="270">
        <v>100008077</v>
      </c>
    </row>
    <row r="2861" spans="1:7" x14ac:dyDescent="0.25">
      <c r="A2861" s="257">
        <v>2865</v>
      </c>
      <c r="B2861" s="267">
        <v>2860</v>
      </c>
      <c r="C2861" s="268" t="s">
        <v>1928</v>
      </c>
      <c r="D2861" s="269">
        <v>42466</v>
      </c>
      <c r="E2861" s="270" t="s">
        <v>2801</v>
      </c>
      <c r="F2861" s="384">
        <v>284000</v>
      </c>
      <c r="G2861" s="270">
        <v>190334745</v>
      </c>
    </row>
    <row r="2862" spans="1:7" x14ac:dyDescent="0.25">
      <c r="A2862" s="257">
        <v>2866</v>
      </c>
      <c r="B2862" s="267">
        <v>2861</v>
      </c>
      <c r="C2862" s="268" t="s">
        <v>3632</v>
      </c>
      <c r="D2862" s="269">
        <v>42466</v>
      </c>
      <c r="E2862" s="270" t="s">
        <v>2455</v>
      </c>
      <c r="F2862" s="384">
        <v>43000</v>
      </c>
      <c r="G2862" s="270">
        <v>691530048</v>
      </c>
    </row>
    <row r="2863" spans="1:7" x14ac:dyDescent="0.25">
      <c r="A2863" s="257">
        <v>2867</v>
      </c>
      <c r="B2863" s="267">
        <v>2862</v>
      </c>
      <c r="C2863" s="268" t="s">
        <v>1628</v>
      </c>
      <c r="D2863" s="269">
        <v>42466</v>
      </c>
      <c r="E2863" s="270" t="s">
        <v>2420</v>
      </c>
      <c r="F2863" s="384">
        <v>356000</v>
      </c>
      <c r="G2863" s="270">
        <v>100315367</v>
      </c>
    </row>
    <row r="2864" spans="1:7" x14ac:dyDescent="0.25">
      <c r="A2864" s="257">
        <v>2868</v>
      </c>
      <c r="B2864" s="267">
        <v>2863</v>
      </c>
      <c r="C2864" s="268" t="s">
        <v>3636</v>
      </c>
      <c r="D2864" s="269">
        <v>42466</v>
      </c>
      <c r="E2864" s="270" t="s">
        <v>3650</v>
      </c>
      <c r="F2864" s="384">
        <v>252000</v>
      </c>
      <c r="G2864" s="270">
        <v>600204179</v>
      </c>
    </row>
    <row r="2865" spans="1:7" x14ac:dyDescent="0.25">
      <c r="A2865" s="257">
        <v>2869</v>
      </c>
      <c r="B2865" s="267">
        <v>2864</v>
      </c>
      <c r="C2865" s="268" t="s">
        <v>2645</v>
      </c>
      <c r="D2865" s="269">
        <v>42466</v>
      </c>
      <c r="E2865" s="270" t="s">
        <v>239</v>
      </c>
      <c r="F2865" s="384">
        <v>516000</v>
      </c>
      <c r="G2865" s="270">
        <v>101139097</v>
      </c>
    </row>
    <row r="2866" spans="1:7" x14ac:dyDescent="0.25">
      <c r="A2866" s="257">
        <v>2870</v>
      </c>
      <c r="B2866" s="267">
        <v>2865</v>
      </c>
      <c r="C2866" s="268" t="s">
        <v>1696</v>
      </c>
      <c r="D2866" s="269">
        <v>42466</v>
      </c>
      <c r="E2866" s="270" t="s">
        <v>1768</v>
      </c>
      <c r="F2866" s="384">
        <v>851000</v>
      </c>
      <c r="G2866" s="270">
        <v>100104712</v>
      </c>
    </row>
    <row r="2867" spans="1:7" x14ac:dyDescent="0.25">
      <c r="A2867" s="257">
        <v>2871</v>
      </c>
      <c r="B2867" s="267">
        <v>2866</v>
      </c>
      <c r="C2867" s="268" t="s">
        <v>2895</v>
      </c>
      <c r="D2867" s="269">
        <v>42466</v>
      </c>
      <c r="E2867" s="270" t="s">
        <v>2853</v>
      </c>
      <c r="F2867" s="384">
        <v>356000</v>
      </c>
      <c r="G2867" s="270">
        <v>191426884</v>
      </c>
    </row>
    <row r="2868" spans="1:7" x14ac:dyDescent="0.25">
      <c r="A2868" s="257">
        <v>2872</v>
      </c>
      <c r="B2868" s="267">
        <v>2867</v>
      </c>
      <c r="C2868" s="268" t="s">
        <v>680</v>
      </c>
      <c r="D2868" s="269">
        <v>42466</v>
      </c>
      <c r="E2868" s="270" t="s">
        <v>3598</v>
      </c>
      <c r="F2868" s="384">
        <v>516000</v>
      </c>
      <c r="G2868" s="270">
        <v>190221603</v>
      </c>
    </row>
    <row r="2869" spans="1:7" x14ac:dyDescent="0.25">
      <c r="A2869" s="257">
        <v>2873</v>
      </c>
      <c r="B2869" s="267">
        <v>2868</v>
      </c>
      <c r="C2869" s="268" t="s">
        <v>2889</v>
      </c>
      <c r="D2869" s="269">
        <v>42466</v>
      </c>
      <c r="E2869" s="270" t="s">
        <v>523</v>
      </c>
      <c r="F2869" s="384">
        <v>516000</v>
      </c>
      <c r="G2869" s="270">
        <v>691539111</v>
      </c>
    </row>
    <row r="2870" spans="1:7" x14ac:dyDescent="0.25">
      <c r="A2870" s="257">
        <v>2874</v>
      </c>
      <c r="B2870" s="267">
        <v>2869</v>
      </c>
      <c r="C2870" s="268" t="s">
        <v>1004</v>
      </c>
      <c r="D2870" s="269">
        <v>42467</v>
      </c>
      <c r="E2870" s="270" t="s">
        <v>2383</v>
      </c>
      <c r="F2870" s="384">
        <v>235000</v>
      </c>
      <c r="G2870" s="270">
        <v>690655317</v>
      </c>
    </row>
    <row r="2871" spans="1:7" x14ac:dyDescent="0.25">
      <c r="A2871" s="257">
        <v>2875</v>
      </c>
      <c r="B2871" s="267">
        <v>2870</v>
      </c>
      <c r="C2871" s="268" t="s">
        <v>4234</v>
      </c>
      <c r="D2871" s="269">
        <v>42467</v>
      </c>
      <c r="E2871" s="270" t="s">
        <v>340</v>
      </c>
      <c r="F2871" s="384">
        <v>210000</v>
      </c>
      <c r="G2871" s="270">
        <v>190444477</v>
      </c>
    </row>
    <row r="2872" spans="1:7" x14ac:dyDescent="0.25">
      <c r="A2872" s="257">
        <v>2876</v>
      </c>
      <c r="B2872" s="267">
        <v>2871</v>
      </c>
      <c r="C2872" s="268" t="s">
        <v>1910</v>
      </c>
      <c r="D2872" s="269">
        <v>42467</v>
      </c>
      <c r="E2872" s="270" t="s">
        <v>2609</v>
      </c>
      <c r="F2872" s="384">
        <v>284000</v>
      </c>
      <c r="G2872" s="270">
        <v>190549048</v>
      </c>
    </row>
    <row r="2873" spans="1:7" x14ac:dyDescent="0.25">
      <c r="A2873" s="257">
        <v>2877</v>
      </c>
      <c r="B2873" s="267">
        <v>2872</v>
      </c>
      <c r="C2873" s="268" t="s">
        <v>1846</v>
      </c>
      <c r="D2873" s="269">
        <v>42467</v>
      </c>
      <c r="E2873" s="270" t="s">
        <v>50</v>
      </c>
      <c r="F2873" s="384">
        <v>235000</v>
      </c>
      <c r="G2873" s="270">
        <v>690325966</v>
      </c>
    </row>
    <row r="2874" spans="1:7" x14ac:dyDescent="0.25">
      <c r="A2874" s="257">
        <v>2878</v>
      </c>
      <c r="B2874" s="267">
        <v>2873</v>
      </c>
      <c r="C2874" s="268" t="s">
        <v>2377</v>
      </c>
      <c r="D2874" s="269">
        <v>42467</v>
      </c>
      <c r="E2874" s="270" t="s">
        <v>226</v>
      </c>
      <c r="F2874" s="384">
        <v>1032000</v>
      </c>
      <c r="G2874" s="270">
        <v>190654467</v>
      </c>
    </row>
    <row r="2875" spans="1:7" x14ac:dyDescent="0.25">
      <c r="A2875" s="257">
        <v>2879</v>
      </c>
      <c r="B2875" s="267">
        <v>2874</v>
      </c>
      <c r="C2875" s="268" t="s">
        <v>2793</v>
      </c>
      <c r="D2875" s="269">
        <v>42467</v>
      </c>
      <c r="E2875" s="270" t="s">
        <v>1530</v>
      </c>
      <c r="F2875" s="384">
        <v>74000</v>
      </c>
      <c r="G2875" s="270">
        <v>190821953</v>
      </c>
    </row>
    <row r="2876" spans="1:7" x14ac:dyDescent="0.25">
      <c r="A2876" s="257">
        <v>2880</v>
      </c>
      <c r="B2876" s="267">
        <v>2875</v>
      </c>
      <c r="C2876" s="268" t="s">
        <v>886</v>
      </c>
      <c r="D2876" s="269">
        <v>42467</v>
      </c>
      <c r="E2876" s="270" t="s">
        <v>1607</v>
      </c>
      <c r="F2876" s="384">
        <v>516000</v>
      </c>
      <c r="G2876" s="270">
        <v>690643672</v>
      </c>
    </row>
    <row r="2877" spans="1:7" x14ac:dyDescent="0.25">
      <c r="A2877" s="257">
        <v>2881</v>
      </c>
      <c r="B2877" s="267">
        <v>2876</v>
      </c>
      <c r="C2877" s="268" t="s">
        <v>2889</v>
      </c>
      <c r="D2877" s="269">
        <v>42467</v>
      </c>
      <c r="E2877" s="270" t="s">
        <v>523</v>
      </c>
      <c r="F2877" s="384">
        <v>111000</v>
      </c>
      <c r="G2877" s="270">
        <v>691539111</v>
      </c>
    </row>
    <row r="2878" spans="1:7" x14ac:dyDescent="0.25">
      <c r="A2878" s="257">
        <v>2882</v>
      </c>
      <c r="B2878" s="267">
        <v>2877</v>
      </c>
      <c r="C2878" s="268" t="s">
        <v>1928</v>
      </c>
      <c r="D2878" s="269">
        <v>42471</v>
      </c>
      <c r="E2878" s="270" t="s">
        <v>2801</v>
      </c>
      <c r="F2878" s="384">
        <v>284000</v>
      </c>
      <c r="G2878" s="270">
        <v>190334745</v>
      </c>
    </row>
    <row r="2879" spans="1:7" x14ac:dyDescent="0.25">
      <c r="A2879" s="257">
        <v>2883</v>
      </c>
      <c r="B2879" s="267">
        <v>2878</v>
      </c>
      <c r="C2879" s="268" t="s">
        <v>59</v>
      </c>
      <c r="D2879" s="269">
        <v>42471</v>
      </c>
      <c r="E2879" s="270" t="s">
        <v>2876</v>
      </c>
      <c r="F2879" s="384">
        <v>1032000</v>
      </c>
      <c r="G2879" s="270">
        <v>690653143</v>
      </c>
    </row>
    <row r="2880" spans="1:7" x14ac:dyDescent="0.25">
      <c r="A2880" s="257">
        <v>2884</v>
      </c>
      <c r="B2880" s="267">
        <v>2879</v>
      </c>
      <c r="C2880" s="268" t="s">
        <v>252</v>
      </c>
      <c r="D2880" s="269">
        <v>42471</v>
      </c>
      <c r="E2880" s="270" t="s">
        <v>3582</v>
      </c>
      <c r="F2880" s="384">
        <v>332000</v>
      </c>
      <c r="G2880" s="270">
        <v>100338635</v>
      </c>
    </row>
    <row r="2881" spans="1:7" x14ac:dyDescent="0.25">
      <c r="A2881" s="257">
        <v>2885</v>
      </c>
      <c r="B2881" s="267">
        <v>2880</v>
      </c>
      <c r="C2881" s="268" t="s">
        <v>3209</v>
      </c>
      <c r="D2881" s="269">
        <v>42471</v>
      </c>
      <c r="E2881" s="270" t="s">
        <v>309</v>
      </c>
      <c r="F2881" s="384">
        <v>111000</v>
      </c>
      <c r="G2881" s="270">
        <v>691072211</v>
      </c>
    </row>
    <row r="2882" spans="1:7" x14ac:dyDescent="0.25">
      <c r="A2882" s="257">
        <v>2886</v>
      </c>
      <c r="B2882" s="267">
        <v>2881</v>
      </c>
      <c r="C2882" s="268" t="s">
        <v>3209</v>
      </c>
      <c r="D2882" s="269">
        <v>42471</v>
      </c>
      <c r="E2882" s="270" t="s">
        <v>309</v>
      </c>
      <c r="F2882" s="384">
        <v>80000</v>
      </c>
      <c r="G2882" s="270">
        <v>691072211</v>
      </c>
    </row>
    <row r="2883" spans="1:7" x14ac:dyDescent="0.25">
      <c r="A2883" s="257">
        <v>2887</v>
      </c>
      <c r="B2883" s="267">
        <v>2882</v>
      </c>
      <c r="C2883" s="268" t="s">
        <v>2436</v>
      </c>
      <c r="D2883" s="269">
        <v>42471</v>
      </c>
      <c r="E2883" s="270" t="s">
        <v>1703</v>
      </c>
      <c r="F2883" s="384">
        <v>284000</v>
      </c>
      <c r="G2883" s="270">
        <v>100826028</v>
      </c>
    </row>
    <row r="2884" spans="1:7" x14ac:dyDescent="0.25">
      <c r="A2884" s="257">
        <v>2888</v>
      </c>
      <c r="B2884" s="267">
        <v>2883</v>
      </c>
      <c r="C2884" s="268" t="s">
        <v>190</v>
      </c>
      <c r="D2884" s="269">
        <v>42471</v>
      </c>
      <c r="E2884" s="270" t="s">
        <v>188</v>
      </c>
      <c r="F2884" s="384">
        <v>332000</v>
      </c>
      <c r="G2884" s="270">
        <v>190270596</v>
      </c>
    </row>
    <row r="2885" spans="1:7" x14ac:dyDescent="0.25">
      <c r="A2885" s="257">
        <v>2889</v>
      </c>
      <c r="B2885" s="267">
        <v>2884</v>
      </c>
      <c r="C2885" s="268" t="s">
        <v>3243</v>
      </c>
      <c r="D2885" s="269">
        <v>42471</v>
      </c>
      <c r="E2885" s="270" t="s">
        <v>2719</v>
      </c>
      <c r="F2885" s="384">
        <v>235000</v>
      </c>
      <c r="G2885" s="270">
        <v>191116406</v>
      </c>
    </row>
    <row r="2886" spans="1:7" x14ac:dyDescent="0.25">
      <c r="A2886" s="257">
        <v>2890</v>
      </c>
      <c r="B2886" s="267">
        <v>2885</v>
      </c>
      <c r="C2886" s="268" t="s">
        <v>3247</v>
      </c>
      <c r="D2886" s="269">
        <v>42474</v>
      </c>
      <c r="E2886" s="270" t="s">
        <v>1634</v>
      </c>
      <c r="F2886" s="384">
        <v>195000</v>
      </c>
      <c r="G2886" s="270">
        <v>19238375</v>
      </c>
    </row>
    <row r="2887" spans="1:7" x14ac:dyDescent="0.25">
      <c r="A2887" s="257">
        <v>2891</v>
      </c>
      <c r="B2887" s="267">
        <v>2886</v>
      </c>
      <c r="C2887" s="268" t="s">
        <v>3658</v>
      </c>
      <c r="D2887" s="269">
        <v>42474</v>
      </c>
      <c r="E2887" s="270" t="s">
        <v>3552</v>
      </c>
      <c r="F2887" s="384">
        <v>184000</v>
      </c>
      <c r="G2887" s="270">
        <v>191569368</v>
      </c>
    </row>
    <row r="2888" spans="1:7" x14ac:dyDescent="0.25">
      <c r="A2888" s="257">
        <v>2892</v>
      </c>
      <c r="B2888" s="267">
        <v>2887</v>
      </c>
      <c r="C2888" s="268" t="s">
        <v>3658</v>
      </c>
      <c r="D2888" s="269">
        <v>42474</v>
      </c>
      <c r="E2888" s="270" t="s">
        <v>3552</v>
      </c>
      <c r="F2888" s="384">
        <v>332000</v>
      </c>
      <c r="G2888" s="270">
        <v>191569368</v>
      </c>
    </row>
    <row r="2889" spans="1:7" x14ac:dyDescent="0.25">
      <c r="A2889" s="257">
        <v>2893</v>
      </c>
      <c r="B2889" s="267">
        <v>2888</v>
      </c>
      <c r="C2889" s="268" t="s">
        <v>1928</v>
      </c>
      <c r="D2889" s="269">
        <v>42474</v>
      </c>
      <c r="E2889" s="270" t="s">
        <v>2801</v>
      </c>
      <c r="F2889" s="384">
        <v>516000</v>
      </c>
      <c r="G2889" s="270">
        <v>190334745</v>
      </c>
    </row>
    <row r="2890" spans="1:7" x14ac:dyDescent="0.25">
      <c r="A2890" s="257">
        <v>2894</v>
      </c>
      <c r="B2890" s="267">
        <v>2889</v>
      </c>
      <c r="C2890" s="268" t="s">
        <v>327</v>
      </c>
      <c r="D2890" s="269">
        <v>42474</v>
      </c>
      <c r="E2890" s="270" t="s">
        <v>516</v>
      </c>
      <c r="F2890" s="384">
        <v>516000</v>
      </c>
      <c r="G2890" s="270">
        <v>691591762</v>
      </c>
    </row>
    <row r="2891" spans="1:7" x14ac:dyDescent="0.25">
      <c r="A2891" s="257">
        <v>2895</v>
      </c>
      <c r="B2891" s="267">
        <v>2890</v>
      </c>
      <c r="C2891" s="268" t="s">
        <v>3773</v>
      </c>
      <c r="D2891" s="269">
        <v>42474</v>
      </c>
      <c r="E2891" s="270" t="s">
        <v>2415</v>
      </c>
      <c r="F2891" s="384">
        <v>184000</v>
      </c>
      <c r="G2891" s="270">
        <v>100315341</v>
      </c>
    </row>
    <row r="2892" spans="1:7" x14ac:dyDescent="0.25">
      <c r="A2892" s="257">
        <v>2896</v>
      </c>
      <c r="B2892" s="267">
        <v>2891</v>
      </c>
      <c r="C2892" s="268" t="s">
        <v>2104</v>
      </c>
      <c r="D2892" s="269">
        <v>42474</v>
      </c>
      <c r="E2892" s="270" t="s">
        <v>2736</v>
      </c>
      <c r="F2892" s="384">
        <v>332000</v>
      </c>
      <c r="G2892" s="270">
        <v>691780951</v>
      </c>
    </row>
    <row r="2893" spans="1:7" x14ac:dyDescent="0.25">
      <c r="A2893" s="257">
        <v>2897</v>
      </c>
      <c r="B2893" s="267">
        <v>2892</v>
      </c>
      <c r="C2893" s="268" t="s">
        <v>134</v>
      </c>
      <c r="D2893" s="269">
        <v>42474</v>
      </c>
      <c r="E2893" s="270" t="s">
        <v>3257</v>
      </c>
      <c r="F2893" s="384">
        <v>1701000</v>
      </c>
      <c r="G2893" s="270">
        <v>100099118</v>
      </c>
    </row>
    <row r="2894" spans="1:7" x14ac:dyDescent="0.25">
      <c r="A2894" s="257">
        <v>2898</v>
      </c>
      <c r="B2894" s="267">
        <v>2893</v>
      </c>
      <c r="C2894" s="268" t="s">
        <v>3247</v>
      </c>
      <c r="D2894" s="269">
        <v>42474</v>
      </c>
      <c r="E2894" s="270" t="s">
        <v>1634</v>
      </c>
      <c r="F2894" s="384">
        <v>80000</v>
      </c>
      <c r="G2894" s="270">
        <v>19238375</v>
      </c>
    </row>
    <row r="2895" spans="1:7" x14ac:dyDescent="0.25">
      <c r="A2895" s="257">
        <v>2899</v>
      </c>
      <c r="B2895" s="267">
        <v>2894</v>
      </c>
      <c r="C2895" s="268" t="s">
        <v>8</v>
      </c>
      <c r="D2895" s="269">
        <v>42474</v>
      </c>
      <c r="E2895" s="270" t="s">
        <v>2834</v>
      </c>
      <c r="F2895" s="384">
        <v>91000</v>
      </c>
      <c r="G2895" s="270">
        <v>190187145</v>
      </c>
    </row>
    <row r="2896" spans="1:7" x14ac:dyDescent="0.25">
      <c r="A2896" s="257">
        <v>2900</v>
      </c>
      <c r="B2896" s="267">
        <v>2895</v>
      </c>
      <c r="C2896" s="268" t="s">
        <v>315</v>
      </c>
      <c r="D2896" s="269">
        <v>42474</v>
      </c>
      <c r="E2896" s="270" t="s">
        <v>3862</v>
      </c>
      <c r="F2896" s="384">
        <v>4648000</v>
      </c>
      <c r="G2896" s="270">
        <v>601058802</v>
      </c>
    </row>
    <row r="2897" spans="1:7" x14ac:dyDescent="0.25">
      <c r="A2897" s="257">
        <v>2901</v>
      </c>
      <c r="B2897" s="267">
        <v>2896</v>
      </c>
      <c r="C2897" s="268" t="s">
        <v>494</v>
      </c>
      <c r="D2897" s="269">
        <v>42474</v>
      </c>
      <c r="E2897" s="270" t="s">
        <v>339</v>
      </c>
      <c r="F2897" s="384">
        <v>117000</v>
      </c>
      <c r="G2897" s="270">
        <v>690629013</v>
      </c>
    </row>
    <row r="2898" spans="1:7" x14ac:dyDescent="0.25">
      <c r="A2898" s="257">
        <v>2902</v>
      </c>
      <c r="B2898" s="267">
        <v>2897</v>
      </c>
      <c r="C2898" s="268" t="s">
        <v>2864</v>
      </c>
      <c r="D2898" s="269">
        <v>42475</v>
      </c>
      <c r="E2898" s="270" t="s">
        <v>2456</v>
      </c>
      <c r="F2898" s="384">
        <v>43000</v>
      </c>
      <c r="G2898" s="270">
        <v>100039768</v>
      </c>
    </row>
    <row r="2899" spans="1:7" x14ac:dyDescent="0.25">
      <c r="A2899" s="257">
        <v>2903</v>
      </c>
      <c r="B2899" s="267">
        <v>2898</v>
      </c>
      <c r="C2899" s="268" t="s">
        <v>2655</v>
      </c>
      <c r="D2899" s="269">
        <v>42475</v>
      </c>
      <c r="E2899" s="270" t="s">
        <v>2654</v>
      </c>
      <c r="F2899" s="384">
        <v>190000</v>
      </c>
      <c r="G2899" s="270">
        <v>800015299</v>
      </c>
    </row>
    <row r="2900" spans="1:7" x14ac:dyDescent="0.25">
      <c r="A2900" s="257">
        <v>2904</v>
      </c>
      <c r="B2900" s="267">
        <v>2899</v>
      </c>
      <c r="C2900" s="268" t="s">
        <v>327</v>
      </c>
      <c r="D2900" s="269">
        <v>42475</v>
      </c>
      <c r="E2900" s="270" t="s">
        <v>516</v>
      </c>
      <c r="F2900" s="384">
        <v>148000</v>
      </c>
      <c r="G2900" s="270">
        <v>691591762</v>
      </c>
    </row>
    <row r="2901" spans="1:7" x14ac:dyDescent="0.25">
      <c r="A2901" s="257">
        <v>2905</v>
      </c>
      <c r="B2901" s="267">
        <v>2900</v>
      </c>
      <c r="C2901" s="268" t="s">
        <v>1021</v>
      </c>
      <c r="D2901" s="269">
        <v>42475</v>
      </c>
      <c r="E2901" s="270" t="s">
        <v>320</v>
      </c>
      <c r="F2901" s="384">
        <v>516000</v>
      </c>
      <c r="G2901" s="270">
        <v>690831296</v>
      </c>
    </row>
    <row r="2902" spans="1:7" x14ac:dyDescent="0.25">
      <c r="A2902" s="257">
        <v>2906</v>
      </c>
      <c r="B2902" s="267">
        <v>2901</v>
      </c>
      <c r="C2902" s="268" t="s">
        <v>2864</v>
      </c>
      <c r="D2902" s="269">
        <v>42475</v>
      </c>
      <c r="E2902" s="270" t="s">
        <v>2456</v>
      </c>
      <c r="F2902" s="384">
        <v>195000</v>
      </c>
      <c r="G2902" s="270">
        <v>100039768</v>
      </c>
    </row>
    <row r="2903" spans="1:7" x14ac:dyDescent="0.25">
      <c r="A2903" s="257">
        <v>2907</v>
      </c>
      <c r="B2903" s="267">
        <v>2902</v>
      </c>
      <c r="C2903" s="268" t="s">
        <v>2690</v>
      </c>
      <c r="D2903" s="269">
        <v>42475</v>
      </c>
      <c r="E2903" s="270" t="s">
        <v>1649</v>
      </c>
      <c r="F2903" s="384">
        <v>332000</v>
      </c>
      <c r="G2903" s="270">
        <v>100051189</v>
      </c>
    </row>
    <row r="2904" spans="1:7" x14ac:dyDescent="0.25">
      <c r="A2904" s="257">
        <v>2908</v>
      </c>
      <c r="B2904" s="267">
        <v>2903</v>
      </c>
      <c r="C2904" s="268" t="s">
        <v>2145</v>
      </c>
      <c r="D2904" s="269">
        <v>42475</v>
      </c>
      <c r="E2904" s="270" t="s">
        <v>2354</v>
      </c>
      <c r="F2904" s="384">
        <v>284000</v>
      </c>
      <c r="G2904" s="270">
        <v>691593313</v>
      </c>
    </row>
    <row r="2905" spans="1:7" x14ac:dyDescent="0.25">
      <c r="A2905" s="257">
        <v>2909</v>
      </c>
      <c r="B2905" s="267">
        <v>2904</v>
      </c>
      <c r="C2905" s="268" t="s">
        <v>327</v>
      </c>
      <c r="D2905" s="269">
        <v>42476</v>
      </c>
      <c r="E2905" s="270" t="s">
        <v>516</v>
      </c>
      <c r="F2905" s="384">
        <v>74000</v>
      </c>
      <c r="G2905" s="270">
        <v>691591762</v>
      </c>
    </row>
    <row r="2906" spans="1:7" x14ac:dyDescent="0.25">
      <c r="A2906" s="257">
        <v>2910</v>
      </c>
      <c r="B2906" s="267">
        <v>2905</v>
      </c>
      <c r="C2906" s="268" t="s">
        <v>2655</v>
      </c>
      <c r="D2906" s="269">
        <v>42476</v>
      </c>
      <c r="E2906" s="270" t="s">
        <v>2654</v>
      </c>
      <c r="F2906" s="384">
        <v>195000</v>
      </c>
      <c r="G2906" s="270">
        <v>800015299</v>
      </c>
    </row>
    <row r="2907" spans="1:7" x14ac:dyDescent="0.25">
      <c r="A2907" s="257">
        <v>2911</v>
      </c>
      <c r="B2907" s="267">
        <v>2906</v>
      </c>
      <c r="C2907" s="268" t="s">
        <v>3133</v>
      </c>
      <c r="D2907" s="269">
        <v>42478</v>
      </c>
      <c r="E2907" s="270" t="s">
        <v>3587</v>
      </c>
      <c r="F2907" s="384">
        <v>235000</v>
      </c>
      <c r="G2907" s="270">
        <v>101254783</v>
      </c>
    </row>
    <row r="2908" spans="1:7" x14ac:dyDescent="0.25">
      <c r="A2908" s="257">
        <v>2912</v>
      </c>
      <c r="B2908" s="267">
        <v>2907</v>
      </c>
      <c r="C2908" s="268" t="s">
        <v>2380</v>
      </c>
      <c r="D2908" s="269">
        <v>42478</v>
      </c>
      <c r="E2908" s="270" t="s">
        <v>2379</v>
      </c>
      <c r="F2908" s="384">
        <v>252000</v>
      </c>
      <c r="G2908" s="270">
        <v>190664298</v>
      </c>
    </row>
    <row r="2909" spans="1:7" x14ac:dyDescent="0.25">
      <c r="A2909" s="257">
        <v>2913</v>
      </c>
      <c r="B2909" s="267">
        <v>2908</v>
      </c>
      <c r="C2909" s="268" t="s">
        <v>3258</v>
      </c>
      <c r="D2909" s="269">
        <v>42479</v>
      </c>
      <c r="E2909" s="270" t="s">
        <v>2689</v>
      </c>
      <c r="F2909" s="384">
        <v>332000</v>
      </c>
      <c r="G2909" s="270">
        <v>690843964</v>
      </c>
    </row>
    <row r="2910" spans="1:7" x14ac:dyDescent="0.25">
      <c r="A2910" s="257">
        <v>2914</v>
      </c>
      <c r="B2910" s="267">
        <v>2909</v>
      </c>
      <c r="C2910" s="268" t="s">
        <v>2154</v>
      </c>
      <c r="D2910" s="269">
        <v>42479</v>
      </c>
      <c r="E2910" s="270" t="s">
        <v>2153</v>
      </c>
      <c r="F2910" s="384">
        <v>516000</v>
      </c>
      <c r="G2910" s="270">
        <v>192629108</v>
      </c>
    </row>
    <row r="2911" spans="1:7" x14ac:dyDescent="0.25">
      <c r="A2911" s="257">
        <v>2915</v>
      </c>
      <c r="B2911" s="267">
        <v>2910</v>
      </c>
      <c r="C2911" s="268" t="s">
        <v>802</v>
      </c>
      <c r="D2911" s="269">
        <v>42479</v>
      </c>
      <c r="E2911" s="270" t="s">
        <v>1641</v>
      </c>
      <c r="F2911" s="384">
        <v>284000</v>
      </c>
      <c r="G2911" s="270">
        <v>100135464</v>
      </c>
    </row>
    <row r="2912" spans="1:7" x14ac:dyDescent="0.25">
      <c r="A2912" s="257">
        <v>2916</v>
      </c>
      <c r="B2912" s="267">
        <v>2911</v>
      </c>
      <c r="C2912" s="268" t="s">
        <v>2963</v>
      </c>
      <c r="D2912" s="269">
        <v>42479</v>
      </c>
      <c r="E2912" s="270" t="s">
        <v>220</v>
      </c>
      <c r="F2912" s="384">
        <v>1134000</v>
      </c>
      <c r="G2912" s="270">
        <v>100230496</v>
      </c>
    </row>
    <row r="2913" spans="1:7" x14ac:dyDescent="0.25">
      <c r="A2913" s="257">
        <v>2917</v>
      </c>
      <c r="B2913" s="267">
        <v>2912</v>
      </c>
      <c r="C2913" s="268" t="s">
        <v>3734</v>
      </c>
      <c r="D2913" s="269">
        <v>42479</v>
      </c>
      <c r="E2913" s="270" t="s">
        <v>2358</v>
      </c>
      <c r="F2913" s="384">
        <v>184000</v>
      </c>
      <c r="G2913" s="270">
        <v>800008903</v>
      </c>
    </row>
    <row r="2914" spans="1:7" x14ac:dyDescent="0.25">
      <c r="A2914" s="257">
        <v>2918</v>
      </c>
      <c r="B2914" s="267">
        <v>2913</v>
      </c>
      <c r="C2914" s="268" t="s">
        <v>3326</v>
      </c>
      <c r="D2914" s="269">
        <v>42479</v>
      </c>
      <c r="E2914" s="270" t="s">
        <v>164</v>
      </c>
      <c r="F2914" s="384">
        <v>284000</v>
      </c>
      <c r="G2914" s="270">
        <v>100534485</v>
      </c>
    </row>
    <row r="2915" spans="1:7" x14ac:dyDescent="0.25">
      <c r="A2915" s="257">
        <v>2919</v>
      </c>
      <c r="B2915" s="267">
        <v>2914</v>
      </c>
      <c r="C2915" s="268" t="s">
        <v>2154</v>
      </c>
      <c r="D2915" s="269">
        <v>42479</v>
      </c>
      <c r="E2915" s="270" t="s">
        <v>3124</v>
      </c>
      <c r="F2915" s="384">
        <v>332000</v>
      </c>
      <c r="G2915" s="270">
        <v>100233681</v>
      </c>
    </row>
    <row r="2916" spans="1:7" x14ac:dyDescent="0.25">
      <c r="A2916" s="257">
        <v>2920</v>
      </c>
      <c r="B2916" s="267">
        <v>2915</v>
      </c>
      <c r="C2916" s="268" t="s">
        <v>1674</v>
      </c>
      <c r="D2916" s="269">
        <v>42479</v>
      </c>
      <c r="E2916" s="270" t="s">
        <v>2077</v>
      </c>
      <c r="F2916" s="384">
        <v>712000</v>
      </c>
      <c r="G2916" s="270">
        <v>100124836</v>
      </c>
    </row>
    <row r="2917" spans="1:7" x14ac:dyDescent="0.25">
      <c r="A2917" s="257">
        <v>2921</v>
      </c>
      <c r="B2917" s="267">
        <v>2916</v>
      </c>
      <c r="C2917" s="268" t="s">
        <v>1696</v>
      </c>
      <c r="D2917" s="269">
        <v>42479</v>
      </c>
      <c r="E2917" s="270" t="s">
        <v>1768</v>
      </c>
      <c r="F2917" s="384">
        <v>80000</v>
      </c>
      <c r="G2917" s="270">
        <v>100104712</v>
      </c>
    </row>
    <row r="2918" spans="1:7" x14ac:dyDescent="0.25">
      <c r="A2918" s="257">
        <v>2922</v>
      </c>
      <c r="B2918" s="267">
        <v>2917</v>
      </c>
      <c r="C2918" s="268" t="s">
        <v>2889</v>
      </c>
      <c r="D2918" s="269">
        <v>42479</v>
      </c>
      <c r="E2918" s="270" t="s">
        <v>523</v>
      </c>
      <c r="F2918" s="384">
        <v>332000</v>
      </c>
      <c r="G2918" s="270">
        <v>691539111</v>
      </c>
    </row>
    <row r="2919" spans="1:7" x14ac:dyDescent="0.25">
      <c r="A2919" s="257">
        <v>2923</v>
      </c>
      <c r="B2919" s="267">
        <v>2918</v>
      </c>
      <c r="C2919" s="268" t="s">
        <v>476</v>
      </c>
      <c r="D2919" s="269">
        <v>42480</v>
      </c>
      <c r="E2919" s="270" t="s">
        <v>475</v>
      </c>
      <c r="F2919" s="384">
        <v>190000</v>
      </c>
      <c r="G2919" s="270">
        <v>101481594</v>
      </c>
    </row>
    <row r="2920" spans="1:7" x14ac:dyDescent="0.25">
      <c r="A2920" s="257">
        <v>2924</v>
      </c>
      <c r="B2920" s="267">
        <v>2919</v>
      </c>
      <c r="C2920" s="268" t="s">
        <v>3501</v>
      </c>
      <c r="D2920" s="269">
        <v>42480</v>
      </c>
      <c r="E2920" s="270" t="s">
        <v>2411</v>
      </c>
      <c r="F2920" s="384">
        <v>117000</v>
      </c>
      <c r="G2920" s="270">
        <v>100349860</v>
      </c>
    </row>
    <row r="2921" spans="1:7" x14ac:dyDescent="0.25">
      <c r="A2921" s="257">
        <v>2925</v>
      </c>
      <c r="B2921" s="267">
        <v>2920</v>
      </c>
      <c r="C2921" s="268" t="s">
        <v>2684</v>
      </c>
      <c r="D2921" s="269">
        <v>42480</v>
      </c>
      <c r="E2921" s="270" t="s">
        <v>2805</v>
      </c>
      <c r="F2921" s="384">
        <v>235000</v>
      </c>
      <c r="G2921" s="270">
        <v>101107946</v>
      </c>
    </row>
    <row r="2922" spans="1:7" x14ac:dyDescent="0.25">
      <c r="A2922" s="257">
        <v>2926</v>
      </c>
      <c r="B2922" s="267">
        <v>2921</v>
      </c>
      <c r="C2922" s="268" t="s">
        <v>190</v>
      </c>
      <c r="D2922" s="269">
        <v>42480</v>
      </c>
      <c r="E2922" s="270" t="s">
        <v>188</v>
      </c>
      <c r="F2922" s="384">
        <v>332000</v>
      </c>
      <c r="G2922" s="270">
        <v>190270596</v>
      </c>
    </row>
    <row r="2923" spans="1:7" x14ac:dyDescent="0.25">
      <c r="A2923" s="257">
        <v>2927</v>
      </c>
      <c r="B2923" s="267">
        <v>2922</v>
      </c>
      <c r="C2923" s="268" t="s">
        <v>3653</v>
      </c>
      <c r="D2923" s="269">
        <v>42481</v>
      </c>
      <c r="E2923" s="270" t="s">
        <v>360</v>
      </c>
      <c r="F2923" s="384">
        <v>72000</v>
      </c>
      <c r="G2923" s="270">
        <v>600212109</v>
      </c>
    </row>
    <row r="2924" spans="1:7" x14ac:dyDescent="0.25">
      <c r="A2924" s="257">
        <v>2928</v>
      </c>
      <c r="B2924" s="267">
        <v>2923</v>
      </c>
      <c r="C2924" s="268" t="s">
        <v>1949</v>
      </c>
      <c r="D2924" s="269">
        <v>42481</v>
      </c>
      <c r="E2924" s="270" t="s">
        <v>1702</v>
      </c>
      <c r="F2924" s="384">
        <v>284000</v>
      </c>
      <c r="G2924" s="270">
        <v>100315395</v>
      </c>
    </row>
    <row r="2925" spans="1:7" x14ac:dyDescent="0.25">
      <c r="A2925" s="257">
        <v>2929</v>
      </c>
      <c r="B2925" s="267">
        <v>2924</v>
      </c>
      <c r="C2925" s="268" t="s">
        <v>2104</v>
      </c>
      <c r="D2925" s="269">
        <v>42481</v>
      </c>
      <c r="E2925" s="270" t="s">
        <v>2736</v>
      </c>
      <c r="F2925" s="384">
        <v>1103000</v>
      </c>
      <c r="G2925" s="270">
        <v>691780951</v>
      </c>
    </row>
    <row r="2926" spans="1:7" x14ac:dyDescent="0.25">
      <c r="A2926" s="257">
        <v>2930</v>
      </c>
      <c r="B2926" s="267">
        <v>2925</v>
      </c>
      <c r="C2926" s="268" t="s">
        <v>1049</v>
      </c>
      <c r="D2926" s="269">
        <v>42481</v>
      </c>
      <c r="E2926" s="270" t="s">
        <v>329</v>
      </c>
      <c r="F2926" s="384">
        <v>284000</v>
      </c>
      <c r="G2926" s="270">
        <v>190800080</v>
      </c>
    </row>
    <row r="2927" spans="1:7" x14ac:dyDescent="0.25">
      <c r="A2927" s="257">
        <v>2931</v>
      </c>
      <c r="B2927" s="267">
        <v>2926</v>
      </c>
      <c r="C2927" s="268" t="s">
        <v>680</v>
      </c>
      <c r="D2927" s="269">
        <v>42481</v>
      </c>
      <c r="E2927" s="270" t="s">
        <v>3598</v>
      </c>
      <c r="F2927" s="384">
        <v>516000</v>
      </c>
      <c r="G2927" s="270">
        <v>190221603</v>
      </c>
    </row>
    <row r="2928" spans="1:7" x14ac:dyDescent="0.25">
      <c r="A2928" s="257">
        <v>2932</v>
      </c>
      <c r="B2928" s="267">
        <v>2927</v>
      </c>
      <c r="C2928" s="268" t="s">
        <v>1696</v>
      </c>
      <c r="D2928" s="269">
        <v>42481</v>
      </c>
      <c r="E2928" s="270" t="s">
        <v>1768</v>
      </c>
      <c r="F2928" s="384">
        <v>111000</v>
      </c>
      <c r="G2928" s="270">
        <v>100104712</v>
      </c>
    </row>
    <row r="2929" spans="1:7" x14ac:dyDescent="0.25">
      <c r="A2929" s="257">
        <v>2933</v>
      </c>
      <c r="B2929" s="267">
        <v>2928</v>
      </c>
      <c r="C2929" s="268" t="s">
        <v>2618</v>
      </c>
      <c r="D2929" s="269">
        <v>42482</v>
      </c>
      <c r="E2929" s="270" t="s">
        <v>1622</v>
      </c>
      <c r="F2929" s="384">
        <v>516000</v>
      </c>
      <c r="G2929" s="270">
        <v>190513098</v>
      </c>
    </row>
    <row r="2930" spans="1:7" x14ac:dyDescent="0.25">
      <c r="A2930" s="257">
        <v>2934</v>
      </c>
      <c r="B2930" s="267">
        <v>2929</v>
      </c>
      <c r="C2930" s="268" t="s">
        <v>1941</v>
      </c>
      <c r="D2930" s="269">
        <v>42482</v>
      </c>
      <c r="E2930" s="270" t="s">
        <v>2871</v>
      </c>
      <c r="F2930" s="384">
        <v>1992000</v>
      </c>
      <c r="G2930" s="270">
        <v>101015738</v>
      </c>
    </row>
    <row r="2931" spans="1:7" x14ac:dyDescent="0.25">
      <c r="A2931" s="257">
        <v>2935</v>
      </c>
      <c r="B2931" s="267">
        <v>2930</v>
      </c>
      <c r="C2931" s="268" t="s">
        <v>1659</v>
      </c>
      <c r="D2931" s="269">
        <v>42482</v>
      </c>
      <c r="E2931" s="270" t="s">
        <v>344</v>
      </c>
      <c r="F2931" s="384">
        <v>190000</v>
      </c>
      <c r="G2931" s="270">
        <v>601062727</v>
      </c>
    </row>
    <row r="2932" spans="1:7" x14ac:dyDescent="0.25">
      <c r="A2932" s="257">
        <v>2936</v>
      </c>
      <c r="B2932" s="267">
        <v>2931</v>
      </c>
      <c r="C2932" s="268" t="s">
        <v>2687</v>
      </c>
      <c r="D2932" s="269">
        <v>42482</v>
      </c>
      <c r="E2932" s="270" t="s">
        <v>2775</v>
      </c>
      <c r="F2932" s="384">
        <v>332000</v>
      </c>
      <c r="G2932" s="270">
        <v>691301525</v>
      </c>
    </row>
    <row r="2933" spans="1:7" x14ac:dyDescent="0.25">
      <c r="A2933" s="257">
        <v>2937</v>
      </c>
      <c r="B2933" s="267">
        <v>2932</v>
      </c>
      <c r="C2933" s="268" t="s">
        <v>935</v>
      </c>
      <c r="D2933" s="269">
        <v>42482</v>
      </c>
      <c r="E2933" s="270" t="s">
        <v>3125</v>
      </c>
      <c r="F2933" s="384">
        <v>332000</v>
      </c>
      <c r="G2933" s="270">
        <v>192611848</v>
      </c>
    </row>
    <row r="2934" spans="1:7" x14ac:dyDescent="0.25">
      <c r="A2934" s="257">
        <v>2938</v>
      </c>
      <c r="B2934" s="267">
        <v>2933</v>
      </c>
      <c r="C2934" s="268" t="s">
        <v>2366</v>
      </c>
      <c r="D2934" s="269">
        <v>42482</v>
      </c>
      <c r="E2934" s="270" t="s">
        <v>873</v>
      </c>
      <c r="F2934" s="384">
        <v>516000</v>
      </c>
      <c r="G2934" s="270">
        <v>691523415</v>
      </c>
    </row>
    <row r="2935" spans="1:7" x14ac:dyDescent="0.25">
      <c r="A2935" s="257">
        <v>2939</v>
      </c>
      <c r="B2935" s="267">
        <v>2934</v>
      </c>
      <c r="C2935" s="268" t="s">
        <v>2889</v>
      </c>
      <c r="D2935" s="269">
        <v>42482</v>
      </c>
      <c r="E2935" s="270" t="s">
        <v>523</v>
      </c>
      <c r="F2935" s="384">
        <v>332000</v>
      </c>
      <c r="G2935" s="270">
        <v>691539111</v>
      </c>
    </row>
    <row r="2936" spans="1:7" x14ac:dyDescent="0.25">
      <c r="A2936" s="257">
        <v>2940</v>
      </c>
      <c r="B2936" s="267">
        <v>2935</v>
      </c>
      <c r="C2936" s="268" t="s">
        <v>1909</v>
      </c>
      <c r="D2936" s="269">
        <v>42485</v>
      </c>
      <c r="E2936" s="270" t="s">
        <v>2759</v>
      </c>
      <c r="F2936" s="384">
        <v>332000</v>
      </c>
      <c r="G2936" s="270">
        <v>691784176</v>
      </c>
    </row>
    <row r="2937" spans="1:7" x14ac:dyDescent="0.25">
      <c r="A2937" s="257">
        <v>2941</v>
      </c>
      <c r="B2937" s="267">
        <v>2936</v>
      </c>
      <c r="C2937" s="268" t="s">
        <v>1688</v>
      </c>
      <c r="D2937" s="269">
        <v>42485</v>
      </c>
      <c r="E2937" s="270" t="s">
        <v>498</v>
      </c>
      <c r="F2937" s="384">
        <v>190000</v>
      </c>
      <c r="G2937" s="270">
        <v>190970908</v>
      </c>
    </row>
    <row r="2938" spans="1:7" x14ac:dyDescent="0.25">
      <c r="A2938" s="257">
        <v>2942</v>
      </c>
      <c r="B2938" s="267">
        <v>2937</v>
      </c>
      <c r="C2938" s="268" t="s">
        <v>2446</v>
      </c>
      <c r="D2938" s="269">
        <v>42485</v>
      </c>
      <c r="E2938" s="270" t="s">
        <v>3590</v>
      </c>
      <c r="F2938" s="384">
        <v>152000</v>
      </c>
      <c r="G2938" s="270">
        <v>691571317</v>
      </c>
    </row>
    <row r="2939" spans="1:7" x14ac:dyDescent="0.25">
      <c r="A2939" s="257">
        <v>2943</v>
      </c>
      <c r="B2939" s="267">
        <v>2938</v>
      </c>
      <c r="C2939" s="268" t="s">
        <v>2889</v>
      </c>
      <c r="D2939" s="269">
        <v>42485</v>
      </c>
      <c r="E2939" s="270" t="s">
        <v>523</v>
      </c>
      <c r="F2939" s="384">
        <v>43000</v>
      </c>
      <c r="G2939" s="270">
        <v>691539111</v>
      </c>
    </row>
    <row r="2940" spans="1:7" x14ac:dyDescent="0.25">
      <c r="A2940" s="257">
        <v>2944</v>
      </c>
      <c r="B2940" s="267">
        <v>2939</v>
      </c>
      <c r="C2940" s="268" t="s">
        <v>992</v>
      </c>
      <c r="D2940" s="269">
        <v>42486</v>
      </c>
      <c r="E2940" s="270" t="s">
        <v>2692</v>
      </c>
      <c r="F2940" s="384">
        <v>235000</v>
      </c>
      <c r="G2940" s="270">
        <v>691454399</v>
      </c>
    </row>
    <row r="2941" spans="1:7" x14ac:dyDescent="0.25">
      <c r="A2941" s="257">
        <v>2945</v>
      </c>
      <c r="B2941" s="267">
        <v>2940</v>
      </c>
      <c r="C2941" s="268" t="s">
        <v>2166</v>
      </c>
      <c r="D2941" s="269">
        <v>42486</v>
      </c>
      <c r="E2941" s="270" t="s">
        <v>1685</v>
      </c>
      <c r="F2941" s="384">
        <v>332000</v>
      </c>
      <c r="G2941" s="270">
        <v>100315326</v>
      </c>
    </row>
    <row r="2942" spans="1:7" x14ac:dyDescent="0.25">
      <c r="A2942" s="257">
        <v>2946</v>
      </c>
      <c r="B2942" s="267">
        <v>2941</v>
      </c>
      <c r="C2942" s="268" t="s">
        <v>513</v>
      </c>
      <c r="D2942" s="269">
        <v>42486</v>
      </c>
      <c r="E2942" s="270" t="s">
        <v>1122</v>
      </c>
      <c r="F2942" s="384">
        <v>190000</v>
      </c>
      <c r="G2942" s="270">
        <v>191734267</v>
      </c>
    </row>
    <row r="2943" spans="1:7" x14ac:dyDescent="0.25">
      <c r="A2943" s="257">
        <v>2947</v>
      </c>
      <c r="B2943" s="267">
        <v>2942</v>
      </c>
      <c r="C2943" s="268" t="s">
        <v>2966</v>
      </c>
      <c r="D2943" s="269">
        <v>42486</v>
      </c>
      <c r="E2943" s="270" t="s">
        <v>2885</v>
      </c>
      <c r="F2943" s="384">
        <v>1032000</v>
      </c>
      <c r="G2943" s="270">
        <v>691132355</v>
      </c>
    </row>
    <row r="2944" spans="1:7" x14ac:dyDescent="0.25">
      <c r="A2944" s="257">
        <v>2948</v>
      </c>
      <c r="B2944" s="267">
        <v>2943</v>
      </c>
      <c r="C2944" s="268" t="s">
        <v>2779</v>
      </c>
      <c r="D2944" s="269">
        <v>42486</v>
      </c>
      <c r="E2944" s="270" t="s">
        <v>2159</v>
      </c>
      <c r="F2944" s="384">
        <v>1660000</v>
      </c>
      <c r="G2944" s="270">
        <v>100345786</v>
      </c>
    </row>
    <row r="2945" spans="1:7" x14ac:dyDescent="0.25">
      <c r="A2945" s="257">
        <v>2949</v>
      </c>
      <c r="B2945" s="267">
        <v>2944</v>
      </c>
      <c r="C2945" s="268" t="s">
        <v>3550</v>
      </c>
      <c r="D2945" s="269">
        <v>42486</v>
      </c>
      <c r="E2945" s="270" t="s">
        <v>2676</v>
      </c>
      <c r="F2945" s="384">
        <v>516000</v>
      </c>
      <c r="G2945" s="270">
        <v>690594220</v>
      </c>
    </row>
    <row r="2946" spans="1:7" x14ac:dyDescent="0.25">
      <c r="A2946" s="257">
        <v>2950</v>
      </c>
      <c r="B2946" s="267">
        <v>2945</v>
      </c>
      <c r="C2946" s="268" t="s">
        <v>978</v>
      </c>
      <c r="D2946" s="269">
        <v>42486</v>
      </c>
      <c r="E2946" s="270" t="s">
        <v>847</v>
      </c>
      <c r="F2946" s="384">
        <v>139000</v>
      </c>
      <c r="G2946" s="270">
        <v>190853326</v>
      </c>
    </row>
    <row r="2947" spans="1:7" x14ac:dyDescent="0.25">
      <c r="A2947" s="257">
        <v>2951</v>
      </c>
      <c r="B2947" s="267">
        <v>2946</v>
      </c>
      <c r="C2947" s="268" t="s">
        <v>3281</v>
      </c>
      <c r="D2947" s="269">
        <v>42486</v>
      </c>
      <c r="E2947" s="270" t="s">
        <v>2875</v>
      </c>
      <c r="F2947" s="384">
        <v>516000</v>
      </c>
      <c r="G2947" s="270">
        <v>190996805</v>
      </c>
    </row>
    <row r="2948" spans="1:7" x14ac:dyDescent="0.25">
      <c r="A2948" s="257">
        <v>2952</v>
      </c>
      <c r="B2948" s="267">
        <v>2947</v>
      </c>
      <c r="C2948" s="268" t="s">
        <v>3657</v>
      </c>
      <c r="D2948" s="269">
        <v>42487</v>
      </c>
      <c r="E2948" s="270" t="s">
        <v>362</v>
      </c>
      <c r="F2948" s="384">
        <v>1032000</v>
      </c>
      <c r="G2948" s="270">
        <v>100099082</v>
      </c>
    </row>
    <row r="2949" spans="1:7" x14ac:dyDescent="0.25">
      <c r="A2949" s="257">
        <v>2953</v>
      </c>
      <c r="B2949" s="267">
        <v>2948</v>
      </c>
      <c r="C2949" s="268" t="s">
        <v>3554</v>
      </c>
      <c r="D2949" s="269">
        <v>42487</v>
      </c>
      <c r="E2949" s="270" t="s">
        <v>3291</v>
      </c>
      <c r="F2949" s="384">
        <v>356000</v>
      </c>
      <c r="G2949" s="270">
        <v>100054851</v>
      </c>
    </row>
    <row r="2950" spans="1:7" x14ac:dyDescent="0.25">
      <c r="A2950" s="257">
        <v>2954</v>
      </c>
      <c r="B2950" s="267">
        <v>2949</v>
      </c>
      <c r="C2950" s="268" t="s">
        <v>386</v>
      </c>
      <c r="D2950" s="269">
        <v>42487</v>
      </c>
      <c r="E2950" s="270" t="s">
        <v>1951</v>
      </c>
      <c r="F2950" s="384">
        <v>190000</v>
      </c>
      <c r="G2950" s="270">
        <v>400424686</v>
      </c>
    </row>
    <row r="2951" spans="1:7" x14ac:dyDescent="0.25">
      <c r="A2951" s="257">
        <v>2955</v>
      </c>
      <c r="B2951" s="267">
        <v>2950</v>
      </c>
      <c r="C2951" s="268" t="s">
        <v>1917</v>
      </c>
      <c r="D2951" s="269">
        <v>42487</v>
      </c>
      <c r="E2951" s="270" t="s">
        <v>874</v>
      </c>
      <c r="F2951" s="384">
        <v>516000</v>
      </c>
      <c r="G2951" s="270">
        <v>191360926</v>
      </c>
    </row>
    <row r="2952" spans="1:7" x14ac:dyDescent="0.25">
      <c r="A2952" s="257">
        <v>2956</v>
      </c>
      <c r="B2952" s="267">
        <v>2951</v>
      </c>
      <c r="C2952" s="268" t="s">
        <v>3326</v>
      </c>
      <c r="D2952" s="269">
        <v>42487</v>
      </c>
      <c r="E2952" s="270" t="s">
        <v>164</v>
      </c>
      <c r="F2952" s="384">
        <v>8300000</v>
      </c>
      <c r="G2952" s="270">
        <v>100534485</v>
      </c>
    </row>
    <row r="2953" spans="1:7" x14ac:dyDescent="0.25">
      <c r="A2953" s="257">
        <v>2957</v>
      </c>
      <c r="B2953" s="267">
        <v>2952</v>
      </c>
      <c r="C2953" s="268" t="s">
        <v>3550</v>
      </c>
      <c r="D2953" s="269">
        <v>42487</v>
      </c>
      <c r="E2953" s="270" t="s">
        <v>2676</v>
      </c>
      <c r="F2953" s="384">
        <v>516000</v>
      </c>
      <c r="G2953" s="270">
        <v>690594220</v>
      </c>
    </row>
    <row r="2954" spans="1:7" x14ac:dyDescent="0.25">
      <c r="A2954" s="257">
        <v>2958</v>
      </c>
      <c r="B2954" s="267">
        <v>2953</v>
      </c>
      <c r="C2954" s="268" t="s">
        <v>2675</v>
      </c>
      <c r="D2954" s="269">
        <v>42488</v>
      </c>
      <c r="E2954" s="270" t="s">
        <v>837</v>
      </c>
      <c r="F2954" s="384">
        <v>190000</v>
      </c>
      <c r="G2954" s="270">
        <v>101449345</v>
      </c>
    </row>
    <row r="2955" spans="1:7" x14ac:dyDescent="0.25">
      <c r="A2955" s="257">
        <v>2959</v>
      </c>
      <c r="B2955" s="267">
        <v>2954</v>
      </c>
      <c r="C2955" s="268" t="s">
        <v>2143</v>
      </c>
      <c r="D2955" s="269">
        <v>42488</v>
      </c>
      <c r="E2955" s="270" t="s">
        <v>1927</v>
      </c>
      <c r="F2955" s="384">
        <v>74000</v>
      </c>
      <c r="G2955" s="270">
        <v>190032958</v>
      </c>
    </row>
    <row r="2956" spans="1:7" x14ac:dyDescent="0.25">
      <c r="A2956" s="257">
        <v>2960</v>
      </c>
      <c r="B2956" s="267">
        <v>2955</v>
      </c>
      <c r="C2956" s="268" t="s">
        <v>202</v>
      </c>
      <c r="D2956" s="269">
        <v>42488</v>
      </c>
      <c r="E2956" s="270" t="s">
        <v>1701</v>
      </c>
      <c r="F2956" s="384">
        <v>37000</v>
      </c>
      <c r="G2956" s="270">
        <v>100984075</v>
      </c>
    </row>
    <row r="2957" spans="1:7" x14ac:dyDescent="0.25">
      <c r="A2957" s="257">
        <v>2961</v>
      </c>
      <c r="B2957" s="267">
        <v>2956</v>
      </c>
      <c r="C2957" s="268" t="s">
        <v>1674</v>
      </c>
      <c r="D2957" s="269">
        <v>42488</v>
      </c>
      <c r="E2957" s="270" t="s">
        <v>2077</v>
      </c>
      <c r="F2957" s="384">
        <v>712000</v>
      </c>
      <c r="G2957" s="270">
        <v>100124836</v>
      </c>
    </row>
    <row r="2958" spans="1:7" x14ac:dyDescent="0.25">
      <c r="A2958" s="257">
        <v>2962</v>
      </c>
      <c r="B2958" s="267">
        <v>2957</v>
      </c>
      <c r="C2958" s="268" t="s">
        <v>1928</v>
      </c>
      <c r="D2958" s="269">
        <v>42488</v>
      </c>
      <c r="E2958" s="270" t="s">
        <v>2801</v>
      </c>
      <c r="F2958" s="384">
        <v>332000</v>
      </c>
      <c r="G2958" s="270">
        <v>190334745</v>
      </c>
    </row>
    <row r="2959" spans="1:7" x14ac:dyDescent="0.25">
      <c r="A2959" s="257">
        <v>2963</v>
      </c>
      <c r="B2959" s="267">
        <v>2958</v>
      </c>
      <c r="C2959" s="268" t="s">
        <v>3326</v>
      </c>
      <c r="D2959" s="269">
        <v>42489</v>
      </c>
      <c r="E2959" s="270" t="s">
        <v>164</v>
      </c>
      <c r="F2959" s="384">
        <v>3984000</v>
      </c>
      <c r="G2959" s="270">
        <v>100534485</v>
      </c>
    </row>
    <row r="2960" spans="1:7" x14ac:dyDescent="0.25">
      <c r="A2960" s="257">
        <v>2964</v>
      </c>
      <c r="B2960" s="267">
        <v>2959</v>
      </c>
      <c r="C2960" s="268" t="s">
        <v>3500</v>
      </c>
      <c r="D2960" s="269">
        <v>42489</v>
      </c>
      <c r="E2960" s="270" t="s">
        <v>3499</v>
      </c>
      <c r="F2960" s="384">
        <v>516000</v>
      </c>
      <c r="G2960" s="270">
        <v>191791149</v>
      </c>
    </row>
    <row r="2961" spans="1:7" x14ac:dyDescent="0.25">
      <c r="A2961" s="257">
        <v>2965</v>
      </c>
      <c r="B2961" s="267">
        <v>2960</v>
      </c>
      <c r="C2961" s="268" t="s">
        <v>1949</v>
      </c>
      <c r="D2961" s="269">
        <v>42489</v>
      </c>
      <c r="E2961" s="270" t="s">
        <v>1702</v>
      </c>
      <c r="F2961" s="384">
        <v>80000</v>
      </c>
      <c r="G2961" s="270">
        <v>100315395</v>
      </c>
    </row>
    <row r="2962" spans="1:7" x14ac:dyDescent="0.25">
      <c r="A2962" s="257">
        <v>2966</v>
      </c>
      <c r="B2962" s="267">
        <v>2961</v>
      </c>
      <c r="C2962" s="268" t="s">
        <v>318</v>
      </c>
      <c r="D2962" s="269">
        <v>42489</v>
      </c>
      <c r="E2962" s="270" t="s">
        <v>4226</v>
      </c>
      <c r="F2962" s="384">
        <v>235000</v>
      </c>
      <c r="G2962" s="270">
        <v>191112043</v>
      </c>
    </row>
    <row r="2963" spans="1:7" x14ac:dyDescent="0.25">
      <c r="A2963" s="257">
        <v>2967</v>
      </c>
      <c r="B2963" s="267">
        <v>2962</v>
      </c>
      <c r="C2963" s="268" t="s">
        <v>195</v>
      </c>
      <c r="D2963" s="269">
        <v>42489</v>
      </c>
      <c r="E2963" s="270" t="s">
        <v>194</v>
      </c>
      <c r="F2963" s="384">
        <v>154000</v>
      </c>
      <c r="G2963" s="270">
        <v>100067998</v>
      </c>
    </row>
    <row r="2964" spans="1:7" x14ac:dyDescent="0.25">
      <c r="A2964" s="257">
        <v>2968</v>
      </c>
      <c r="B2964" s="267">
        <v>2963</v>
      </c>
      <c r="C2964" s="268" t="s">
        <v>2829</v>
      </c>
      <c r="D2964" s="269">
        <v>42489</v>
      </c>
      <c r="E2964" s="270" t="s">
        <v>70</v>
      </c>
      <c r="F2964" s="384">
        <v>10153000</v>
      </c>
      <c r="G2964" s="270">
        <v>600048566</v>
      </c>
    </row>
    <row r="2965" spans="1:7" x14ac:dyDescent="0.25">
      <c r="A2965" s="257">
        <v>2969</v>
      </c>
      <c r="B2965" s="267">
        <v>2964</v>
      </c>
      <c r="C2965" s="268" t="s">
        <v>375</v>
      </c>
      <c r="D2965" s="269">
        <v>42489</v>
      </c>
      <c r="E2965" s="270" t="s">
        <v>263</v>
      </c>
      <c r="F2965" s="384">
        <v>516000</v>
      </c>
      <c r="G2965" s="270">
        <v>600182119</v>
      </c>
    </row>
    <row r="2966" spans="1:7" x14ac:dyDescent="0.25">
      <c r="A2966" s="257">
        <v>2970</v>
      </c>
      <c r="B2966" s="267">
        <v>2965</v>
      </c>
      <c r="C2966" s="268" t="s">
        <v>1836</v>
      </c>
      <c r="D2966" s="269">
        <v>42489</v>
      </c>
      <c r="E2966" s="270" t="s">
        <v>2624</v>
      </c>
      <c r="F2966" s="384">
        <v>235000</v>
      </c>
      <c r="G2966" s="270">
        <v>600004086</v>
      </c>
    </row>
    <row r="2967" spans="1:7" x14ac:dyDescent="0.25">
      <c r="A2967" s="257">
        <v>2971</v>
      </c>
      <c r="B2967" s="267">
        <v>2966</v>
      </c>
      <c r="C2967" s="268" t="s">
        <v>823</v>
      </c>
      <c r="D2967" s="269">
        <v>42490</v>
      </c>
      <c r="E2967" s="270" t="s">
        <v>3600</v>
      </c>
      <c r="F2967" s="384">
        <v>1451000</v>
      </c>
      <c r="G2967" s="270">
        <v>690628627</v>
      </c>
    </row>
    <row r="2968" spans="1:7" x14ac:dyDescent="0.25">
      <c r="A2968" s="257">
        <v>2972</v>
      </c>
      <c r="B2968" s="267">
        <v>2967</v>
      </c>
      <c r="C2968" s="268" t="s">
        <v>923</v>
      </c>
      <c r="D2968" s="269">
        <v>42493</v>
      </c>
      <c r="E2968" s="270" t="s">
        <v>3492</v>
      </c>
      <c r="F2968" s="384">
        <v>284000</v>
      </c>
      <c r="G2968" s="270">
        <v>102345778</v>
      </c>
    </row>
    <row r="2969" spans="1:7" x14ac:dyDescent="0.25">
      <c r="A2969" s="257">
        <v>2973</v>
      </c>
      <c r="B2969" s="267">
        <v>2968</v>
      </c>
      <c r="C2969" s="268" t="s">
        <v>3728</v>
      </c>
      <c r="D2969" s="269">
        <v>42493</v>
      </c>
      <c r="E2969" s="270" t="s">
        <v>3727</v>
      </c>
      <c r="F2969" s="384">
        <v>284000</v>
      </c>
      <c r="G2969" s="270">
        <v>790819950</v>
      </c>
    </row>
    <row r="2970" spans="1:7" x14ac:dyDescent="0.25">
      <c r="A2970" s="257">
        <v>2974</v>
      </c>
      <c r="B2970" s="267">
        <v>2969</v>
      </c>
      <c r="C2970" s="268" t="s">
        <v>3284</v>
      </c>
      <c r="D2970" s="269">
        <v>42493</v>
      </c>
      <c r="E2970" s="270" t="s">
        <v>1651</v>
      </c>
      <c r="F2970" s="384">
        <v>516000</v>
      </c>
      <c r="G2970" s="270">
        <v>190884251</v>
      </c>
    </row>
    <row r="2971" spans="1:7" x14ac:dyDescent="0.25">
      <c r="A2971" s="257">
        <v>2975</v>
      </c>
      <c r="B2971" s="267">
        <v>2970</v>
      </c>
      <c r="C2971" s="268" t="s">
        <v>1628</v>
      </c>
      <c r="D2971" s="269">
        <v>42493</v>
      </c>
      <c r="E2971" s="270" t="s">
        <v>2420</v>
      </c>
      <c r="F2971" s="384">
        <v>2656000</v>
      </c>
      <c r="G2971" s="270">
        <v>100315367</v>
      </c>
    </row>
    <row r="2972" spans="1:7" x14ac:dyDescent="0.25">
      <c r="A2972" s="257">
        <v>2976</v>
      </c>
      <c r="B2972" s="267">
        <v>2971</v>
      </c>
      <c r="C2972" s="268" t="s">
        <v>1628</v>
      </c>
      <c r="D2972" s="269">
        <v>42493</v>
      </c>
      <c r="E2972" s="270" t="s">
        <v>2420</v>
      </c>
      <c r="F2972" s="384">
        <v>4967000</v>
      </c>
      <c r="G2972" s="270">
        <v>100315367</v>
      </c>
    </row>
    <row r="2973" spans="1:7" x14ac:dyDescent="0.25">
      <c r="A2973" s="257">
        <v>2977</v>
      </c>
      <c r="B2973" s="267">
        <v>2972</v>
      </c>
      <c r="C2973" s="268" t="s">
        <v>2895</v>
      </c>
      <c r="D2973" s="269">
        <v>42493</v>
      </c>
      <c r="E2973" s="270" t="s">
        <v>2853</v>
      </c>
      <c r="F2973" s="384">
        <v>332000</v>
      </c>
      <c r="G2973" s="270">
        <v>191426884</v>
      </c>
    </row>
    <row r="2974" spans="1:7" x14ac:dyDescent="0.25">
      <c r="A2974" s="257">
        <v>2978</v>
      </c>
      <c r="B2974" s="267">
        <v>2973</v>
      </c>
      <c r="C2974" s="268" t="s">
        <v>375</v>
      </c>
      <c r="D2974" s="269">
        <v>42493</v>
      </c>
      <c r="E2974" s="270" t="s">
        <v>263</v>
      </c>
      <c r="F2974" s="384">
        <v>35000</v>
      </c>
      <c r="G2974" s="270">
        <v>600182119</v>
      </c>
    </row>
    <row r="2975" spans="1:7" x14ac:dyDescent="0.25">
      <c r="A2975" s="257">
        <v>2979</v>
      </c>
      <c r="B2975" s="267">
        <v>2974</v>
      </c>
      <c r="C2975" s="268" t="s">
        <v>1909</v>
      </c>
      <c r="D2975" s="269">
        <v>42494</v>
      </c>
      <c r="E2975" s="270" t="s">
        <v>2759</v>
      </c>
      <c r="F2975" s="384">
        <v>152000</v>
      </c>
      <c r="G2975" s="270">
        <v>691784176</v>
      </c>
    </row>
    <row r="2976" spans="1:7" x14ac:dyDescent="0.25">
      <c r="A2976" s="257">
        <v>2980</v>
      </c>
      <c r="B2976" s="267">
        <v>2975</v>
      </c>
      <c r="C2976" s="268" t="s">
        <v>181</v>
      </c>
      <c r="D2976" s="269">
        <v>42494</v>
      </c>
      <c r="E2976" s="270" t="s">
        <v>3107</v>
      </c>
      <c r="F2976" s="384">
        <v>115000</v>
      </c>
      <c r="G2976" s="270">
        <v>100320487</v>
      </c>
    </row>
    <row r="2977" spans="1:7" x14ac:dyDescent="0.25">
      <c r="A2977" s="257">
        <v>2981</v>
      </c>
      <c r="B2977" s="267">
        <v>2976</v>
      </c>
      <c r="C2977" s="268" t="s">
        <v>2683</v>
      </c>
      <c r="D2977" s="269">
        <v>42494</v>
      </c>
      <c r="E2977" s="270" t="s">
        <v>4190</v>
      </c>
      <c r="F2977" s="384">
        <v>284000</v>
      </c>
      <c r="G2977" s="270">
        <v>800001184</v>
      </c>
    </row>
    <row r="2978" spans="1:7" x14ac:dyDescent="0.25">
      <c r="A2978" s="257">
        <v>2982</v>
      </c>
      <c r="B2978" s="267">
        <v>2977</v>
      </c>
      <c r="C2978" s="268" t="s">
        <v>2363</v>
      </c>
      <c r="D2978" s="269">
        <v>42494</v>
      </c>
      <c r="E2978" s="270" t="s">
        <v>2633</v>
      </c>
      <c r="F2978" s="384">
        <v>1186000</v>
      </c>
      <c r="G2978" s="270">
        <v>100320382</v>
      </c>
    </row>
    <row r="2979" spans="1:7" x14ac:dyDescent="0.25">
      <c r="A2979" s="257">
        <v>2983</v>
      </c>
      <c r="B2979" s="267">
        <v>2978</v>
      </c>
      <c r="C2979" s="268" t="s">
        <v>488</v>
      </c>
      <c r="D2979" s="269">
        <v>42494</v>
      </c>
      <c r="E2979" s="270" t="s">
        <v>3622</v>
      </c>
      <c r="F2979" s="384">
        <v>235000</v>
      </c>
      <c r="G2979" s="270">
        <v>190787319</v>
      </c>
    </row>
    <row r="2980" spans="1:7" x14ac:dyDescent="0.25">
      <c r="A2980" s="257">
        <v>2984</v>
      </c>
      <c r="B2980" s="267">
        <v>2979</v>
      </c>
      <c r="C2980" s="268" t="s">
        <v>22</v>
      </c>
      <c r="D2980" s="269">
        <v>42494</v>
      </c>
      <c r="E2980" s="270" t="s">
        <v>1132</v>
      </c>
      <c r="F2980" s="384">
        <v>332000</v>
      </c>
      <c r="G2980" s="270">
        <v>0</v>
      </c>
    </row>
    <row r="2981" spans="1:7" x14ac:dyDescent="0.25">
      <c r="A2981" s="257">
        <v>2985</v>
      </c>
      <c r="B2981" s="267">
        <v>2980</v>
      </c>
      <c r="C2981" s="268" t="s">
        <v>3646</v>
      </c>
      <c r="D2981" s="269">
        <v>42494</v>
      </c>
      <c r="E2981" s="270" t="s">
        <v>3285</v>
      </c>
      <c r="F2981" s="384">
        <v>235000</v>
      </c>
      <c r="G2981" s="270">
        <v>190557233</v>
      </c>
    </row>
    <row r="2982" spans="1:7" x14ac:dyDescent="0.25">
      <c r="A2982" s="257">
        <v>2986</v>
      </c>
      <c r="B2982" s="267">
        <v>2981</v>
      </c>
      <c r="C2982" s="268" t="s">
        <v>2618</v>
      </c>
      <c r="D2982" s="269">
        <v>42494</v>
      </c>
      <c r="E2982" s="270" t="s">
        <v>1622</v>
      </c>
      <c r="F2982" s="384">
        <v>1032000</v>
      </c>
      <c r="G2982" s="270">
        <v>190513098</v>
      </c>
    </row>
    <row r="2983" spans="1:7" x14ac:dyDescent="0.25">
      <c r="A2983" s="257">
        <v>2987</v>
      </c>
      <c r="B2983" s="267">
        <v>2982</v>
      </c>
      <c r="C2983" s="268" t="s">
        <v>1626</v>
      </c>
      <c r="D2983" s="269">
        <v>42494</v>
      </c>
      <c r="E2983" s="270" t="s">
        <v>1625</v>
      </c>
      <c r="F2983" s="384">
        <v>332000</v>
      </c>
      <c r="G2983" s="270">
        <v>190729456</v>
      </c>
    </row>
    <row r="2984" spans="1:7" x14ac:dyDescent="0.25">
      <c r="A2984" s="257">
        <v>2988</v>
      </c>
      <c r="B2984" s="267">
        <v>2983</v>
      </c>
      <c r="C2984" s="268" t="s">
        <v>3133</v>
      </c>
      <c r="D2984" s="269">
        <v>42494</v>
      </c>
      <c r="E2984" s="270" t="s">
        <v>3587</v>
      </c>
      <c r="F2984" s="384">
        <v>803000</v>
      </c>
      <c r="G2984" s="270">
        <v>101254783</v>
      </c>
    </row>
    <row r="2985" spans="1:7" x14ac:dyDescent="0.25">
      <c r="A2985" s="257">
        <v>2989</v>
      </c>
      <c r="B2985" s="267">
        <v>2984</v>
      </c>
      <c r="C2985" s="268" t="s">
        <v>128</v>
      </c>
      <c r="D2985" s="269">
        <v>42494</v>
      </c>
      <c r="E2985" s="270" t="s">
        <v>3259</v>
      </c>
      <c r="F2985" s="384">
        <v>284000</v>
      </c>
      <c r="G2985" s="270">
        <v>190904186</v>
      </c>
    </row>
    <row r="2986" spans="1:7" x14ac:dyDescent="0.25">
      <c r="A2986" s="257">
        <v>2990</v>
      </c>
      <c r="B2986" s="267">
        <v>2985</v>
      </c>
      <c r="C2986" s="268" t="s">
        <v>1853</v>
      </c>
      <c r="D2986" s="269">
        <v>42494</v>
      </c>
      <c r="E2986" s="270" t="s">
        <v>447</v>
      </c>
      <c r="F2986" s="384">
        <v>132000</v>
      </c>
      <c r="G2986" s="270">
        <v>600004706</v>
      </c>
    </row>
    <row r="2987" spans="1:7" x14ac:dyDescent="0.25">
      <c r="A2987" s="257">
        <v>2991</v>
      </c>
      <c r="B2987" s="267">
        <v>2986</v>
      </c>
      <c r="C2987" s="268" t="s">
        <v>22</v>
      </c>
      <c r="D2987" s="269">
        <v>42497</v>
      </c>
      <c r="E2987" s="270" t="s">
        <v>1132</v>
      </c>
      <c r="F2987" s="384">
        <v>80000</v>
      </c>
      <c r="G2987" s="270">
        <v>0</v>
      </c>
    </row>
    <row r="2988" spans="1:7" x14ac:dyDescent="0.25">
      <c r="A2988" s="257">
        <v>2992</v>
      </c>
      <c r="B2988" s="267">
        <v>2987</v>
      </c>
      <c r="C2988" s="268" t="s">
        <v>3728</v>
      </c>
      <c r="D2988" s="269">
        <v>42497</v>
      </c>
      <c r="E2988" s="270" t="s">
        <v>3727</v>
      </c>
      <c r="F2988" s="384">
        <v>117000</v>
      </c>
      <c r="G2988" s="270">
        <v>790819950</v>
      </c>
    </row>
    <row r="2989" spans="1:7" x14ac:dyDescent="0.25">
      <c r="A2989" s="257">
        <v>2993</v>
      </c>
      <c r="B2989" s="267">
        <v>2988</v>
      </c>
      <c r="C2989" s="268" t="s">
        <v>1128</v>
      </c>
      <c r="D2989" s="269">
        <v>42502</v>
      </c>
      <c r="E2989" s="270" t="s">
        <v>3142</v>
      </c>
      <c r="F2989" s="384">
        <v>252000</v>
      </c>
      <c r="G2989" s="270">
        <v>190341035</v>
      </c>
    </row>
    <row r="2990" spans="1:7" x14ac:dyDescent="0.25">
      <c r="A2990" s="257">
        <v>2994</v>
      </c>
      <c r="B2990" s="267">
        <v>2989</v>
      </c>
      <c r="C2990" s="268" t="s">
        <v>2373</v>
      </c>
      <c r="D2990" s="269">
        <v>42503</v>
      </c>
      <c r="E2990" s="270" t="s">
        <v>894</v>
      </c>
      <c r="F2990" s="384">
        <v>516000</v>
      </c>
      <c r="G2990" s="270">
        <v>191077280</v>
      </c>
    </row>
    <row r="2991" spans="1:7" x14ac:dyDescent="0.25">
      <c r="A2991" s="257">
        <v>2995</v>
      </c>
      <c r="B2991" s="267">
        <v>2990</v>
      </c>
      <c r="C2991" s="268" t="s">
        <v>3864</v>
      </c>
      <c r="D2991" s="269">
        <v>42503</v>
      </c>
      <c r="E2991" s="270" t="s">
        <v>906</v>
      </c>
      <c r="F2991" s="384">
        <v>284000</v>
      </c>
      <c r="G2991" s="270">
        <v>100348119</v>
      </c>
    </row>
    <row r="2992" spans="1:7" x14ac:dyDescent="0.25">
      <c r="A2992" s="257">
        <v>2996</v>
      </c>
      <c r="B2992" s="267">
        <v>2991</v>
      </c>
      <c r="C2992" s="268" t="s">
        <v>195</v>
      </c>
      <c r="D2992" s="269">
        <v>42503</v>
      </c>
      <c r="E2992" s="270" t="s">
        <v>194</v>
      </c>
      <c r="F2992" s="384">
        <v>356000</v>
      </c>
      <c r="G2992" s="270">
        <v>100067998</v>
      </c>
    </row>
    <row r="2993" spans="1:7" x14ac:dyDescent="0.25">
      <c r="A2993" s="257">
        <v>2997</v>
      </c>
      <c r="B2993" s="267">
        <v>2992</v>
      </c>
      <c r="C2993" s="268" t="s">
        <v>2966</v>
      </c>
      <c r="D2993" s="269">
        <v>42503</v>
      </c>
      <c r="E2993" s="270" t="s">
        <v>2885</v>
      </c>
      <c r="F2993" s="384">
        <v>306000</v>
      </c>
      <c r="G2993" s="270">
        <v>691132355</v>
      </c>
    </row>
    <row r="2994" spans="1:7" x14ac:dyDescent="0.25">
      <c r="A2994" s="257">
        <v>2998</v>
      </c>
      <c r="B2994" s="267">
        <v>2993</v>
      </c>
      <c r="C2994" s="268" t="s">
        <v>3748</v>
      </c>
      <c r="D2994" s="269">
        <v>42503</v>
      </c>
      <c r="E2994" s="270" t="s">
        <v>1788</v>
      </c>
      <c r="F2994" s="384">
        <v>1548000</v>
      </c>
      <c r="G2994" s="270">
        <v>800001327</v>
      </c>
    </row>
    <row r="2995" spans="1:7" x14ac:dyDescent="0.25">
      <c r="A2995" s="257">
        <v>2999</v>
      </c>
      <c r="B2995" s="267">
        <v>2994</v>
      </c>
      <c r="C2995" s="268" t="s">
        <v>731</v>
      </c>
      <c r="D2995" s="269">
        <v>42503</v>
      </c>
      <c r="E2995" s="270" t="s">
        <v>730</v>
      </c>
      <c r="F2995" s="384">
        <v>190000</v>
      </c>
      <c r="G2995" s="270">
        <v>800009606</v>
      </c>
    </row>
    <row r="2996" spans="1:7" x14ac:dyDescent="0.25">
      <c r="A2996" s="257">
        <v>3000</v>
      </c>
      <c r="B2996" s="267">
        <v>2995</v>
      </c>
      <c r="C2996" s="268" t="s">
        <v>1704</v>
      </c>
      <c r="D2996" s="269">
        <v>42504</v>
      </c>
      <c r="E2996" s="270" t="s">
        <v>2696</v>
      </c>
      <c r="F2996" s="384">
        <v>74000</v>
      </c>
      <c r="G2996" s="270">
        <v>691504183</v>
      </c>
    </row>
    <row r="2997" spans="1:7" x14ac:dyDescent="0.25">
      <c r="A2997" s="257">
        <v>3001</v>
      </c>
      <c r="B2997" s="267">
        <v>2996</v>
      </c>
      <c r="C2997" s="268" t="s">
        <v>2778</v>
      </c>
      <c r="D2997" s="269">
        <v>42504</v>
      </c>
      <c r="E2997" s="270" t="s">
        <v>326</v>
      </c>
      <c r="F2997" s="384">
        <v>332000</v>
      </c>
      <c r="G2997" s="270">
        <v>200216443</v>
      </c>
    </row>
    <row r="2998" spans="1:7" x14ac:dyDescent="0.25">
      <c r="A2998" s="257">
        <v>3002</v>
      </c>
      <c r="B2998" s="267">
        <v>2997</v>
      </c>
      <c r="C2998" s="268" t="s">
        <v>2425</v>
      </c>
      <c r="D2998" s="269">
        <v>42506</v>
      </c>
      <c r="E2998" s="270" t="s">
        <v>2791</v>
      </c>
      <c r="F2998" s="384">
        <v>235000</v>
      </c>
      <c r="G2998" s="270">
        <v>100099572</v>
      </c>
    </row>
    <row r="2999" spans="1:7" x14ac:dyDescent="0.25">
      <c r="A2999" s="257">
        <v>3003</v>
      </c>
      <c r="B2999" s="267">
        <v>2998</v>
      </c>
      <c r="C2999" s="268" t="s">
        <v>202</v>
      </c>
      <c r="D2999" s="269">
        <v>42506</v>
      </c>
      <c r="E2999" s="270" t="s">
        <v>1701</v>
      </c>
      <c r="F2999" s="384">
        <v>37000</v>
      </c>
      <c r="G2999" s="270">
        <v>100984075</v>
      </c>
    </row>
    <row r="3000" spans="1:7" x14ac:dyDescent="0.25">
      <c r="A3000" s="257">
        <v>3004</v>
      </c>
      <c r="B3000" s="267">
        <v>2999</v>
      </c>
      <c r="C3000" s="268" t="s">
        <v>131</v>
      </c>
      <c r="D3000" s="269">
        <v>42506</v>
      </c>
      <c r="E3000" s="270" t="s">
        <v>2802</v>
      </c>
      <c r="F3000" s="384">
        <v>332000</v>
      </c>
      <c r="G3000" s="270">
        <v>0</v>
      </c>
    </row>
    <row r="3001" spans="1:7" x14ac:dyDescent="0.25">
      <c r="A3001" s="257">
        <v>3005</v>
      </c>
      <c r="B3001" s="267">
        <v>3000</v>
      </c>
      <c r="C3001" s="268" t="s">
        <v>3658</v>
      </c>
      <c r="D3001" s="269">
        <v>42506</v>
      </c>
      <c r="E3001" s="270" t="s">
        <v>3552</v>
      </c>
      <c r="F3001" s="384">
        <v>74000</v>
      </c>
      <c r="G3001" s="270">
        <v>191569368</v>
      </c>
    </row>
    <row r="3002" spans="1:7" x14ac:dyDescent="0.25">
      <c r="A3002" s="257">
        <v>3006</v>
      </c>
      <c r="B3002" s="267">
        <v>3001</v>
      </c>
      <c r="C3002" s="268" t="s">
        <v>2716</v>
      </c>
      <c r="D3002" s="269">
        <v>42506</v>
      </c>
      <c r="E3002" s="270" t="s">
        <v>2760</v>
      </c>
      <c r="F3002" s="384">
        <v>190000</v>
      </c>
      <c r="G3002" s="270">
        <v>100801936</v>
      </c>
    </row>
    <row r="3003" spans="1:7" x14ac:dyDescent="0.25">
      <c r="A3003" s="257">
        <v>3007</v>
      </c>
      <c r="B3003" s="267">
        <v>3002</v>
      </c>
      <c r="C3003" s="268" t="s">
        <v>1624</v>
      </c>
      <c r="D3003" s="269">
        <v>42506</v>
      </c>
      <c r="E3003" s="270" t="s">
        <v>472</v>
      </c>
      <c r="F3003" s="384">
        <v>516000</v>
      </c>
      <c r="G3003" s="270">
        <v>190927518</v>
      </c>
    </row>
    <row r="3004" spans="1:7" x14ac:dyDescent="0.25">
      <c r="A3004" s="257">
        <v>3008</v>
      </c>
      <c r="B3004" s="267">
        <v>3003</v>
      </c>
      <c r="C3004" s="268" t="s">
        <v>3528</v>
      </c>
      <c r="D3004" s="269">
        <v>42506</v>
      </c>
      <c r="E3004" s="270" t="s">
        <v>733</v>
      </c>
      <c r="F3004" s="384">
        <v>235000</v>
      </c>
      <c r="G3004" s="270">
        <v>190770035</v>
      </c>
    </row>
    <row r="3005" spans="1:7" x14ac:dyDescent="0.25">
      <c r="A3005" s="257">
        <v>3009</v>
      </c>
      <c r="B3005" s="267">
        <v>3004</v>
      </c>
      <c r="C3005" s="268" t="s">
        <v>2808</v>
      </c>
      <c r="D3005" s="269">
        <v>42506</v>
      </c>
      <c r="E3005" s="270" t="s">
        <v>2809</v>
      </c>
      <c r="F3005" s="384">
        <v>284000</v>
      </c>
      <c r="G3005" s="270">
        <v>192632544</v>
      </c>
    </row>
    <row r="3006" spans="1:7" x14ac:dyDescent="0.25">
      <c r="A3006" s="257">
        <v>3010</v>
      </c>
      <c r="B3006" s="267">
        <v>3005</v>
      </c>
      <c r="C3006" s="268" t="s">
        <v>3661</v>
      </c>
      <c r="D3006" s="269">
        <v>42506</v>
      </c>
      <c r="E3006" s="270" t="s">
        <v>4196</v>
      </c>
      <c r="F3006" s="384">
        <v>252000</v>
      </c>
      <c r="G3006" s="270">
        <v>690365565</v>
      </c>
    </row>
    <row r="3007" spans="1:7" x14ac:dyDescent="0.25">
      <c r="A3007" s="257">
        <v>3011</v>
      </c>
      <c r="B3007" s="267">
        <v>3006</v>
      </c>
      <c r="C3007" s="268" t="s">
        <v>3855</v>
      </c>
      <c r="D3007" s="269">
        <v>42506</v>
      </c>
      <c r="E3007" s="270" t="s">
        <v>2700</v>
      </c>
      <c r="F3007" s="384">
        <v>356000</v>
      </c>
      <c r="G3007" s="270">
        <v>100422536</v>
      </c>
    </row>
    <row r="3008" spans="1:7" x14ac:dyDescent="0.25">
      <c r="A3008" s="257">
        <v>3012</v>
      </c>
      <c r="B3008" s="267">
        <v>3007</v>
      </c>
      <c r="C3008" s="268" t="s">
        <v>131</v>
      </c>
      <c r="D3008" s="269">
        <v>42506</v>
      </c>
      <c r="E3008" s="270" t="s">
        <v>2802</v>
      </c>
      <c r="F3008" s="384">
        <v>516000</v>
      </c>
      <c r="G3008" s="270">
        <v>0</v>
      </c>
    </row>
    <row r="3009" spans="1:7" x14ac:dyDescent="0.25">
      <c r="A3009" s="257">
        <v>3013</v>
      </c>
      <c r="B3009" s="267">
        <v>3008</v>
      </c>
      <c r="C3009" s="268" t="s">
        <v>2889</v>
      </c>
      <c r="D3009" s="269">
        <v>42506</v>
      </c>
      <c r="E3009" s="270" t="s">
        <v>523</v>
      </c>
      <c r="F3009" s="384">
        <v>74000</v>
      </c>
      <c r="G3009" s="270">
        <v>691539111</v>
      </c>
    </row>
    <row r="3010" spans="1:7" x14ac:dyDescent="0.25">
      <c r="A3010" s="257">
        <v>3014</v>
      </c>
      <c r="B3010" s="267">
        <v>3009</v>
      </c>
      <c r="C3010" s="268" t="s">
        <v>1846</v>
      </c>
      <c r="D3010" s="269">
        <v>42507</v>
      </c>
      <c r="E3010" s="270" t="s">
        <v>50</v>
      </c>
      <c r="F3010" s="384">
        <v>109000</v>
      </c>
      <c r="G3010" s="270">
        <v>690325966</v>
      </c>
    </row>
    <row r="3011" spans="1:7" x14ac:dyDescent="0.25">
      <c r="A3011" s="257">
        <v>3015</v>
      </c>
      <c r="B3011" s="267">
        <v>3010</v>
      </c>
      <c r="C3011" s="268" t="s">
        <v>3734</v>
      </c>
      <c r="D3011" s="269">
        <v>42507</v>
      </c>
      <c r="E3011" s="270" t="s">
        <v>2358</v>
      </c>
      <c r="F3011" s="384">
        <v>184000</v>
      </c>
      <c r="G3011" s="270">
        <v>800008903</v>
      </c>
    </row>
    <row r="3012" spans="1:7" x14ac:dyDescent="0.25">
      <c r="A3012" s="257">
        <v>3016</v>
      </c>
      <c r="B3012" s="267">
        <v>3011</v>
      </c>
      <c r="C3012" s="268" t="s">
        <v>870</v>
      </c>
      <c r="D3012" s="269">
        <v>42507</v>
      </c>
      <c r="E3012" s="270" t="s">
        <v>428</v>
      </c>
      <c r="F3012" s="384">
        <v>190000</v>
      </c>
      <c r="G3012" s="270">
        <v>100783448</v>
      </c>
    </row>
    <row r="3013" spans="1:7" x14ac:dyDescent="0.25">
      <c r="A3013" s="257">
        <v>3017</v>
      </c>
      <c r="B3013" s="267">
        <v>3012</v>
      </c>
      <c r="C3013" s="268" t="s">
        <v>1787</v>
      </c>
      <c r="D3013" s="269">
        <v>42507</v>
      </c>
      <c r="E3013" s="270" t="s">
        <v>1541</v>
      </c>
      <c r="F3013" s="384">
        <v>78000</v>
      </c>
      <c r="G3013" s="270">
        <v>808001218</v>
      </c>
    </row>
    <row r="3014" spans="1:7" x14ac:dyDescent="0.25">
      <c r="A3014" s="257">
        <v>3018</v>
      </c>
      <c r="B3014" s="267">
        <v>3013</v>
      </c>
      <c r="C3014" s="268" t="s">
        <v>199</v>
      </c>
      <c r="D3014" s="269">
        <v>42508</v>
      </c>
      <c r="E3014" s="270" t="s">
        <v>2826</v>
      </c>
      <c r="F3014" s="384">
        <v>516000</v>
      </c>
      <c r="G3014" s="270">
        <v>101117856</v>
      </c>
    </row>
    <row r="3015" spans="1:7" x14ac:dyDescent="0.25">
      <c r="A3015" s="257">
        <v>3019</v>
      </c>
      <c r="B3015" s="267">
        <v>3014</v>
      </c>
      <c r="C3015" s="268" t="s">
        <v>3302</v>
      </c>
      <c r="D3015" s="269">
        <v>42508</v>
      </c>
      <c r="E3015" s="270" t="s">
        <v>1529</v>
      </c>
      <c r="F3015" s="384">
        <v>332000</v>
      </c>
      <c r="G3015" s="270">
        <v>600125079</v>
      </c>
    </row>
    <row r="3016" spans="1:7" x14ac:dyDescent="0.25">
      <c r="A3016" s="257">
        <v>3020</v>
      </c>
      <c r="B3016" s="267">
        <v>3015</v>
      </c>
      <c r="C3016" s="268" t="s">
        <v>3615</v>
      </c>
      <c r="D3016" s="269">
        <v>42508</v>
      </c>
      <c r="E3016" s="270" t="s">
        <v>3270</v>
      </c>
      <c r="F3016" s="384">
        <v>731000</v>
      </c>
      <c r="G3016" s="270">
        <v>102376116</v>
      </c>
    </row>
    <row r="3017" spans="1:7" x14ac:dyDescent="0.25">
      <c r="A3017" s="257">
        <v>3021</v>
      </c>
      <c r="B3017" s="267">
        <v>3016</v>
      </c>
      <c r="C3017" s="268" t="s">
        <v>886</v>
      </c>
      <c r="D3017" s="269">
        <v>42508</v>
      </c>
      <c r="E3017" s="270" t="s">
        <v>1607</v>
      </c>
      <c r="F3017" s="384">
        <v>516000</v>
      </c>
      <c r="G3017" s="270">
        <v>690643672</v>
      </c>
    </row>
    <row r="3018" spans="1:7" x14ac:dyDescent="0.25">
      <c r="A3018" s="257">
        <v>3022</v>
      </c>
      <c r="B3018" s="267">
        <v>3017</v>
      </c>
      <c r="C3018" s="268" t="s">
        <v>2751</v>
      </c>
      <c r="D3018" s="269">
        <v>42508</v>
      </c>
      <c r="E3018" s="270" t="s">
        <v>449</v>
      </c>
      <c r="F3018" s="384">
        <v>516000</v>
      </c>
      <c r="G3018" s="270">
        <v>100025732</v>
      </c>
    </row>
    <row r="3019" spans="1:7" x14ac:dyDescent="0.25">
      <c r="A3019" s="257">
        <v>3023</v>
      </c>
      <c r="B3019" s="267">
        <v>3018</v>
      </c>
      <c r="C3019" s="268" t="s">
        <v>61</v>
      </c>
      <c r="D3019" s="269">
        <v>42508</v>
      </c>
      <c r="E3019" s="270" t="s">
        <v>4210</v>
      </c>
      <c r="F3019" s="384">
        <v>949000</v>
      </c>
      <c r="G3019" s="270">
        <v>100093319</v>
      </c>
    </row>
    <row r="3020" spans="1:7" x14ac:dyDescent="0.25">
      <c r="A3020" s="257">
        <v>3024</v>
      </c>
      <c r="B3020" s="267">
        <v>3019</v>
      </c>
      <c r="C3020" s="268" t="s">
        <v>2793</v>
      </c>
      <c r="D3020" s="269">
        <v>42509</v>
      </c>
      <c r="E3020" s="270" t="s">
        <v>1530</v>
      </c>
      <c r="F3020" s="384">
        <v>184000</v>
      </c>
      <c r="G3020" s="270">
        <v>190821953</v>
      </c>
    </row>
    <row r="3021" spans="1:7" x14ac:dyDescent="0.25">
      <c r="A3021" s="257">
        <v>3025</v>
      </c>
      <c r="B3021" s="267">
        <v>3020</v>
      </c>
      <c r="C3021" s="268" t="s">
        <v>910</v>
      </c>
      <c r="D3021" s="269">
        <v>42509</v>
      </c>
      <c r="E3021" s="270" t="s">
        <v>1656</v>
      </c>
      <c r="F3021" s="384">
        <v>332000</v>
      </c>
      <c r="G3021" s="270">
        <v>101439397</v>
      </c>
    </row>
    <row r="3022" spans="1:7" x14ac:dyDescent="0.25">
      <c r="A3022" s="257">
        <v>3026</v>
      </c>
      <c r="B3022" s="267">
        <v>3021</v>
      </c>
      <c r="C3022" s="268" t="s">
        <v>1806</v>
      </c>
      <c r="D3022" s="269">
        <v>42509</v>
      </c>
      <c r="E3022" s="270" t="s">
        <v>2370</v>
      </c>
      <c r="F3022" s="384">
        <v>568000</v>
      </c>
      <c r="G3022" s="270">
        <v>100315382</v>
      </c>
    </row>
    <row r="3023" spans="1:7" x14ac:dyDescent="0.25">
      <c r="A3023" s="257">
        <v>3027</v>
      </c>
      <c r="B3023" s="267">
        <v>3022</v>
      </c>
      <c r="C3023" s="268" t="s">
        <v>26</v>
      </c>
      <c r="D3023" s="269">
        <v>42509</v>
      </c>
      <c r="E3023" s="270" t="s">
        <v>3760</v>
      </c>
      <c r="F3023" s="384">
        <v>390000</v>
      </c>
      <c r="G3023" s="270">
        <v>190615318</v>
      </c>
    </row>
    <row r="3024" spans="1:7" x14ac:dyDescent="0.25">
      <c r="A3024" s="257">
        <v>3028</v>
      </c>
      <c r="B3024" s="267">
        <v>3023</v>
      </c>
      <c r="C3024" s="268" t="s">
        <v>934</v>
      </c>
      <c r="D3024" s="269">
        <v>42509</v>
      </c>
      <c r="E3024" s="270" t="s">
        <v>2376</v>
      </c>
      <c r="F3024" s="384">
        <v>284000</v>
      </c>
      <c r="G3024" s="270">
        <v>100386830</v>
      </c>
    </row>
    <row r="3025" spans="1:7" x14ac:dyDescent="0.25">
      <c r="A3025" s="257">
        <v>3029</v>
      </c>
      <c r="B3025" s="267">
        <v>3024</v>
      </c>
      <c r="C3025" s="268" t="s">
        <v>934</v>
      </c>
      <c r="D3025" s="269">
        <v>42509</v>
      </c>
      <c r="E3025" s="270" t="s">
        <v>2376</v>
      </c>
      <c r="F3025" s="384">
        <v>37000</v>
      </c>
      <c r="G3025" s="270">
        <v>100386830</v>
      </c>
    </row>
    <row r="3026" spans="1:7" x14ac:dyDescent="0.25">
      <c r="A3026" s="257">
        <v>3030</v>
      </c>
      <c r="B3026" s="267">
        <v>3025</v>
      </c>
      <c r="C3026" s="268" t="s">
        <v>879</v>
      </c>
      <c r="D3026" s="269">
        <v>42509</v>
      </c>
      <c r="E3026" s="270" t="s">
        <v>1906</v>
      </c>
      <c r="F3026" s="384">
        <v>184000</v>
      </c>
      <c r="G3026" s="270">
        <v>690250660</v>
      </c>
    </row>
    <row r="3027" spans="1:7" x14ac:dyDescent="0.25">
      <c r="A3027" s="257">
        <v>3031</v>
      </c>
      <c r="B3027" s="267">
        <v>3026</v>
      </c>
      <c r="C3027" s="268" t="s">
        <v>318</v>
      </c>
      <c r="D3027" s="269">
        <v>42509</v>
      </c>
      <c r="E3027" s="270" t="s">
        <v>4226</v>
      </c>
      <c r="F3027" s="384">
        <v>80000</v>
      </c>
      <c r="G3027" s="270">
        <v>191112043</v>
      </c>
    </row>
    <row r="3028" spans="1:7" x14ac:dyDescent="0.25">
      <c r="A3028" s="257">
        <v>3032</v>
      </c>
      <c r="B3028" s="267">
        <v>3027</v>
      </c>
      <c r="C3028" s="268" t="s">
        <v>3298</v>
      </c>
      <c r="D3028" s="269">
        <v>42510</v>
      </c>
      <c r="E3028" s="270" t="s">
        <v>980</v>
      </c>
      <c r="F3028" s="384">
        <v>284000</v>
      </c>
      <c r="G3028" s="270">
        <v>100015784</v>
      </c>
    </row>
    <row r="3029" spans="1:7" x14ac:dyDescent="0.25">
      <c r="A3029" s="257">
        <v>3033</v>
      </c>
      <c r="B3029" s="267">
        <v>3028</v>
      </c>
      <c r="C3029" s="268" t="s">
        <v>1116</v>
      </c>
      <c r="D3029" s="269">
        <v>42510</v>
      </c>
      <c r="E3029" s="270" t="s">
        <v>2646</v>
      </c>
      <c r="F3029" s="384">
        <v>200000</v>
      </c>
      <c r="G3029" s="270">
        <v>192022460</v>
      </c>
    </row>
    <row r="3030" spans="1:7" x14ac:dyDescent="0.25">
      <c r="A3030" s="257">
        <v>3034</v>
      </c>
      <c r="B3030" s="267">
        <v>3029</v>
      </c>
      <c r="C3030" s="268" t="s">
        <v>199</v>
      </c>
      <c r="D3030" s="269">
        <v>42510</v>
      </c>
      <c r="E3030" s="270" t="s">
        <v>2826</v>
      </c>
      <c r="F3030" s="384">
        <v>228000</v>
      </c>
      <c r="G3030" s="270">
        <v>101117856</v>
      </c>
    </row>
    <row r="3031" spans="1:7" x14ac:dyDescent="0.25">
      <c r="A3031" s="257">
        <v>3035</v>
      </c>
      <c r="B3031" s="267">
        <v>3030</v>
      </c>
      <c r="C3031" s="268" t="s">
        <v>2645</v>
      </c>
      <c r="D3031" s="269">
        <v>42510</v>
      </c>
      <c r="E3031" s="270" t="s">
        <v>239</v>
      </c>
      <c r="F3031" s="384">
        <v>1328000</v>
      </c>
      <c r="G3031" s="270">
        <v>101139097</v>
      </c>
    </row>
    <row r="3032" spans="1:7" x14ac:dyDescent="0.25">
      <c r="A3032" s="257">
        <v>3036</v>
      </c>
      <c r="B3032" s="267">
        <v>3031</v>
      </c>
      <c r="C3032" s="268" t="s">
        <v>846</v>
      </c>
      <c r="D3032" s="269">
        <v>42510</v>
      </c>
      <c r="E3032" s="270" t="s">
        <v>500</v>
      </c>
      <c r="F3032" s="384">
        <v>332000</v>
      </c>
      <c r="G3032" s="270">
        <v>690631984</v>
      </c>
    </row>
    <row r="3033" spans="1:7" x14ac:dyDescent="0.25">
      <c r="A3033" s="257">
        <v>3037</v>
      </c>
      <c r="B3033" s="267">
        <v>3032</v>
      </c>
      <c r="C3033" s="268" t="s">
        <v>128</v>
      </c>
      <c r="D3033" s="269">
        <v>42512</v>
      </c>
      <c r="E3033" s="270" t="s">
        <v>3259</v>
      </c>
      <c r="F3033" s="384">
        <v>516000</v>
      </c>
      <c r="G3033" s="270">
        <v>190904186</v>
      </c>
    </row>
    <row r="3034" spans="1:7" x14ac:dyDescent="0.25">
      <c r="A3034" s="257">
        <v>3038</v>
      </c>
      <c r="B3034" s="267">
        <v>3033</v>
      </c>
      <c r="C3034" s="268" t="s">
        <v>895</v>
      </c>
      <c r="D3034" s="269">
        <v>42513</v>
      </c>
      <c r="E3034" s="270" t="s">
        <v>2804</v>
      </c>
      <c r="F3034" s="384">
        <v>235000</v>
      </c>
      <c r="G3034" s="270">
        <v>691433174</v>
      </c>
    </row>
    <row r="3035" spans="1:7" x14ac:dyDescent="0.25">
      <c r="A3035" s="257">
        <v>3039</v>
      </c>
      <c r="B3035" s="267">
        <v>3034</v>
      </c>
      <c r="C3035" s="268" t="s">
        <v>1108</v>
      </c>
      <c r="D3035" s="269">
        <v>42513</v>
      </c>
      <c r="E3035" s="270" t="s">
        <v>4193</v>
      </c>
      <c r="F3035" s="384">
        <v>332000</v>
      </c>
      <c r="G3035" s="270">
        <v>100387745</v>
      </c>
    </row>
    <row r="3036" spans="1:7" x14ac:dyDescent="0.25">
      <c r="A3036" s="257">
        <v>3040</v>
      </c>
      <c r="B3036" s="267">
        <v>3035</v>
      </c>
      <c r="C3036" s="268" t="s">
        <v>1028</v>
      </c>
      <c r="D3036" s="269">
        <v>42513</v>
      </c>
      <c r="E3036" s="270" t="s">
        <v>2970</v>
      </c>
      <c r="F3036" s="384">
        <v>711000</v>
      </c>
      <c r="G3036" s="270">
        <v>691313083</v>
      </c>
    </row>
    <row r="3037" spans="1:7" x14ac:dyDescent="0.25">
      <c r="A3037" s="257">
        <v>3041</v>
      </c>
      <c r="B3037" s="267">
        <v>3036</v>
      </c>
      <c r="C3037" s="268" t="s">
        <v>2751</v>
      </c>
      <c r="D3037" s="269">
        <v>42513</v>
      </c>
      <c r="E3037" s="270" t="s">
        <v>449</v>
      </c>
      <c r="F3037" s="384">
        <v>516000</v>
      </c>
      <c r="G3037" s="270">
        <v>100025732</v>
      </c>
    </row>
    <row r="3038" spans="1:7" x14ac:dyDescent="0.25">
      <c r="A3038" s="257">
        <v>3042</v>
      </c>
      <c r="B3038" s="267">
        <v>3037</v>
      </c>
      <c r="C3038" s="268" t="s">
        <v>318</v>
      </c>
      <c r="D3038" s="269">
        <v>42513</v>
      </c>
      <c r="E3038" s="270" t="s">
        <v>4226</v>
      </c>
      <c r="F3038" s="384">
        <v>235000</v>
      </c>
      <c r="G3038" s="270">
        <v>191112043</v>
      </c>
    </row>
    <row r="3039" spans="1:7" x14ac:dyDescent="0.25">
      <c r="A3039" s="257">
        <v>3043</v>
      </c>
      <c r="B3039" s="267">
        <v>3038</v>
      </c>
      <c r="C3039" s="268" t="s">
        <v>2104</v>
      </c>
      <c r="D3039" s="269">
        <v>42513</v>
      </c>
      <c r="E3039" s="270" t="s">
        <v>2736</v>
      </c>
      <c r="F3039" s="384">
        <v>252000</v>
      </c>
      <c r="G3039" s="270">
        <v>691780951</v>
      </c>
    </row>
    <row r="3040" spans="1:7" x14ac:dyDescent="0.25">
      <c r="A3040" s="257">
        <v>3044</v>
      </c>
      <c r="B3040" s="267">
        <v>3039</v>
      </c>
      <c r="C3040" s="268" t="s">
        <v>131</v>
      </c>
      <c r="D3040" s="269">
        <v>42513</v>
      </c>
      <c r="E3040" s="270" t="s">
        <v>2802</v>
      </c>
      <c r="F3040" s="384">
        <v>284000</v>
      </c>
      <c r="G3040" s="270">
        <v>0</v>
      </c>
    </row>
    <row r="3041" spans="1:7" x14ac:dyDescent="0.25">
      <c r="A3041" s="257">
        <v>3045</v>
      </c>
      <c r="B3041" s="267">
        <v>3040</v>
      </c>
      <c r="C3041" s="268" t="s">
        <v>699</v>
      </c>
      <c r="D3041" s="269">
        <v>42513</v>
      </c>
      <c r="E3041" s="270" t="s">
        <v>1623</v>
      </c>
      <c r="F3041" s="384">
        <v>356000</v>
      </c>
      <c r="G3041" s="270">
        <v>691422903</v>
      </c>
    </row>
    <row r="3042" spans="1:7" x14ac:dyDescent="0.25">
      <c r="A3042" s="257">
        <v>3046</v>
      </c>
      <c r="B3042" s="267">
        <v>3041</v>
      </c>
      <c r="C3042" s="268" t="s">
        <v>425</v>
      </c>
      <c r="D3042" s="269">
        <v>42514</v>
      </c>
      <c r="E3042" s="270" t="s">
        <v>800</v>
      </c>
      <c r="F3042" s="384">
        <v>660000</v>
      </c>
      <c r="G3042" s="270">
        <v>190519586</v>
      </c>
    </row>
    <row r="3043" spans="1:7" x14ac:dyDescent="0.25">
      <c r="A3043" s="257">
        <v>3047</v>
      </c>
      <c r="B3043" s="267">
        <v>3042</v>
      </c>
      <c r="C3043" s="268" t="s">
        <v>2444</v>
      </c>
      <c r="D3043" s="269">
        <v>42514</v>
      </c>
      <c r="E3043" s="270" t="s">
        <v>2594</v>
      </c>
      <c r="F3043" s="384">
        <v>284000</v>
      </c>
      <c r="G3043" s="270">
        <v>100008077</v>
      </c>
    </row>
    <row r="3044" spans="1:7" x14ac:dyDescent="0.25">
      <c r="A3044" s="257">
        <v>3048</v>
      </c>
      <c r="B3044" s="267">
        <v>3043</v>
      </c>
      <c r="C3044" s="268" t="s">
        <v>860</v>
      </c>
      <c r="D3044" s="269">
        <v>42514</v>
      </c>
      <c r="E3044" s="270" t="s">
        <v>859</v>
      </c>
      <c r="F3044" s="384">
        <v>332000</v>
      </c>
      <c r="G3044" s="270">
        <v>191564325</v>
      </c>
    </row>
    <row r="3045" spans="1:7" x14ac:dyDescent="0.25">
      <c r="A3045" s="257">
        <v>3049</v>
      </c>
      <c r="B3045" s="267">
        <v>3044</v>
      </c>
      <c r="C3045" s="268" t="s">
        <v>3216</v>
      </c>
      <c r="D3045" s="269">
        <v>42514</v>
      </c>
      <c r="E3045" s="270" t="s">
        <v>1644</v>
      </c>
      <c r="F3045" s="384">
        <v>1660000</v>
      </c>
      <c r="G3045" s="270">
        <v>100315288</v>
      </c>
    </row>
    <row r="3046" spans="1:7" x14ac:dyDescent="0.25">
      <c r="A3046" s="257">
        <v>3050</v>
      </c>
      <c r="B3046" s="267">
        <v>3045</v>
      </c>
      <c r="C3046" s="268" t="s">
        <v>2645</v>
      </c>
      <c r="D3046" s="269">
        <v>42514</v>
      </c>
      <c r="E3046" s="270" t="s">
        <v>239</v>
      </c>
      <c r="F3046" s="384">
        <v>1328000</v>
      </c>
      <c r="G3046" s="270">
        <v>101139097</v>
      </c>
    </row>
    <row r="3047" spans="1:7" x14ac:dyDescent="0.25">
      <c r="A3047" s="257">
        <v>3051</v>
      </c>
      <c r="B3047" s="267">
        <v>3046</v>
      </c>
      <c r="C3047" s="268" t="s">
        <v>2645</v>
      </c>
      <c r="D3047" s="269">
        <v>42514</v>
      </c>
      <c r="E3047" s="270" t="s">
        <v>239</v>
      </c>
      <c r="F3047" s="384">
        <v>552000</v>
      </c>
      <c r="G3047" s="270">
        <v>101139097</v>
      </c>
    </row>
    <row r="3048" spans="1:7" x14ac:dyDescent="0.25">
      <c r="A3048" s="257">
        <v>3052</v>
      </c>
      <c r="B3048" s="267">
        <v>3047</v>
      </c>
      <c r="C3048" s="268" t="s">
        <v>2645</v>
      </c>
      <c r="D3048" s="269">
        <v>42514</v>
      </c>
      <c r="E3048" s="270" t="s">
        <v>239</v>
      </c>
      <c r="F3048" s="384">
        <v>184000</v>
      </c>
      <c r="G3048" s="270">
        <v>101139097</v>
      </c>
    </row>
    <row r="3049" spans="1:7" x14ac:dyDescent="0.25">
      <c r="A3049" s="257">
        <v>3053</v>
      </c>
      <c r="B3049" s="267">
        <v>3048</v>
      </c>
      <c r="C3049" s="268" t="s">
        <v>195</v>
      </c>
      <c r="D3049" s="269">
        <v>42514</v>
      </c>
      <c r="E3049" s="270" t="s">
        <v>194</v>
      </c>
      <c r="F3049" s="384">
        <v>519000</v>
      </c>
      <c r="G3049" s="270">
        <v>100067998</v>
      </c>
    </row>
    <row r="3050" spans="1:7" x14ac:dyDescent="0.25">
      <c r="A3050" s="257">
        <v>3054</v>
      </c>
      <c r="B3050" s="267">
        <v>3049</v>
      </c>
      <c r="C3050" s="268" t="s">
        <v>488</v>
      </c>
      <c r="D3050" s="269">
        <v>42514</v>
      </c>
      <c r="E3050" s="270" t="s">
        <v>3622</v>
      </c>
      <c r="F3050" s="384">
        <v>43000</v>
      </c>
      <c r="G3050" s="270">
        <v>190787319</v>
      </c>
    </row>
    <row r="3051" spans="1:7" x14ac:dyDescent="0.25">
      <c r="A3051" s="257">
        <v>3055</v>
      </c>
      <c r="B3051" s="267">
        <v>3050</v>
      </c>
      <c r="C3051" s="268" t="s">
        <v>3224</v>
      </c>
      <c r="D3051" s="269">
        <v>42514</v>
      </c>
      <c r="E3051" s="270" t="s">
        <v>3515</v>
      </c>
      <c r="F3051" s="384">
        <v>385000</v>
      </c>
      <c r="G3051" s="270">
        <v>100150599</v>
      </c>
    </row>
    <row r="3052" spans="1:7" x14ac:dyDescent="0.25">
      <c r="A3052" s="257">
        <v>3056</v>
      </c>
      <c r="B3052" s="267">
        <v>3051</v>
      </c>
      <c r="C3052" s="268" t="s">
        <v>3111</v>
      </c>
      <c r="D3052" s="269">
        <v>42514</v>
      </c>
      <c r="E3052" s="270" t="s">
        <v>1948</v>
      </c>
      <c r="F3052" s="384">
        <v>332000</v>
      </c>
      <c r="G3052" s="270">
        <v>808000755</v>
      </c>
    </row>
    <row r="3053" spans="1:7" x14ac:dyDescent="0.25">
      <c r="A3053" s="257">
        <v>3057</v>
      </c>
      <c r="B3053" s="267">
        <v>3052</v>
      </c>
      <c r="C3053" s="268" t="s">
        <v>265</v>
      </c>
      <c r="D3053" s="269">
        <v>42514</v>
      </c>
      <c r="E3053" s="270" t="s">
        <v>450</v>
      </c>
      <c r="F3053" s="384">
        <v>1032000</v>
      </c>
      <c r="G3053" s="270">
        <v>100468996</v>
      </c>
    </row>
    <row r="3054" spans="1:7" x14ac:dyDescent="0.25">
      <c r="A3054" s="257">
        <v>3058</v>
      </c>
      <c r="B3054" s="267">
        <v>3053</v>
      </c>
      <c r="C3054" s="268" t="s">
        <v>1787</v>
      </c>
      <c r="D3054" s="269">
        <v>42514</v>
      </c>
      <c r="E3054" s="270" t="s">
        <v>1541</v>
      </c>
      <c r="F3054" s="384">
        <v>235000</v>
      </c>
      <c r="G3054" s="270">
        <v>808001218</v>
      </c>
    </row>
    <row r="3055" spans="1:7" x14ac:dyDescent="0.25">
      <c r="A3055" s="257">
        <v>3059</v>
      </c>
      <c r="B3055" s="267">
        <v>3054</v>
      </c>
      <c r="C3055" s="268" t="s">
        <v>386</v>
      </c>
      <c r="D3055" s="269">
        <v>42514</v>
      </c>
      <c r="E3055" s="270" t="s">
        <v>1951</v>
      </c>
      <c r="F3055" s="384">
        <v>195000</v>
      </c>
      <c r="G3055" s="270">
        <v>400424686</v>
      </c>
    </row>
    <row r="3056" spans="1:7" x14ac:dyDescent="0.25">
      <c r="A3056" s="257">
        <v>3060</v>
      </c>
      <c r="B3056" s="267">
        <v>3055</v>
      </c>
      <c r="C3056" s="268" t="s">
        <v>1836</v>
      </c>
      <c r="D3056" s="269">
        <v>42514</v>
      </c>
      <c r="E3056" s="270" t="s">
        <v>2624</v>
      </c>
      <c r="F3056" s="384">
        <v>74000</v>
      </c>
      <c r="G3056" s="270">
        <v>600004086</v>
      </c>
    </row>
    <row r="3057" spans="1:7" x14ac:dyDescent="0.25">
      <c r="A3057" s="257">
        <v>3061</v>
      </c>
      <c r="B3057" s="267">
        <v>3056</v>
      </c>
      <c r="C3057" s="268" t="s">
        <v>262</v>
      </c>
      <c r="D3057" s="269">
        <v>42515</v>
      </c>
      <c r="E3057" s="270" t="s">
        <v>927</v>
      </c>
      <c r="F3057" s="384">
        <v>190000</v>
      </c>
      <c r="G3057" s="270">
        <v>190454318</v>
      </c>
    </row>
    <row r="3058" spans="1:7" x14ac:dyDescent="0.25">
      <c r="A3058" s="257">
        <v>3062</v>
      </c>
      <c r="B3058" s="267">
        <v>3057</v>
      </c>
      <c r="C3058" s="268" t="s">
        <v>1806</v>
      </c>
      <c r="D3058" s="269">
        <v>42515</v>
      </c>
      <c r="E3058" s="270" t="s">
        <v>2370</v>
      </c>
      <c r="F3058" s="384">
        <v>74000</v>
      </c>
      <c r="G3058" s="270">
        <v>100315382</v>
      </c>
    </row>
    <row r="3059" spans="1:7" x14ac:dyDescent="0.25">
      <c r="A3059" s="257">
        <v>3063</v>
      </c>
      <c r="B3059" s="267">
        <v>3058</v>
      </c>
      <c r="C3059" s="268" t="s">
        <v>170</v>
      </c>
      <c r="D3059" s="269">
        <v>42515</v>
      </c>
      <c r="E3059" s="270" t="s">
        <v>169</v>
      </c>
      <c r="F3059" s="384">
        <v>195000</v>
      </c>
      <c r="G3059" s="270">
        <v>690660835</v>
      </c>
    </row>
    <row r="3060" spans="1:7" x14ac:dyDescent="0.25">
      <c r="A3060" s="257">
        <v>3064</v>
      </c>
      <c r="B3060" s="267">
        <v>3059</v>
      </c>
      <c r="C3060" s="268" t="s">
        <v>131</v>
      </c>
      <c r="D3060" s="269">
        <v>42515</v>
      </c>
      <c r="E3060" s="270" t="s">
        <v>2802</v>
      </c>
      <c r="F3060" s="384">
        <v>154000</v>
      </c>
      <c r="G3060" s="270">
        <v>0</v>
      </c>
    </row>
    <row r="3061" spans="1:7" x14ac:dyDescent="0.25">
      <c r="A3061" s="257">
        <v>3065</v>
      </c>
      <c r="B3061" s="267">
        <v>3060</v>
      </c>
      <c r="C3061" s="268" t="s">
        <v>1802</v>
      </c>
      <c r="D3061" s="269">
        <v>42515</v>
      </c>
      <c r="E3061" s="270" t="s">
        <v>158</v>
      </c>
      <c r="F3061" s="384">
        <v>848000</v>
      </c>
      <c r="G3061" s="270">
        <v>191357390</v>
      </c>
    </row>
    <row r="3062" spans="1:7" x14ac:dyDescent="0.25">
      <c r="A3062" s="257">
        <v>3066</v>
      </c>
      <c r="B3062" s="267">
        <v>3061</v>
      </c>
      <c r="C3062" s="268" t="s">
        <v>2604</v>
      </c>
      <c r="D3062" s="269">
        <v>42515</v>
      </c>
      <c r="E3062" s="270" t="s">
        <v>2866</v>
      </c>
      <c r="F3062" s="384">
        <v>210000</v>
      </c>
      <c r="G3062" s="270">
        <v>100080014</v>
      </c>
    </row>
    <row r="3063" spans="1:7" x14ac:dyDescent="0.25">
      <c r="A3063" s="257">
        <v>3067</v>
      </c>
      <c r="B3063" s="267">
        <v>3062</v>
      </c>
      <c r="C3063" s="268" t="s">
        <v>680</v>
      </c>
      <c r="D3063" s="269">
        <v>42515</v>
      </c>
      <c r="E3063" s="270" t="s">
        <v>3598</v>
      </c>
      <c r="F3063" s="384">
        <v>516000</v>
      </c>
      <c r="G3063" s="270">
        <v>190221603</v>
      </c>
    </row>
    <row r="3064" spans="1:7" x14ac:dyDescent="0.25">
      <c r="A3064" s="257">
        <v>3068</v>
      </c>
      <c r="B3064" s="267">
        <v>3063</v>
      </c>
      <c r="C3064" s="268" t="s">
        <v>366</v>
      </c>
      <c r="D3064" s="269">
        <v>42515</v>
      </c>
      <c r="E3064" s="270" t="s">
        <v>2615</v>
      </c>
      <c r="F3064" s="384">
        <v>117000</v>
      </c>
      <c r="G3064" s="270">
        <v>690031555</v>
      </c>
    </row>
    <row r="3065" spans="1:7" x14ac:dyDescent="0.25">
      <c r="A3065" s="257">
        <v>3069</v>
      </c>
      <c r="B3065" s="267">
        <v>3064</v>
      </c>
      <c r="C3065" s="268" t="s">
        <v>68</v>
      </c>
      <c r="D3065" s="269">
        <v>42515</v>
      </c>
      <c r="E3065" s="270" t="s">
        <v>3843</v>
      </c>
      <c r="F3065" s="384">
        <v>332000</v>
      </c>
      <c r="G3065" s="270">
        <v>190771653</v>
      </c>
    </row>
    <row r="3066" spans="1:7" x14ac:dyDescent="0.25">
      <c r="A3066" s="257">
        <v>3070</v>
      </c>
      <c r="B3066" s="267">
        <v>3065</v>
      </c>
      <c r="C3066" s="268" t="s">
        <v>910</v>
      </c>
      <c r="D3066" s="269">
        <v>42515</v>
      </c>
      <c r="E3066" s="270" t="s">
        <v>1656</v>
      </c>
      <c r="F3066" s="384">
        <v>235000</v>
      </c>
      <c r="G3066" s="270">
        <v>101439397</v>
      </c>
    </row>
    <row r="3067" spans="1:7" x14ac:dyDescent="0.25">
      <c r="A3067" s="257">
        <v>3071</v>
      </c>
      <c r="B3067" s="267">
        <v>3066</v>
      </c>
      <c r="C3067" s="268" t="s">
        <v>846</v>
      </c>
      <c r="D3067" s="269">
        <v>42515</v>
      </c>
      <c r="E3067" s="270" t="s">
        <v>500</v>
      </c>
      <c r="F3067" s="384">
        <v>154000</v>
      </c>
      <c r="G3067" s="270">
        <v>690631984</v>
      </c>
    </row>
    <row r="3068" spans="1:7" x14ac:dyDescent="0.25">
      <c r="A3068" s="257">
        <v>3072</v>
      </c>
      <c r="B3068" s="267">
        <v>3067</v>
      </c>
      <c r="C3068" s="268" t="s">
        <v>698</v>
      </c>
      <c r="D3068" s="269">
        <v>42516</v>
      </c>
      <c r="E3068" s="270" t="s">
        <v>697</v>
      </c>
      <c r="F3068" s="384">
        <v>190000</v>
      </c>
      <c r="G3068" s="270">
        <v>191712125</v>
      </c>
    </row>
    <row r="3069" spans="1:7" x14ac:dyDescent="0.25">
      <c r="A3069" s="257">
        <v>3073</v>
      </c>
      <c r="B3069" s="267">
        <v>3068</v>
      </c>
      <c r="C3069" s="268" t="s">
        <v>1021</v>
      </c>
      <c r="D3069" s="269">
        <v>42516</v>
      </c>
      <c r="E3069" s="270" t="s">
        <v>320</v>
      </c>
      <c r="F3069" s="384">
        <v>664000</v>
      </c>
      <c r="G3069" s="270">
        <v>690831296</v>
      </c>
    </row>
    <row r="3070" spans="1:7" x14ac:dyDescent="0.25">
      <c r="A3070" s="257">
        <v>3074</v>
      </c>
      <c r="B3070" s="267">
        <v>3069</v>
      </c>
      <c r="C3070" s="268" t="s">
        <v>2422</v>
      </c>
      <c r="D3070" s="269">
        <v>42516</v>
      </c>
      <c r="E3070" s="270" t="s">
        <v>3567</v>
      </c>
      <c r="F3070" s="384">
        <v>516000</v>
      </c>
      <c r="G3070" s="270">
        <v>101166407</v>
      </c>
    </row>
    <row r="3071" spans="1:7" x14ac:dyDescent="0.25">
      <c r="A3071" s="257">
        <v>3075</v>
      </c>
      <c r="B3071" s="267">
        <v>3070</v>
      </c>
      <c r="C3071" s="268" t="s">
        <v>4234</v>
      </c>
      <c r="D3071" s="269">
        <v>42516</v>
      </c>
      <c r="E3071" s="270" t="s">
        <v>340</v>
      </c>
      <c r="F3071" s="384">
        <v>516000</v>
      </c>
      <c r="G3071" s="270">
        <v>190444477</v>
      </c>
    </row>
    <row r="3072" spans="1:7" x14ac:dyDescent="0.25">
      <c r="A3072" s="257">
        <v>3076</v>
      </c>
      <c r="B3072" s="267">
        <v>3071</v>
      </c>
      <c r="C3072" s="268" t="s">
        <v>1004</v>
      </c>
      <c r="D3072" s="269">
        <v>42516</v>
      </c>
      <c r="E3072" s="270" t="s">
        <v>2383</v>
      </c>
      <c r="F3072" s="384">
        <v>519000</v>
      </c>
      <c r="G3072" s="270">
        <v>690655317</v>
      </c>
    </row>
    <row r="3073" spans="1:7" x14ac:dyDescent="0.25">
      <c r="A3073" s="257">
        <v>3077</v>
      </c>
      <c r="B3073" s="267">
        <v>3072</v>
      </c>
      <c r="C3073" s="268" t="s">
        <v>1124</v>
      </c>
      <c r="D3073" s="269">
        <v>42516</v>
      </c>
      <c r="E3073" s="270" t="s">
        <v>226</v>
      </c>
      <c r="F3073" s="384">
        <v>516000</v>
      </c>
      <c r="G3073" s="270">
        <v>190654467</v>
      </c>
    </row>
    <row r="3074" spans="1:7" x14ac:dyDescent="0.25">
      <c r="A3074" s="257">
        <v>3078</v>
      </c>
      <c r="B3074" s="267">
        <v>3073</v>
      </c>
      <c r="C3074" s="268" t="s">
        <v>3279</v>
      </c>
      <c r="D3074" s="269">
        <v>42517</v>
      </c>
      <c r="E3074" s="270" t="s">
        <v>3585</v>
      </c>
      <c r="F3074" s="384">
        <v>235000</v>
      </c>
      <c r="G3074" s="270">
        <v>191283872</v>
      </c>
    </row>
    <row r="3075" spans="1:7" x14ac:dyDescent="0.25">
      <c r="A3075" s="257">
        <v>3079</v>
      </c>
      <c r="B3075" s="267">
        <v>3074</v>
      </c>
      <c r="C3075" s="268" t="s">
        <v>3279</v>
      </c>
      <c r="D3075" s="269">
        <v>42517</v>
      </c>
      <c r="E3075" s="270" t="s">
        <v>3585</v>
      </c>
      <c r="F3075" s="384">
        <v>235000</v>
      </c>
      <c r="G3075" s="270">
        <v>191283872</v>
      </c>
    </row>
    <row r="3076" spans="1:7" x14ac:dyDescent="0.25">
      <c r="A3076" s="257">
        <v>3080</v>
      </c>
      <c r="B3076" s="267">
        <v>3075</v>
      </c>
      <c r="C3076" s="268" t="s">
        <v>802</v>
      </c>
      <c r="D3076" s="269">
        <v>42517</v>
      </c>
      <c r="E3076" s="270" t="s">
        <v>1641</v>
      </c>
      <c r="F3076" s="384">
        <v>4648000</v>
      </c>
      <c r="G3076" s="270">
        <v>100135464</v>
      </c>
    </row>
    <row r="3077" spans="1:7" x14ac:dyDescent="0.25">
      <c r="A3077" s="257">
        <v>3081</v>
      </c>
      <c r="B3077" s="267">
        <v>3076</v>
      </c>
      <c r="C3077" s="268" t="s">
        <v>3540</v>
      </c>
      <c r="D3077" s="269">
        <v>42517</v>
      </c>
      <c r="E3077" s="270" t="s">
        <v>328</v>
      </c>
      <c r="F3077" s="384">
        <v>332000</v>
      </c>
      <c r="G3077" s="270">
        <v>100753641</v>
      </c>
    </row>
    <row r="3078" spans="1:7" x14ac:dyDescent="0.25">
      <c r="A3078" s="257">
        <v>3082</v>
      </c>
      <c r="B3078" s="267">
        <v>3077</v>
      </c>
      <c r="C3078" s="268" t="s">
        <v>3328</v>
      </c>
      <c r="D3078" s="269">
        <v>42519</v>
      </c>
      <c r="E3078" s="270" t="s">
        <v>3751</v>
      </c>
      <c r="F3078" s="384">
        <v>332000</v>
      </c>
      <c r="G3078" s="270">
        <v>590322284</v>
      </c>
    </row>
    <row r="3079" spans="1:7" x14ac:dyDescent="0.25">
      <c r="A3079" s="257">
        <v>3083</v>
      </c>
      <c r="B3079" s="267">
        <v>3078</v>
      </c>
      <c r="C3079" s="268" t="s">
        <v>1049</v>
      </c>
      <c r="D3079" s="269">
        <v>42520</v>
      </c>
      <c r="E3079" s="270" t="s">
        <v>329</v>
      </c>
      <c r="F3079" s="384">
        <v>516000</v>
      </c>
      <c r="G3079" s="270">
        <v>190800080</v>
      </c>
    </row>
    <row r="3080" spans="1:7" x14ac:dyDescent="0.25">
      <c r="A3080" s="257">
        <v>3084</v>
      </c>
      <c r="B3080" s="267">
        <v>3079</v>
      </c>
      <c r="C3080" s="268" t="s">
        <v>196</v>
      </c>
      <c r="D3080" s="269">
        <v>42520</v>
      </c>
      <c r="E3080" s="270" t="s">
        <v>2717</v>
      </c>
      <c r="F3080" s="384">
        <v>516000</v>
      </c>
      <c r="G3080" s="270">
        <v>101538513</v>
      </c>
    </row>
    <row r="3081" spans="1:7" x14ac:dyDescent="0.25">
      <c r="A3081" s="257">
        <v>3085</v>
      </c>
      <c r="B3081" s="267">
        <v>3080</v>
      </c>
      <c r="C3081" s="268" t="s">
        <v>1928</v>
      </c>
      <c r="D3081" s="269">
        <v>42520</v>
      </c>
      <c r="E3081" s="270" t="s">
        <v>2801</v>
      </c>
      <c r="F3081" s="384">
        <v>235000</v>
      </c>
      <c r="G3081" s="270">
        <v>190334745</v>
      </c>
    </row>
    <row r="3082" spans="1:7" x14ac:dyDescent="0.25">
      <c r="A3082" s="257">
        <v>3086</v>
      </c>
      <c r="B3082" s="267">
        <v>3081</v>
      </c>
      <c r="C3082" s="268" t="s">
        <v>136</v>
      </c>
      <c r="D3082" s="269">
        <v>42520</v>
      </c>
      <c r="E3082" s="270" t="s">
        <v>1617</v>
      </c>
      <c r="F3082" s="384">
        <v>184000</v>
      </c>
      <c r="G3082" s="270">
        <v>190916377</v>
      </c>
    </row>
    <row r="3083" spans="1:7" x14ac:dyDescent="0.25">
      <c r="A3083" s="257">
        <v>3087</v>
      </c>
      <c r="B3083" s="267">
        <v>3082</v>
      </c>
      <c r="C3083" s="268" t="s">
        <v>265</v>
      </c>
      <c r="D3083" s="269">
        <v>42520</v>
      </c>
      <c r="E3083" s="270" t="s">
        <v>450</v>
      </c>
      <c r="F3083" s="384">
        <v>516000</v>
      </c>
      <c r="G3083" s="270">
        <v>100468996</v>
      </c>
    </row>
    <row r="3084" spans="1:7" x14ac:dyDescent="0.25">
      <c r="A3084" s="257">
        <v>3088</v>
      </c>
      <c r="B3084" s="267">
        <v>3083</v>
      </c>
      <c r="C3084" s="268" t="s">
        <v>425</v>
      </c>
      <c r="D3084" s="269">
        <v>42520</v>
      </c>
      <c r="E3084" s="270" t="s">
        <v>800</v>
      </c>
      <c r="F3084" s="384">
        <v>70000</v>
      </c>
      <c r="G3084" s="270">
        <v>190519586</v>
      </c>
    </row>
    <row r="3085" spans="1:7" x14ac:dyDescent="0.25">
      <c r="A3085" s="257">
        <v>3089</v>
      </c>
      <c r="B3085" s="267">
        <v>3084</v>
      </c>
      <c r="C3085" s="268" t="s">
        <v>683</v>
      </c>
      <c r="D3085" s="269">
        <v>42520</v>
      </c>
      <c r="E3085" s="270" t="s">
        <v>3324</v>
      </c>
      <c r="F3085" s="384">
        <v>91000</v>
      </c>
      <c r="G3085" s="270">
        <v>190253060</v>
      </c>
    </row>
    <row r="3086" spans="1:7" x14ac:dyDescent="0.25">
      <c r="A3086" s="257">
        <v>3090</v>
      </c>
      <c r="B3086" s="267">
        <v>3085</v>
      </c>
      <c r="C3086" s="268" t="s">
        <v>136</v>
      </c>
      <c r="D3086" s="269">
        <v>42520</v>
      </c>
      <c r="E3086" s="270" t="s">
        <v>1617</v>
      </c>
      <c r="F3086" s="384">
        <v>74000</v>
      </c>
      <c r="G3086" s="270">
        <v>190916377</v>
      </c>
    </row>
    <row r="3087" spans="1:7" x14ac:dyDescent="0.25">
      <c r="A3087" s="257">
        <v>3091</v>
      </c>
      <c r="B3087" s="267">
        <v>3086</v>
      </c>
      <c r="C3087" s="268" t="s">
        <v>860</v>
      </c>
      <c r="D3087" s="269">
        <v>42521</v>
      </c>
      <c r="E3087" s="270" t="s">
        <v>859</v>
      </c>
      <c r="F3087" s="384">
        <v>111000</v>
      </c>
      <c r="G3087" s="270">
        <v>191564325</v>
      </c>
    </row>
    <row r="3088" spans="1:7" x14ac:dyDescent="0.25">
      <c r="A3088" s="257">
        <v>3092</v>
      </c>
      <c r="B3088" s="267">
        <v>3087</v>
      </c>
      <c r="C3088" s="268" t="s">
        <v>2360</v>
      </c>
      <c r="D3088" s="269">
        <v>42521</v>
      </c>
      <c r="E3088" s="270" t="s">
        <v>1807</v>
      </c>
      <c r="F3088" s="384">
        <v>284000</v>
      </c>
      <c r="G3088" s="270">
        <v>101277625</v>
      </c>
    </row>
    <row r="3089" spans="1:7" x14ac:dyDescent="0.25">
      <c r="A3089" s="257">
        <v>3093</v>
      </c>
      <c r="B3089" s="267">
        <v>3088</v>
      </c>
      <c r="C3089" s="268" t="s">
        <v>196</v>
      </c>
      <c r="D3089" s="269">
        <v>42521</v>
      </c>
      <c r="E3089" s="270" t="s">
        <v>2717</v>
      </c>
      <c r="F3089" s="384">
        <v>516000</v>
      </c>
      <c r="G3089" s="270">
        <v>101538513</v>
      </c>
    </row>
    <row r="3090" spans="1:7" x14ac:dyDescent="0.25">
      <c r="A3090" s="257">
        <v>3094</v>
      </c>
      <c r="B3090" s="267">
        <v>3089</v>
      </c>
      <c r="C3090" s="268" t="s">
        <v>68</v>
      </c>
      <c r="D3090" s="269">
        <v>42521</v>
      </c>
      <c r="E3090" s="270" t="s">
        <v>3843</v>
      </c>
      <c r="F3090" s="384">
        <v>252000</v>
      </c>
      <c r="G3090" s="270">
        <v>190771653</v>
      </c>
    </row>
    <row r="3091" spans="1:7" x14ac:dyDescent="0.25">
      <c r="A3091" s="257">
        <v>3095</v>
      </c>
      <c r="B3091" s="267">
        <v>3090</v>
      </c>
      <c r="C3091" s="268" t="s">
        <v>1811</v>
      </c>
      <c r="D3091" s="269">
        <v>42521</v>
      </c>
      <c r="E3091" s="270" t="s">
        <v>2619</v>
      </c>
      <c r="F3091" s="384">
        <v>284000</v>
      </c>
      <c r="G3091" s="270">
        <v>190321121</v>
      </c>
    </row>
    <row r="3092" spans="1:7" x14ac:dyDescent="0.25">
      <c r="A3092" s="257">
        <v>3096</v>
      </c>
      <c r="B3092" s="267">
        <v>3091</v>
      </c>
      <c r="C3092" s="268" t="s">
        <v>2143</v>
      </c>
      <c r="D3092" s="269">
        <v>42521</v>
      </c>
      <c r="E3092" s="270" t="s">
        <v>1927</v>
      </c>
      <c r="F3092" s="384">
        <v>991000</v>
      </c>
      <c r="G3092" s="270">
        <v>190032958</v>
      </c>
    </row>
    <row r="3093" spans="1:7" x14ac:dyDescent="0.25">
      <c r="A3093" s="257">
        <v>3097</v>
      </c>
      <c r="B3093" s="267">
        <v>3092</v>
      </c>
      <c r="C3093" s="268" t="s">
        <v>2143</v>
      </c>
      <c r="D3093" s="269">
        <v>42521</v>
      </c>
      <c r="E3093" s="270" t="s">
        <v>1927</v>
      </c>
      <c r="F3093" s="384">
        <v>516000</v>
      </c>
      <c r="G3093" s="270">
        <v>190032958</v>
      </c>
    </row>
    <row r="3094" spans="1:7" x14ac:dyDescent="0.25">
      <c r="A3094" s="257">
        <v>3098</v>
      </c>
      <c r="B3094" s="267">
        <v>3093</v>
      </c>
      <c r="C3094" s="268" t="s">
        <v>910</v>
      </c>
      <c r="D3094" s="269">
        <v>42521</v>
      </c>
      <c r="E3094" s="270" t="s">
        <v>1656</v>
      </c>
      <c r="F3094" s="384">
        <v>43000</v>
      </c>
      <c r="G3094" s="270">
        <v>101439397</v>
      </c>
    </row>
    <row r="3095" spans="1:7" x14ac:dyDescent="0.25">
      <c r="A3095" s="257">
        <v>3099</v>
      </c>
      <c r="B3095" s="267">
        <v>3094</v>
      </c>
      <c r="C3095" s="268" t="s">
        <v>4221</v>
      </c>
      <c r="D3095" s="269">
        <v>42523</v>
      </c>
      <c r="E3095" s="270" t="s">
        <v>3774</v>
      </c>
      <c r="F3095" s="384">
        <v>252000</v>
      </c>
      <c r="G3095" s="270">
        <v>690019524</v>
      </c>
    </row>
    <row r="3096" spans="1:7" x14ac:dyDescent="0.25">
      <c r="A3096" s="257">
        <v>3100</v>
      </c>
      <c r="B3096" s="267">
        <v>3095</v>
      </c>
      <c r="C3096" s="268" t="s">
        <v>680</v>
      </c>
      <c r="D3096" s="269">
        <v>42523</v>
      </c>
      <c r="E3096" s="270" t="s">
        <v>3598</v>
      </c>
      <c r="F3096" s="384">
        <v>516000</v>
      </c>
      <c r="G3096" s="270">
        <v>190221603</v>
      </c>
    </row>
    <row r="3097" spans="1:7" x14ac:dyDescent="0.25">
      <c r="A3097" s="257">
        <v>3101</v>
      </c>
      <c r="B3097" s="267">
        <v>3096</v>
      </c>
      <c r="C3097" s="268" t="s">
        <v>1021</v>
      </c>
      <c r="D3097" s="269">
        <v>42523</v>
      </c>
      <c r="E3097" s="270" t="s">
        <v>320</v>
      </c>
      <c r="F3097" s="384">
        <v>284000</v>
      </c>
      <c r="G3097" s="270">
        <v>690831296</v>
      </c>
    </row>
    <row r="3098" spans="1:7" x14ac:dyDescent="0.25">
      <c r="A3098" s="257">
        <v>3102</v>
      </c>
      <c r="B3098" s="267">
        <v>3097</v>
      </c>
      <c r="C3098" s="268" t="s">
        <v>307</v>
      </c>
      <c r="D3098" s="269">
        <v>42523</v>
      </c>
      <c r="E3098" s="270" t="s">
        <v>2094</v>
      </c>
      <c r="F3098" s="384">
        <v>252000</v>
      </c>
      <c r="G3098" s="270">
        <v>691406576</v>
      </c>
    </row>
    <row r="3099" spans="1:7" x14ac:dyDescent="0.25">
      <c r="A3099" s="257">
        <v>3103</v>
      </c>
      <c r="B3099" s="267">
        <v>3098</v>
      </c>
      <c r="C3099" s="268" t="s">
        <v>3253</v>
      </c>
      <c r="D3099" s="269">
        <v>42523</v>
      </c>
      <c r="E3099" s="270" t="s">
        <v>3631</v>
      </c>
      <c r="F3099" s="384">
        <v>664000</v>
      </c>
      <c r="G3099" s="270">
        <v>691380883</v>
      </c>
    </row>
    <row r="3100" spans="1:7" x14ac:dyDescent="0.25">
      <c r="A3100" s="257">
        <v>3104</v>
      </c>
      <c r="B3100" s="267">
        <v>3099</v>
      </c>
      <c r="C3100" s="268" t="s">
        <v>3253</v>
      </c>
      <c r="D3100" s="269">
        <v>42523</v>
      </c>
      <c r="E3100" s="270" t="s">
        <v>3631</v>
      </c>
      <c r="F3100" s="384">
        <v>368000</v>
      </c>
      <c r="G3100" s="270">
        <v>691380883</v>
      </c>
    </row>
    <row r="3101" spans="1:7" x14ac:dyDescent="0.25">
      <c r="A3101" s="257">
        <v>3105</v>
      </c>
      <c r="B3101" s="267">
        <v>3100</v>
      </c>
      <c r="C3101" s="268" t="s">
        <v>333</v>
      </c>
      <c r="D3101" s="269">
        <v>42524</v>
      </c>
      <c r="E3101" s="270" t="s">
        <v>209</v>
      </c>
      <c r="F3101" s="384">
        <v>252000</v>
      </c>
      <c r="G3101" s="270">
        <v>191118996</v>
      </c>
    </row>
    <row r="3102" spans="1:7" x14ac:dyDescent="0.25">
      <c r="A3102" s="257">
        <v>3106</v>
      </c>
      <c r="B3102" s="267">
        <v>3101</v>
      </c>
      <c r="C3102" s="268" t="s">
        <v>3111</v>
      </c>
      <c r="D3102" s="269">
        <v>42524</v>
      </c>
      <c r="E3102" s="270" t="s">
        <v>1948</v>
      </c>
      <c r="F3102" s="384">
        <v>284000</v>
      </c>
      <c r="G3102" s="270">
        <v>808000755</v>
      </c>
    </row>
    <row r="3103" spans="1:7" x14ac:dyDescent="0.25">
      <c r="A3103" s="257">
        <v>3107</v>
      </c>
      <c r="B3103" s="267">
        <v>3102</v>
      </c>
      <c r="C3103" s="268" t="s">
        <v>1832</v>
      </c>
      <c r="D3103" s="269">
        <v>42524</v>
      </c>
      <c r="E3103" s="270" t="s">
        <v>1831</v>
      </c>
      <c r="F3103" s="384">
        <v>516000</v>
      </c>
      <c r="G3103" s="270">
        <v>190914810</v>
      </c>
    </row>
    <row r="3104" spans="1:7" x14ac:dyDescent="0.25">
      <c r="A3104" s="257">
        <v>3108</v>
      </c>
      <c r="B3104" s="267">
        <v>3103</v>
      </c>
      <c r="C3104" s="268" t="s">
        <v>195</v>
      </c>
      <c r="D3104" s="269">
        <v>42524</v>
      </c>
      <c r="E3104" s="270" t="s">
        <v>194</v>
      </c>
      <c r="F3104" s="384">
        <v>139000</v>
      </c>
      <c r="G3104" s="270">
        <v>100067998</v>
      </c>
    </row>
    <row r="3105" spans="1:7" x14ac:dyDescent="0.25">
      <c r="A3105" s="257">
        <v>3109</v>
      </c>
      <c r="B3105" s="267">
        <v>3104</v>
      </c>
      <c r="C3105" s="268" t="s">
        <v>1696</v>
      </c>
      <c r="D3105" s="269">
        <v>42524</v>
      </c>
      <c r="E3105" s="270" t="s">
        <v>1768</v>
      </c>
      <c r="F3105" s="384">
        <v>228000</v>
      </c>
      <c r="G3105" s="270">
        <v>100104712</v>
      </c>
    </row>
    <row r="3106" spans="1:7" x14ac:dyDescent="0.25">
      <c r="A3106" s="257">
        <v>3110</v>
      </c>
      <c r="B3106" s="267">
        <v>3105</v>
      </c>
      <c r="C3106" s="268" t="s">
        <v>3545</v>
      </c>
      <c r="D3106" s="269">
        <v>42524</v>
      </c>
      <c r="E3106" s="270" t="s">
        <v>4192</v>
      </c>
      <c r="F3106" s="384">
        <v>1136000</v>
      </c>
      <c r="G3106" s="270">
        <v>190063577</v>
      </c>
    </row>
    <row r="3107" spans="1:7" x14ac:dyDescent="0.25">
      <c r="A3107" s="257">
        <v>3111</v>
      </c>
      <c r="B3107" s="267">
        <v>3106</v>
      </c>
      <c r="C3107" s="268" t="s">
        <v>3281</v>
      </c>
      <c r="D3107" s="269">
        <v>42524</v>
      </c>
      <c r="E3107" s="270" t="s">
        <v>2875</v>
      </c>
      <c r="F3107" s="384">
        <v>516000</v>
      </c>
      <c r="G3107" s="270">
        <v>190996805</v>
      </c>
    </row>
    <row r="3108" spans="1:7" x14ac:dyDescent="0.25">
      <c r="A3108" s="257">
        <v>3112</v>
      </c>
      <c r="B3108" s="267">
        <v>3107</v>
      </c>
      <c r="C3108" s="268" t="s">
        <v>3538</v>
      </c>
      <c r="D3108" s="269">
        <v>42527</v>
      </c>
      <c r="E3108" s="270" t="s">
        <v>445</v>
      </c>
      <c r="F3108" s="384">
        <v>284000</v>
      </c>
      <c r="G3108" s="270">
        <v>190696505</v>
      </c>
    </row>
    <row r="3109" spans="1:7" x14ac:dyDescent="0.25">
      <c r="A3109" s="257">
        <v>3113</v>
      </c>
      <c r="B3109" s="267">
        <v>3108</v>
      </c>
      <c r="C3109" s="268" t="s">
        <v>488</v>
      </c>
      <c r="D3109" s="269">
        <v>42527</v>
      </c>
      <c r="E3109" s="270" t="s">
        <v>3622</v>
      </c>
      <c r="F3109" s="384">
        <v>235000</v>
      </c>
      <c r="G3109" s="270">
        <v>190787319</v>
      </c>
    </row>
    <row r="3110" spans="1:7" x14ac:dyDescent="0.25">
      <c r="A3110" s="257">
        <v>3114</v>
      </c>
      <c r="B3110" s="267">
        <v>3109</v>
      </c>
      <c r="C3110" s="268" t="s">
        <v>2613</v>
      </c>
      <c r="D3110" s="269">
        <v>42527</v>
      </c>
      <c r="E3110" s="270" t="s">
        <v>916</v>
      </c>
      <c r="F3110" s="384">
        <v>1466000</v>
      </c>
      <c r="G3110" s="270">
        <v>101553117</v>
      </c>
    </row>
    <row r="3111" spans="1:7" x14ac:dyDescent="0.25">
      <c r="A3111" s="257">
        <v>3115</v>
      </c>
      <c r="B3111" s="267">
        <v>3110</v>
      </c>
      <c r="C3111" s="268" t="s">
        <v>1525</v>
      </c>
      <c r="D3111" s="269">
        <v>42527</v>
      </c>
      <c r="E3111" s="270" t="s">
        <v>1005</v>
      </c>
      <c r="F3111" s="384">
        <v>111000</v>
      </c>
      <c r="G3111" s="270">
        <v>101116081</v>
      </c>
    </row>
    <row r="3112" spans="1:7" x14ac:dyDescent="0.25">
      <c r="A3112" s="257">
        <v>3116</v>
      </c>
      <c r="B3112" s="267">
        <v>3111</v>
      </c>
      <c r="C3112" s="268" t="s">
        <v>693</v>
      </c>
      <c r="D3112" s="269">
        <v>42527</v>
      </c>
      <c r="E3112" s="270" t="s">
        <v>446</v>
      </c>
      <c r="F3112" s="384">
        <v>332000</v>
      </c>
      <c r="G3112" s="270">
        <v>600215297</v>
      </c>
    </row>
    <row r="3113" spans="1:7" x14ac:dyDescent="0.25">
      <c r="A3113" s="257">
        <v>3117</v>
      </c>
      <c r="B3113" s="267">
        <v>3112</v>
      </c>
      <c r="C3113" s="268" t="s">
        <v>2162</v>
      </c>
      <c r="D3113" s="269">
        <v>42527</v>
      </c>
      <c r="E3113" s="270" t="s">
        <v>3244</v>
      </c>
      <c r="F3113" s="384">
        <v>284000</v>
      </c>
      <c r="G3113" s="270">
        <v>600011780</v>
      </c>
    </row>
    <row r="3114" spans="1:7" x14ac:dyDescent="0.25">
      <c r="A3114" s="257">
        <v>3118</v>
      </c>
      <c r="B3114" s="267">
        <v>3113</v>
      </c>
      <c r="C3114" s="268" t="s">
        <v>2645</v>
      </c>
      <c r="D3114" s="269">
        <v>42527</v>
      </c>
      <c r="E3114" s="270" t="s">
        <v>239</v>
      </c>
      <c r="F3114" s="384">
        <v>2064000</v>
      </c>
      <c r="G3114" s="270">
        <v>101139097</v>
      </c>
    </row>
    <row r="3115" spans="1:7" x14ac:dyDescent="0.25">
      <c r="A3115" s="257">
        <v>3119</v>
      </c>
      <c r="B3115" s="267">
        <v>3114</v>
      </c>
      <c r="C3115" s="268" t="s">
        <v>2380</v>
      </c>
      <c r="D3115" s="269">
        <v>42527</v>
      </c>
      <c r="E3115" s="270" t="s">
        <v>2379</v>
      </c>
      <c r="F3115" s="384">
        <v>252000</v>
      </c>
      <c r="G3115" s="270">
        <v>190664298</v>
      </c>
    </row>
    <row r="3116" spans="1:7" x14ac:dyDescent="0.25">
      <c r="A3116" s="257">
        <v>3120</v>
      </c>
      <c r="B3116" s="267">
        <v>3115</v>
      </c>
      <c r="C3116" s="268" t="s">
        <v>3538</v>
      </c>
      <c r="D3116" s="269">
        <v>42528</v>
      </c>
      <c r="E3116" s="270" t="s">
        <v>445</v>
      </c>
      <c r="F3116" s="384">
        <v>117000</v>
      </c>
      <c r="G3116" s="270">
        <v>190696505</v>
      </c>
    </row>
    <row r="3117" spans="1:7" x14ac:dyDescent="0.25">
      <c r="A3117" s="257">
        <v>3121</v>
      </c>
      <c r="B3117" s="267">
        <v>3116</v>
      </c>
      <c r="C3117" s="268" t="s">
        <v>2143</v>
      </c>
      <c r="D3117" s="269">
        <v>42528</v>
      </c>
      <c r="E3117" s="270" t="s">
        <v>1927</v>
      </c>
      <c r="F3117" s="384">
        <v>235000</v>
      </c>
      <c r="G3117" s="270">
        <v>190032958</v>
      </c>
    </row>
    <row r="3118" spans="1:7" x14ac:dyDescent="0.25">
      <c r="A3118" s="257">
        <v>3122</v>
      </c>
      <c r="B3118" s="267">
        <v>3117</v>
      </c>
      <c r="C3118" s="268" t="s">
        <v>2870</v>
      </c>
      <c r="D3118" s="269">
        <v>42531</v>
      </c>
      <c r="E3118" s="270" t="s">
        <v>877</v>
      </c>
      <c r="F3118" s="384">
        <v>332000</v>
      </c>
      <c r="G3118" s="270">
        <v>100064641</v>
      </c>
    </row>
    <row r="3119" spans="1:7" x14ac:dyDescent="0.25">
      <c r="A3119" s="257">
        <v>3123</v>
      </c>
      <c r="B3119" s="267">
        <v>3118</v>
      </c>
      <c r="C3119" s="268" t="s">
        <v>1832</v>
      </c>
      <c r="D3119" s="269">
        <v>42531</v>
      </c>
      <c r="E3119" s="270" t="s">
        <v>1831</v>
      </c>
      <c r="F3119" s="384">
        <v>516000</v>
      </c>
      <c r="G3119" s="270">
        <v>190914810</v>
      </c>
    </row>
    <row r="3120" spans="1:7" x14ac:dyDescent="0.25">
      <c r="A3120" s="257">
        <v>3124</v>
      </c>
      <c r="B3120" s="267">
        <v>3119</v>
      </c>
      <c r="C3120" s="268" t="s">
        <v>832</v>
      </c>
      <c r="D3120" s="269">
        <v>42535</v>
      </c>
      <c r="E3120" s="270" t="s">
        <v>245</v>
      </c>
      <c r="F3120" s="384">
        <v>1645000</v>
      </c>
      <c r="G3120" s="270">
        <v>100886879</v>
      </c>
    </row>
    <row r="3121" spans="1:7" x14ac:dyDescent="0.25">
      <c r="A3121" s="257">
        <v>3125</v>
      </c>
      <c r="B3121" s="267">
        <v>3120</v>
      </c>
      <c r="C3121" s="268" t="s">
        <v>2864</v>
      </c>
      <c r="D3121" s="269">
        <v>42535</v>
      </c>
      <c r="E3121" s="270" t="s">
        <v>2456</v>
      </c>
      <c r="F3121" s="384">
        <v>190000</v>
      </c>
      <c r="G3121" s="270">
        <v>100039768</v>
      </c>
    </row>
    <row r="3122" spans="1:7" x14ac:dyDescent="0.25">
      <c r="A3122" s="257">
        <v>3126</v>
      </c>
      <c r="B3122" s="267">
        <v>3121</v>
      </c>
      <c r="C3122" s="268" t="s">
        <v>2449</v>
      </c>
      <c r="D3122" s="269">
        <v>42535</v>
      </c>
      <c r="E3122" s="270" t="s">
        <v>330</v>
      </c>
      <c r="F3122" s="384">
        <v>235000</v>
      </c>
      <c r="G3122" s="270">
        <v>691068458</v>
      </c>
    </row>
    <row r="3123" spans="1:7" x14ac:dyDescent="0.25">
      <c r="A3123" s="257">
        <v>3127</v>
      </c>
      <c r="B3123" s="267">
        <v>3122</v>
      </c>
      <c r="C3123" s="268" t="s">
        <v>1839</v>
      </c>
      <c r="D3123" s="269">
        <v>42535</v>
      </c>
      <c r="E3123" s="270" t="s">
        <v>1838</v>
      </c>
      <c r="F3123" s="384">
        <v>190000</v>
      </c>
      <c r="G3123" s="270">
        <v>691076630</v>
      </c>
    </row>
    <row r="3124" spans="1:7" x14ac:dyDescent="0.25">
      <c r="A3124" s="257">
        <v>3128</v>
      </c>
      <c r="B3124" s="267">
        <v>3123</v>
      </c>
      <c r="C3124" s="268" t="s">
        <v>886</v>
      </c>
      <c r="D3124" s="269">
        <v>42535</v>
      </c>
      <c r="E3124" s="270" t="s">
        <v>1607</v>
      </c>
      <c r="F3124" s="384">
        <v>184000</v>
      </c>
      <c r="G3124" s="270">
        <v>690643672</v>
      </c>
    </row>
    <row r="3125" spans="1:7" x14ac:dyDescent="0.25">
      <c r="A3125" s="257">
        <v>3129</v>
      </c>
      <c r="B3125" s="267">
        <v>3124</v>
      </c>
      <c r="C3125" s="268" t="s">
        <v>195</v>
      </c>
      <c r="D3125" s="269">
        <v>42536</v>
      </c>
      <c r="E3125" s="270" t="s">
        <v>194</v>
      </c>
      <c r="F3125" s="384">
        <v>111000</v>
      </c>
      <c r="G3125" s="270">
        <v>100067998</v>
      </c>
    </row>
    <row r="3126" spans="1:7" x14ac:dyDescent="0.25">
      <c r="A3126" s="257">
        <v>3130</v>
      </c>
      <c r="B3126" s="267">
        <v>3125</v>
      </c>
      <c r="C3126" s="268" t="s">
        <v>2444</v>
      </c>
      <c r="D3126" s="269">
        <v>42536</v>
      </c>
      <c r="E3126" s="270" t="s">
        <v>2594</v>
      </c>
      <c r="F3126" s="384">
        <v>803000</v>
      </c>
      <c r="G3126" s="270">
        <v>100008077</v>
      </c>
    </row>
    <row r="3127" spans="1:7" x14ac:dyDescent="0.25">
      <c r="A3127" s="257">
        <v>3131</v>
      </c>
      <c r="B3127" s="267">
        <v>3126</v>
      </c>
      <c r="C3127" s="268" t="s">
        <v>3216</v>
      </c>
      <c r="D3127" s="269">
        <v>42536</v>
      </c>
      <c r="E3127" s="270" t="s">
        <v>1644</v>
      </c>
      <c r="F3127" s="384">
        <v>1660000</v>
      </c>
      <c r="G3127" s="270">
        <v>100315288</v>
      </c>
    </row>
    <row r="3128" spans="1:7" x14ac:dyDescent="0.25">
      <c r="A3128" s="257">
        <v>3132</v>
      </c>
      <c r="B3128" s="267">
        <v>3127</v>
      </c>
      <c r="C3128" s="268" t="s">
        <v>3615</v>
      </c>
      <c r="D3128" s="269">
        <v>42536</v>
      </c>
      <c r="E3128" s="270" t="s">
        <v>3270</v>
      </c>
      <c r="F3128" s="384">
        <v>705000</v>
      </c>
      <c r="G3128" s="270">
        <v>102376116</v>
      </c>
    </row>
    <row r="3129" spans="1:7" x14ac:dyDescent="0.25">
      <c r="A3129" s="257">
        <v>3133</v>
      </c>
      <c r="B3129" s="267">
        <v>3128</v>
      </c>
      <c r="C3129" s="268" t="s">
        <v>196</v>
      </c>
      <c r="D3129" s="269">
        <v>42536</v>
      </c>
      <c r="E3129" s="270" t="s">
        <v>2717</v>
      </c>
      <c r="F3129" s="384">
        <v>516000</v>
      </c>
      <c r="G3129" s="270">
        <v>101538513</v>
      </c>
    </row>
    <row r="3130" spans="1:7" x14ac:dyDescent="0.25">
      <c r="A3130" s="257">
        <v>3134</v>
      </c>
      <c r="B3130" s="267">
        <v>3129</v>
      </c>
      <c r="C3130" s="268" t="s">
        <v>1696</v>
      </c>
      <c r="D3130" s="269">
        <v>42536</v>
      </c>
      <c r="E3130" s="270" t="s">
        <v>1768</v>
      </c>
      <c r="F3130" s="384">
        <v>74000</v>
      </c>
      <c r="G3130" s="270">
        <v>100104712</v>
      </c>
    </row>
    <row r="3131" spans="1:7" x14ac:dyDescent="0.25">
      <c r="A3131" s="257">
        <v>3135</v>
      </c>
      <c r="B3131" s="267">
        <v>3130</v>
      </c>
      <c r="C3131" s="268" t="s">
        <v>2778</v>
      </c>
      <c r="D3131" s="269">
        <v>42541</v>
      </c>
      <c r="E3131" s="270" t="s">
        <v>326</v>
      </c>
      <c r="F3131" s="384">
        <v>43000</v>
      </c>
      <c r="G3131" s="270">
        <v>200216443</v>
      </c>
    </row>
    <row r="3132" spans="1:7" x14ac:dyDescent="0.25">
      <c r="A3132" s="257">
        <v>3136</v>
      </c>
      <c r="B3132" s="267">
        <v>3131</v>
      </c>
      <c r="C3132" s="268" t="s">
        <v>3538</v>
      </c>
      <c r="D3132" s="269">
        <v>42543</v>
      </c>
      <c r="E3132" s="270" t="s">
        <v>445</v>
      </c>
      <c r="F3132" s="384">
        <v>235000</v>
      </c>
      <c r="G3132" s="270">
        <v>190696505</v>
      </c>
    </row>
    <row r="3133" spans="1:7" x14ac:dyDescent="0.25">
      <c r="A3133" s="257">
        <v>3137</v>
      </c>
      <c r="B3133" s="267">
        <v>3132</v>
      </c>
      <c r="C3133" s="268" t="s">
        <v>3554</v>
      </c>
      <c r="D3133" s="269">
        <v>42543</v>
      </c>
      <c r="E3133" s="270" t="s">
        <v>3291</v>
      </c>
      <c r="F3133" s="384">
        <v>74000</v>
      </c>
      <c r="G3133" s="270">
        <v>100054851</v>
      </c>
    </row>
    <row r="3134" spans="1:7" x14ac:dyDescent="0.25">
      <c r="A3134" s="257">
        <v>3138</v>
      </c>
      <c r="B3134" s="267">
        <v>3133</v>
      </c>
      <c r="C3134" s="268" t="s">
        <v>1636</v>
      </c>
      <c r="D3134" s="269">
        <v>42543</v>
      </c>
      <c r="E3134" s="270" t="s">
        <v>3743</v>
      </c>
      <c r="F3134" s="384">
        <v>235000</v>
      </c>
      <c r="G3134" s="270">
        <v>690026172</v>
      </c>
    </row>
    <row r="3135" spans="1:7" x14ac:dyDescent="0.25">
      <c r="A3135" s="257">
        <v>3139</v>
      </c>
      <c r="B3135" s="267">
        <v>3134</v>
      </c>
      <c r="C3135" s="268" t="s">
        <v>925</v>
      </c>
      <c r="D3135" s="269">
        <v>42543</v>
      </c>
      <c r="E3135" s="270" t="s">
        <v>4217</v>
      </c>
      <c r="F3135" s="384">
        <v>235000</v>
      </c>
      <c r="G3135" s="270">
        <v>101090386</v>
      </c>
    </row>
    <row r="3136" spans="1:7" x14ac:dyDescent="0.25">
      <c r="A3136" s="257">
        <v>3140</v>
      </c>
      <c r="B3136" s="267">
        <v>3135</v>
      </c>
      <c r="C3136" s="268" t="s">
        <v>3302</v>
      </c>
      <c r="D3136" s="269">
        <v>42543</v>
      </c>
      <c r="E3136" s="270" t="s">
        <v>1529</v>
      </c>
      <c r="F3136" s="384">
        <v>332000</v>
      </c>
      <c r="G3136" s="270">
        <v>600125079</v>
      </c>
    </row>
    <row r="3137" spans="1:7" x14ac:dyDescent="0.25">
      <c r="A3137" s="257">
        <v>3141</v>
      </c>
      <c r="B3137" s="267">
        <v>3136</v>
      </c>
      <c r="C3137" s="268" t="s">
        <v>2645</v>
      </c>
      <c r="D3137" s="269">
        <v>42543</v>
      </c>
      <c r="E3137" s="270" t="s">
        <v>239</v>
      </c>
      <c r="F3137" s="384">
        <v>2912000</v>
      </c>
      <c r="G3137" s="270">
        <v>101139097</v>
      </c>
    </row>
    <row r="3138" spans="1:7" x14ac:dyDescent="0.25">
      <c r="A3138" s="257">
        <v>3142</v>
      </c>
      <c r="B3138" s="267">
        <v>3137</v>
      </c>
      <c r="C3138" s="268" t="s">
        <v>708</v>
      </c>
      <c r="D3138" s="269">
        <v>42543</v>
      </c>
      <c r="E3138" s="270" t="s">
        <v>2731</v>
      </c>
      <c r="F3138" s="384">
        <v>232000</v>
      </c>
      <c r="G3138" s="270">
        <v>190999368</v>
      </c>
    </row>
    <row r="3139" spans="1:7" x14ac:dyDescent="0.25">
      <c r="A3139" s="257">
        <v>3143</v>
      </c>
      <c r="B3139" s="267">
        <v>3138</v>
      </c>
      <c r="C3139" s="268" t="s">
        <v>196</v>
      </c>
      <c r="D3139" s="269">
        <v>42544</v>
      </c>
      <c r="E3139" s="270" t="s">
        <v>2717</v>
      </c>
      <c r="F3139" s="384">
        <v>516000</v>
      </c>
      <c r="G3139" s="270">
        <v>101538513</v>
      </c>
    </row>
    <row r="3140" spans="1:7" x14ac:dyDescent="0.25">
      <c r="A3140" s="257">
        <v>3144</v>
      </c>
      <c r="B3140" s="267">
        <v>3139</v>
      </c>
      <c r="C3140" s="268" t="s">
        <v>3284</v>
      </c>
      <c r="D3140" s="269">
        <v>42544</v>
      </c>
      <c r="E3140" s="270" t="s">
        <v>1651</v>
      </c>
      <c r="F3140" s="384">
        <v>516000</v>
      </c>
      <c r="G3140" s="270">
        <v>190884251</v>
      </c>
    </row>
    <row r="3141" spans="1:7" x14ac:dyDescent="0.25">
      <c r="A3141" s="257">
        <v>3145</v>
      </c>
      <c r="B3141" s="267">
        <v>3140</v>
      </c>
      <c r="C3141" s="268" t="s">
        <v>2686</v>
      </c>
      <c r="D3141" s="269">
        <v>42544</v>
      </c>
      <c r="E3141" s="270" t="s">
        <v>1635</v>
      </c>
      <c r="F3141" s="384">
        <v>200000</v>
      </c>
      <c r="G3141" s="270">
        <v>102378267</v>
      </c>
    </row>
    <row r="3142" spans="1:7" x14ac:dyDescent="0.25">
      <c r="A3142" s="257">
        <v>3146</v>
      </c>
      <c r="B3142" s="267">
        <v>3141</v>
      </c>
      <c r="C3142" s="268" t="s">
        <v>3632</v>
      </c>
      <c r="D3142" s="269">
        <v>42544</v>
      </c>
      <c r="E3142" s="270" t="s">
        <v>2455</v>
      </c>
      <c r="F3142" s="384">
        <v>1216000</v>
      </c>
      <c r="G3142" s="270">
        <v>691530048</v>
      </c>
    </row>
    <row r="3143" spans="1:7" x14ac:dyDescent="0.25">
      <c r="A3143" s="257">
        <v>3147</v>
      </c>
      <c r="B3143" s="267">
        <v>3142</v>
      </c>
      <c r="C3143" s="268" t="s">
        <v>262</v>
      </c>
      <c r="D3143" s="269">
        <v>42548</v>
      </c>
      <c r="E3143" s="270" t="s">
        <v>927</v>
      </c>
      <c r="F3143" s="384">
        <v>190000</v>
      </c>
      <c r="G3143" s="270">
        <v>190454318</v>
      </c>
    </row>
    <row r="3144" spans="1:7" x14ac:dyDescent="0.25">
      <c r="A3144" s="257">
        <v>3148</v>
      </c>
      <c r="B3144" s="267">
        <v>3143</v>
      </c>
      <c r="C3144" s="268" t="s">
        <v>1525</v>
      </c>
      <c r="D3144" s="269">
        <v>42548</v>
      </c>
      <c r="E3144" s="270" t="s">
        <v>1005</v>
      </c>
      <c r="F3144" s="384">
        <v>200000</v>
      </c>
      <c r="G3144" s="270">
        <v>101116081</v>
      </c>
    </row>
    <row r="3145" spans="1:7" x14ac:dyDescent="0.25">
      <c r="A3145" s="257">
        <v>3149</v>
      </c>
      <c r="B3145" s="267">
        <v>3144</v>
      </c>
      <c r="C3145" s="268" t="s">
        <v>131</v>
      </c>
      <c r="D3145" s="269">
        <v>42548</v>
      </c>
      <c r="E3145" s="270" t="s">
        <v>2802</v>
      </c>
      <c r="F3145" s="384">
        <v>516000</v>
      </c>
      <c r="G3145" s="270">
        <v>0</v>
      </c>
    </row>
    <row r="3146" spans="1:7" x14ac:dyDescent="0.25">
      <c r="A3146" s="257">
        <v>3150</v>
      </c>
      <c r="B3146" s="267">
        <v>3145</v>
      </c>
      <c r="C3146" s="268" t="s">
        <v>4237</v>
      </c>
      <c r="D3146" s="269">
        <v>42548</v>
      </c>
      <c r="E3146" s="270" t="s">
        <v>1539</v>
      </c>
      <c r="F3146" s="384">
        <v>195000</v>
      </c>
      <c r="G3146" s="270">
        <v>191307470</v>
      </c>
    </row>
    <row r="3147" spans="1:7" x14ac:dyDescent="0.25">
      <c r="A3147" s="257">
        <v>3151</v>
      </c>
      <c r="B3147" s="267">
        <v>3146</v>
      </c>
      <c r="C3147" s="268" t="s">
        <v>2848</v>
      </c>
      <c r="D3147" s="269">
        <v>42551</v>
      </c>
      <c r="E3147" s="270" t="s">
        <v>1100</v>
      </c>
      <c r="F3147" s="384">
        <v>195000</v>
      </c>
      <c r="G3147" s="270">
        <v>101288715</v>
      </c>
    </row>
    <row r="3148" spans="1:7" x14ac:dyDescent="0.25">
      <c r="A3148" s="257">
        <v>3152</v>
      </c>
      <c r="B3148" s="267">
        <v>3147</v>
      </c>
      <c r="C3148" s="268" t="s">
        <v>1696</v>
      </c>
      <c r="D3148" s="269">
        <v>42551</v>
      </c>
      <c r="E3148" s="270" t="s">
        <v>1768</v>
      </c>
      <c r="F3148" s="384">
        <v>74000</v>
      </c>
      <c r="G3148" s="270">
        <v>100104712</v>
      </c>
    </row>
    <row r="3149" spans="1:7" x14ac:dyDescent="0.25">
      <c r="A3149" s="257">
        <v>3153</v>
      </c>
      <c r="B3149" s="267">
        <v>3148</v>
      </c>
      <c r="C3149" s="268" t="s">
        <v>1025</v>
      </c>
      <c r="D3149" s="269">
        <v>42551</v>
      </c>
      <c r="E3149" s="270" t="s">
        <v>1024</v>
      </c>
      <c r="F3149" s="384">
        <v>190000</v>
      </c>
      <c r="G3149" s="270">
        <v>190962092</v>
      </c>
    </row>
    <row r="3150" spans="1:7" x14ac:dyDescent="0.25">
      <c r="A3150" s="257">
        <v>3154</v>
      </c>
      <c r="B3150" s="267">
        <v>3149</v>
      </c>
      <c r="C3150" s="268" t="s">
        <v>334</v>
      </c>
      <c r="D3150" s="269">
        <v>42557</v>
      </c>
      <c r="E3150" s="270" t="s">
        <v>1694</v>
      </c>
      <c r="F3150" s="384">
        <v>33.200000000000003</v>
      </c>
      <c r="G3150" s="270">
        <v>101392173</v>
      </c>
    </row>
    <row r="3151" spans="1:7" x14ac:dyDescent="0.25">
      <c r="A3151" s="257">
        <v>3155</v>
      </c>
      <c r="B3151" s="267">
        <v>3150</v>
      </c>
      <c r="C3151" s="268" t="s">
        <v>4201</v>
      </c>
      <c r="D3151" s="269">
        <v>42557</v>
      </c>
      <c r="E3151" s="270" t="s">
        <v>349</v>
      </c>
      <c r="F3151" s="384">
        <v>51.6</v>
      </c>
      <c r="G3151" s="270">
        <v>690604750</v>
      </c>
    </row>
    <row r="3152" spans="1:7" x14ac:dyDescent="0.25">
      <c r="A3152" s="257">
        <v>3156</v>
      </c>
      <c r="B3152" s="267">
        <v>3151</v>
      </c>
      <c r="C3152" s="268" t="s">
        <v>2449</v>
      </c>
      <c r="D3152" s="269">
        <v>42557</v>
      </c>
      <c r="E3152" s="270" t="s">
        <v>330</v>
      </c>
      <c r="F3152" s="384">
        <v>11.7</v>
      </c>
      <c r="G3152" s="270">
        <v>691068458</v>
      </c>
    </row>
    <row r="3153" spans="1:7" x14ac:dyDescent="0.25">
      <c r="A3153" s="257">
        <v>3157</v>
      </c>
      <c r="B3153" s="267">
        <v>3152</v>
      </c>
      <c r="C3153" s="268" t="s">
        <v>1839</v>
      </c>
      <c r="D3153" s="269">
        <v>42557</v>
      </c>
      <c r="E3153" s="270" t="s">
        <v>1838</v>
      </c>
      <c r="F3153" s="384">
        <v>7.4</v>
      </c>
      <c r="G3153" s="270">
        <v>691076630</v>
      </c>
    </row>
    <row r="3154" spans="1:7" x14ac:dyDescent="0.25">
      <c r="A3154" s="257">
        <v>3158</v>
      </c>
      <c r="B3154" s="267">
        <v>3153</v>
      </c>
      <c r="C3154" s="268" t="s">
        <v>2733</v>
      </c>
      <c r="D3154" s="269">
        <v>42557</v>
      </c>
      <c r="E3154" s="270" t="s">
        <v>3491</v>
      </c>
      <c r="F3154" s="384">
        <v>19.5</v>
      </c>
      <c r="G3154" s="270">
        <v>800014037</v>
      </c>
    </row>
    <row r="3155" spans="1:7" x14ac:dyDescent="0.25">
      <c r="A3155" s="257">
        <v>3159</v>
      </c>
      <c r="B3155" s="267">
        <v>3154</v>
      </c>
      <c r="C3155" s="268" t="s">
        <v>732</v>
      </c>
      <c r="D3155" s="269">
        <v>42557</v>
      </c>
      <c r="E3155" s="270" t="s">
        <v>3238</v>
      </c>
      <c r="F3155" s="384">
        <v>51.6</v>
      </c>
      <c r="G3155" s="270">
        <v>191870208</v>
      </c>
    </row>
    <row r="3156" spans="1:7" x14ac:dyDescent="0.25">
      <c r="A3156" s="257">
        <v>3160</v>
      </c>
      <c r="B3156" s="267">
        <v>3155</v>
      </c>
      <c r="C3156" s="268" t="s">
        <v>1021</v>
      </c>
      <c r="D3156" s="269">
        <v>42557</v>
      </c>
      <c r="E3156" s="270" t="s">
        <v>320</v>
      </c>
      <c r="F3156" s="384">
        <v>3.7</v>
      </c>
      <c r="G3156" s="270">
        <v>690831296</v>
      </c>
    </row>
    <row r="3157" spans="1:7" x14ac:dyDescent="0.25">
      <c r="A3157" s="257">
        <v>3161</v>
      </c>
      <c r="B3157" s="267">
        <v>3156</v>
      </c>
      <c r="C3157" s="268" t="s">
        <v>3550</v>
      </c>
      <c r="D3157" s="269">
        <v>42557</v>
      </c>
      <c r="E3157" s="270" t="s">
        <v>2676</v>
      </c>
      <c r="F3157" s="384">
        <v>51.6</v>
      </c>
      <c r="G3157" s="270">
        <v>690594220</v>
      </c>
    </row>
    <row r="3158" spans="1:7" x14ac:dyDescent="0.25">
      <c r="A3158" s="257">
        <v>3162</v>
      </c>
      <c r="B3158" s="267">
        <v>3157</v>
      </c>
      <c r="C3158" s="268" t="s">
        <v>504</v>
      </c>
      <c r="D3158" s="269">
        <v>42558</v>
      </c>
      <c r="E3158" s="270" t="s">
        <v>503</v>
      </c>
      <c r="F3158" s="384">
        <v>33.200000000000003</v>
      </c>
      <c r="G3158" s="270">
        <v>691798556</v>
      </c>
    </row>
    <row r="3159" spans="1:7" x14ac:dyDescent="0.25">
      <c r="A3159" s="257">
        <v>3163</v>
      </c>
      <c r="B3159" s="267">
        <v>3158</v>
      </c>
      <c r="C3159" s="268" t="s">
        <v>506</v>
      </c>
      <c r="D3159" s="269">
        <v>42558</v>
      </c>
      <c r="E3159" s="270" t="s">
        <v>505</v>
      </c>
      <c r="F3159" s="384">
        <v>19</v>
      </c>
      <c r="G3159" s="270">
        <v>192278762</v>
      </c>
    </row>
    <row r="3160" spans="1:7" x14ac:dyDescent="0.25">
      <c r="A3160" s="257">
        <v>3164</v>
      </c>
      <c r="B3160" s="267">
        <v>3159</v>
      </c>
      <c r="C3160" s="268" t="s">
        <v>2716</v>
      </c>
      <c r="D3160" s="269">
        <v>42558</v>
      </c>
      <c r="E3160" s="270" t="s">
        <v>2760</v>
      </c>
      <c r="F3160" s="384">
        <v>33.200000000000003</v>
      </c>
      <c r="G3160" s="270">
        <v>100801936</v>
      </c>
    </row>
    <row r="3161" spans="1:7" x14ac:dyDescent="0.25">
      <c r="A3161" s="257">
        <v>3165</v>
      </c>
      <c r="B3161" s="267">
        <v>3160</v>
      </c>
      <c r="C3161" s="268" t="s">
        <v>3253</v>
      </c>
      <c r="D3161" s="269">
        <v>42558</v>
      </c>
      <c r="E3161" s="270" t="s">
        <v>3631</v>
      </c>
      <c r="F3161" s="384">
        <v>18.399999999999999</v>
      </c>
      <c r="G3161" s="270">
        <v>691380883</v>
      </c>
    </row>
    <row r="3162" spans="1:7" x14ac:dyDescent="0.25">
      <c r="A3162" s="257">
        <v>3166</v>
      </c>
      <c r="B3162" s="267">
        <v>3161</v>
      </c>
      <c r="C3162" s="268" t="s">
        <v>131</v>
      </c>
      <c r="D3162" s="269">
        <v>42558</v>
      </c>
      <c r="E3162" s="270" t="s">
        <v>2802</v>
      </c>
      <c r="F3162" s="384">
        <v>7.4</v>
      </c>
      <c r="G3162" s="270">
        <v>0</v>
      </c>
    </row>
    <row r="3163" spans="1:7" x14ac:dyDescent="0.25">
      <c r="A3163" s="257">
        <v>3167</v>
      </c>
      <c r="B3163" s="267">
        <v>3162</v>
      </c>
      <c r="C3163" s="268" t="s">
        <v>1910</v>
      </c>
      <c r="D3163" s="269">
        <v>42562</v>
      </c>
      <c r="E3163" s="270" t="s">
        <v>2609</v>
      </c>
      <c r="F3163" s="384">
        <v>23.5</v>
      </c>
      <c r="G3163" s="270">
        <v>190549048</v>
      </c>
    </row>
    <row r="3164" spans="1:7" x14ac:dyDescent="0.25">
      <c r="A3164" s="257">
        <v>3168</v>
      </c>
      <c r="B3164" s="267">
        <v>3163</v>
      </c>
      <c r="C3164" s="268" t="s">
        <v>508</v>
      </c>
      <c r="D3164" s="269">
        <v>42562</v>
      </c>
      <c r="E3164" s="270" t="s">
        <v>507</v>
      </c>
      <c r="F3164" s="384">
        <v>19</v>
      </c>
      <c r="G3164" s="270">
        <v>690719790</v>
      </c>
    </row>
    <row r="3165" spans="1:7" x14ac:dyDescent="0.25">
      <c r="A3165" s="257">
        <v>3169</v>
      </c>
      <c r="B3165" s="267">
        <v>3164</v>
      </c>
      <c r="C3165" s="268" t="s">
        <v>265</v>
      </c>
      <c r="D3165" s="269">
        <v>42562</v>
      </c>
      <c r="E3165" s="270" t="s">
        <v>450</v>
      </c>
      <c r="F3165" s="384">
        <v>51.6</v>
      </c>
      <c r="G3165" s="270">
        <v>100468996</v>
      </c>
    </row>
    <row r="3166" spans="1:7" x14ac:dyDescent="0.25">
      <c r="A3166" s="257">
        <v>3170</v>
      </c>
      <c r="B3166" s="267">
        <v>3165</v>
      </c>
      <c r="C3166" s="268" t="s">
        <v>189</v>
      </c>
      <c r="D3166" s="269">
        <v>42562</v>
      </c>
      <c r="E3166" s="270" t="s">
        <v>2703</v>
      </c>
      <c r="F3166" s="384">
        <v>51.6</v>
      </c>
      <c r="G3166" s="270">
        <v>190473476</v>
      </c>
    </row>
    <row r="3167" spans="1:7" x14ac:dyDescent="0.25">
      <c r="A3167" s="257">
        <v>3171</v>
      </c>
      <c r="B3167" s="267">
        <v>3166</v>
      </c>
      <c r="C3167" s="268" t="s">
        <v>221</v>
      </c>
      <c r="D3167" s="269">
        <v>42562</v>
      </c>
      <c r="E3167" s="270" t="s">
        <v>840</v>
      </c>
      <c r="F3167" s="384">
        <v>51.6</v>
      </c>
      <c r="G3167" s="270">
        <v>191648960</v>
      </c>
    </row>
    <row r="3168" spans="1:7" x14ac:dyDescent="0.25">
      <c r="A3168" s="257">
        <v>3172</v>
      </c>
      <c r="B3168" s="267">
        <v>3167</v>
      </c>
      <c r="C3168" s="268" t="s">
        <v>221</v>
      </c>
      <c r="D3168" s="269">
        <v>42562</v>
      </c>
      <c r="E3168" s="270" t="s">
        <v>840</v>
      </c>
      <c r="F3168" s="384">
        <v>51.6</v>
      </c>
      <c r="G3168" s="270">
        <v>191648960</v>
      </c>
    </row>
    <row r="3169" spans="1:7" x14ac:dyDescent="0.25">
      <c r="A3169" s="257">
        <v>3173</v>
      </c>
      <c r="B3169" s="267">
        <v>3168</v>
      </c>
      <c r="C3169" s="268" t="s">
        <v>708</v>
      </c>
      <c r="D3169" s="269">
        <v>42562</v>
      </c>
      <c r="E3169" s="270" t="s">
        <v>2731</v>
      </c>
      <c r="F3169" s="384">
        <v>51.6</v>
      </c>
      <c r="G3169" s="270">
        <v>190999368</v>
      </c>
    </row>
    <row r="3170" spans="1:7" x14ac:dyDescent="0.25">
      <c r="A3170" s="257">
        <v>3174</v>
      </c>
      <c r="B3170" s="267">
        <v>3169</v>
      </c>
      <c r="C3170" s="268" t="s">
        <v>2829</v>
      </c>
      <c r="D3170" s="269">
        <v>42565</v>
      </c>
      <c r="E3170" s="270" t="s">
        <v>70</v>
      </c>
      <c r="F3170" s="384">
        <v>33.200000000000003</v>
      </c>
      <c r="G3170" s="270">
        <v>600048566</v>
      </c>
    </row>
    <row r="3171" spans="1:7" x14ac:dyDescent="0.25">
      <c r="A3171" s="257">
        <v>3175</v>
      </c>
      <c r="B3171" s="267">
        <v>3170</v>
      </c>
      <c r="C3171" s="268" t="s">
        <v>2870</v>
      </c>
      <c r="D3171" s="269">
        <v>42565</v>
      </c>
      <c r="E3171" s="270" t="s">
        <v>877</v>
      </c>
      <c r="F3171" s="384">
        <v>3.5</v>
      </c>
      <c r="G3171" s="270">
        <v>100064641</v>
      </c>
    </row>
    <row r="3172" spans="1:7" x14ac:dyDescent="0.25">
      <c r="A3172" s="257">
        <v>3176</v>
      </c>
      <c r="B3172" s="267">
        <v>3171</v>
      </c>
      <c r="C3172" s="268" t="s">
        <v>265</v>
      </c>
      <c r="D3172" s="269">
        <v>42566</v>
      </c>
      <c r="E3172" s="270" t="s">
        <v>450</v>
      </c>
      <c r="F3172" s="384">
        <v>33.200000000000003</v>
      </c>
      <c r="G3172" s="270">
        <v>100468996</v>
      </c>
    </row>
    <row r="3173" spans="1:7" x14ac:dyDescent="0.25">
      <c r="A3173" s="257">
        <v>3177</v>
      </c>
      <c r="B3173" s="267">
        <v>3172</v>
      </c>
      <c r="C3173" s="268" t="s">
        <v>342</v>
      </c>
      <c r="D3173" s="269">
        <v>42566</v>
      </c>
      <c r="E3173" s="270" t="s">
        <v>3558</v>
      </c>
      <c r="F3173" s="384">
        <v>378.4</v>
      </c>
      <c r="G3173" s="270">
        <v>601072665</v>
      </c>
    </row>
    <row r="3174" spans="1:7" x14ac:dyDescent="0.25">
      <c r="A3174" s="257">
        <v>3178</v>
      </c>
      <c r="B3174" s="267">
        <v>3173</v>
      </c>
      <c r="C3174" s="268" t="s">
        <v>2683</v>
      </c>
      <c r="D3174" s="269">
        <v>42566</v>
      </c>
      <c r="E3174" s="270" t="s">
        <v>4190</v>
      </c>
      <c r="F3174" s="384">
        <v>7.4</v>
      </c>
      <c r="G3174" s="270">
        <v>800001184</v>
      </c>
    </row>
    <row r="3175" spans="1:7" x14ac:dyDescent="0.25">
      <c r="A3175" s="257">
        <v>3179</v>
      </c>
      <c r="B3175" s="267">
        <v>3174</v>
      </c>
      <c r="C3175" s="268" t="s">
        <v>510</v>
      </c>
      <c r="D3175" s="269">
        <v>42566</v>
      </c>
      <c r="E3175" s="270" t="s">
        <v>509</v>
      </c>
      <c r="F3175" s="384">
        <v>20</v>
      </c>
      <c r="G3175" s="270">
        <v>101242138</v>
      </c>
    </row>
    <row r="3176" spans="1:7" x14ac:dyDescent="0.25">
      <c r="A3176" s="257">
        <v>3180</v>
      </c>
      <c r="B3176" s="267">
        <v>3175</v>
      </c>
      <c r="C3176" s="268" t="s">
        <v>512</v>
      </c>
      <c r="D3176" s="269">
        <v>42566</v>
      </c>
      <c r="E3176" s="270" t="s">
        <v>511</v>
      </c>
      <c r="F3176" s="384">
        <v>33.200000000000003</v>
      </c>
      <c r="G3176" s="270">
        <v>691431488</v>
      </c>
    </row>
    <row r="3177" spans="1:7" x14ac:dyDescent="0.25">
      <c r="A3177" s="257">
        <v>3181</v>
      </c>
      <c r="B3177" s="267">
        <v>3176</v>
      </c>
      <c r="C3177" s="268" t="s">
        <v>67</v>
      </c>
      <c r="D3177" s="269">
        <v>42566</v>
      </c>
      <c r="E3177" s="270" t="s">
        <v>914</v>
      </c>
      <c r="F3177" s="384">
        <v>7.4</v>
      </c>
      <c r="G3177" s="270">
        <v>190114911</v>
      </c>
    </row>
    <row r="3178" spans="1:7" x14ac:dyDescent="0.25">
      <c r="A3178" s="257">
        <v>3182</v>
      </c>
      <c r="B3178" s="267">
        <v>3177</v>
      </c>
      <c r="C3178" s="268" t="s">
        <v>1836</v>
      </c>
      <c r="D3178" s="269">
        <v>42569</v>
      </c>
      <c r="E3178" s="270" t="s">
        <v>2624</v>
      </c>
      <c r="F3178" s="384">
        <v>51.6</v>
      </c>
      <c r="G3178" s="270">
        <v>600004086</v>
      </c>
    </row>
    <row r="3179" spans="1:7" x14ac:dyDescent="0.25">
      <c r="A3179" s="257">
        <v>3183</v>
      </c>
      <c r="B3179" s="267">
        <v>3178</v>
      </c>
      <c r="C3179" s="268" t="s">
        <v>832</v>
      </c>
      <c r="D3179" s="269">
        <v>42569</v>
      </c>
      <c r="E3179" s="270" t="s">
        <v>245</v>
      </c>
      <c r="F3179" s="384">
        <v>3.7</v>
      </c>
      <c r="G3179" s="270">
        <v>100886879</v>
      </c>
    </row>
    <row r="3180" spans="1:7" x14ac:dyDescent="0.25">
      <c r="A3180" s="257">
        <v>3184</v>
      </c>
      <c r="B3180" s="267">
        <v>3179</v>
      </c>
      <c r="C3180" s="268" t="s">
        <v>832</v>
      </c>
      <c r="D3180" s="269">
        <v>42569</v>
      </c>
      <c r="E3180" s="270" t="s">
        <v>245</v>
      </c>
      <c r="F3180" s="384">
        <v>3.7</v>
      </c>
      <c r="G3180" s="270">
        <v>100886879</v>
      </c>
    </row>
    <row r="3181" spans="1:7" x14ac:dyDescent="0.25">
      <c r="A3181" s="257">
        <v>3185</v>
      </c>
      <c r="B3181" s="267">
        <v>3180</v>
      </c>
      <c r="C3181" s="268" t="s">
        <v>832</v>
      </c>
      <c r="D3181" s="269">
        <v>42569</v>
      </c>
      <c r="E3181" s="270" t="s">
        <v>245</v>
      </c>
      <c r="F3181" s="384">
        <v>8</v>
      </c>
      <c r="G3181" s="270">
        <v>100886879</v>
      </c>
    </row>
    <row r="3182" spans="1:7" x14ac:dyDescent="0.25">
      <c r="A3182" s="257">
        <v>3186</v>
      </c>
      <c r="B3182" s="267">
        <v>3181</v>
      </c>
      <c r="C3182" s="268" t="s">
        <v>948</v>
      </c>
      <c r="D3182" s="269">
        <v>42569</v>
      </c>
      <c r="E3182" s="270" t="s">
        <v>225</v>
      </c>
      <c r="F3182" s="384">
        <v>25.2</v>
      </c>
      <c r="G3182" s="270">
        <v>100152060</v>
      </c>
    </row>
    <row r="3183" spans="1:7" x14ac:dyDescent="0.25">
      <c r="A3183" s="257">
        <v>3187</v>
      </c>
      <c r="B3183" s="267">
        <v>3182</v>
      </c>
      <c r="C3183" s="268" t="s">
        <v>832</v>
      </c>
      <c r="D3183" s="269">
        <v>42569</v>
      </c>
      <c r="E3183" s="270" t="s">
        <v>245</v>
      </c>
      <c r="F3183" s="384">
        <v>11.7</v>
      </c>
      <c r="G3183" s="270">
        <v>100886879</v>
      </c>
    </row>
    <row r="3184" spans="1:7" x14ac:dyDescent="0.25">
      <c r="A3184" s="257">
        <v>3188</v>
      </c>
      <c r="B3184" s="267">
        <v>3183</v>
      </c>
      <c r="C3184" s="268" t="s">
        <v>3540</v>
      </c>
      <c r="D3184" s="269">
        <v>42570</v>
      </c>
      <c r="E3184" s="270" t="s">
        <v>328</v>
      </c>
      <c r="F3184" s="384">
        <v>33.200000000000003</v>
      </c>
      <c r="G3184" s="270">
        <v>100753641</v>
      </c>
    </row>
    <row r="3185" spans="1:7" x14ac:dyDescent="0.25">
      <c r="A3185" s="257">
        <v>3189</v>
      </c>
      <c r="B3185" s="267">
        <v>3184</v>
      </c>
      <c r="C3185" s="268" t="s">
        <v>2724</v>
      </c>
      <c r="D3185" s="269">
        <v>42570</v>
      </c>
      <c r="E3185" s="270" t="s">
        <v>3647</v>
      </c>
      <c r="F3185" s="384">
        <v>23.5</v>
      </c>
      <c r="G3185" s="270">
        <v>691383696</v>
      </c>
    </row>
    <row r="3186" spans="1:7" x14ac:dyDescent="0.25">
      <c r="A3186" s="257">
        <v>3190</v>
      </c>
      <c r="B3186" s="267">
        <v>3185</v>
      </c>
      <c r="C3186" s="268" t="s">
        <v>368</v>
      </c>
      <c r="D3186" s="269">
        <v>42570</v>
      </c>
      <c r="E3186" s="270" t="s">
        <v>3225</v>
      </c>
      <c r="F3186" s="384">
        <v>23.5</v>
      </c>
      <c r="G3186" s="270">
        <v>190994063</v>
      </c>
    </row>
    <row r="3187" spans="1:7" x14ac:dyDescent="0.25">
      <c r="A3187" s="257">
        <v>3191</v>
      </c>
      <c r="B3187" s="267">
        <v>3186</v>
      </c>
      <c r="C3187" s="268" t="s">
        <v>3241</v>
      </c>
      <c r="D3187" s="269">
        <v>42570</v>
      </c>
      <c r="E3187" s="270" t="s">
        <v>3842</v>
      </c>
      <c r="F3187" s="384">
        <v>166</v>
      </c>
      <c r="G3187" s="270">
        <v>600124705</v>
      </c>
    </row>
    <row r="3188" spans="1:7" x14ac:dyDescent="0.25">
      <c r="A3188" s="257">
        <v>3192</v>
      </c>
      <c r="B3188" s="267">
        <v>3187</v>
      </c>
      <c r="C3188" s="268" t="s">
        <v>2380</v>
      </c>
      <c r="D3188" s="269">
        <v>42570</v>
      </c>
      <c r="E3188" s="270" t="s">
        <v>2379</v>
      </c>
      <c r="F3188" s="384">
        <v>44.7</v>
      </c>
      <c r="G3188" s="270">
        <v>190664298</v>
      </c>
    </row>
    <row r="3189" spans="1:7" x14ac:dyDescent="0.25">
      <c r="A3189" s="257">
        <v>3193</v>
      </c>
      <c r="B3189" s="267">
        <v>3188</v>
      </c>
      <c r="C3189" s="268" t="s">
        <v>3540</v>
      </c>
      <c r="D3189" s="269">
        <v>42573</v>
      </c>
      <c r="E3189" s="270" t="s">
        <v>328</v>
      </c>
      <c r="F3189" s="384">
        <v>14.8</v>
      </c>
      <c r="G3189" s="270">
        <v>100753641</v>
      </c>
    </row>
    <row r="3190" spans="1:7" x14ac:dyDescent="0.25">
      <c r="A3190" s="257">
        <v>3194</v>
      </c>
      <c r="B3190" s="267">
        <v>3189</v>
      </c>
      <c r="C3190" s="268" t="s">
        <v>958</v>
      </c>
      <c r="D3190" s="269">
        <v>42574</v>
      </c>
      <c r="E3190" s="270" t="s">
        <v>1783</v>
      </c>
      <c r="F3190" s="384">
        <v>7.4</v>
      </c>
      <c r="G3190" s="270">
        <v>690642316</v>
      </c>
    </row>
    <row r="3191" spans="1:7" x14ac:dyDescent="0.25">
      <c r="A3191" s="257">
        <v>3195</v>
      </c>
      <c r="B3191" s="267">
        <v>3190</v>
      </c>
      <c r="C3191" s="268" t="s">
        <v>2860</v>
      </c>
      <c r="D3191" s="269">
        <v>42578</v>
      </c>
      <c r="E3191" s="270" t="s">
        <v>1112</v>
      </c>
      <c r="F3191" s="384">
        <v>51.6</v>
      </c>
      <c r="G3191" s="270">
        <v>691535754</v>
      </c>
    </row>
    <row r="3192" spans="1:7" x14ac:dyDescent="0.25">
      <c r="A3192" s="257">
        <v>3196</v>
      </c>
      <c r="B3192" s="267">
        <v>3191</v>
      </c>
      <c r="C3192" s="268" t="s">
        <v>3739</v>
      </c>
      <c r="D3192" s="269">
        <v>42578</v>
      </c>
      <c r="E3192" s="270" t="s">
        <v>3502</v>
      </c>
      <c r="F3192" s="384">
        <v>28.4</v>
      </c>
      <c r="G3192" s="270">
        <v>101581495</v>
      </c>
    </row>
    <row r="3193" spans="1:7" x14ac:dyDescent="0.25">
      <c r="A3193" s="257">
        <v>3197</v>
      </c>
      <c r="B3193" s="267">
        <v>3192</v>
      </c>
      <c r="C3193" s="268" t="s">
        <v>128</v>
      </c>
      <c r="D3193" s="269">
        <v>42578</v>
      </c>
      <c r="E3193" s="270" t="s">
        <v>3259</v>
      </c>
      <c r="F3193" s="384">
        <v>33.200000000000003</v>
      </c>
      <c r="G3193" s="270">
        <v>190904186</v>
      </c>
    </row>
    <row r="3194" spans="1:7" x14ac:dyDescent="0.25">
      <c r="A3194" s="257">
        <v>3198</v>
      </c>
      <c r="B3194" s="267">
        <v>3193</v>
      </c>
      <c r="C3194" s="268" t="s">
        <v>3098</v>
      </c>
      <c r="D3194" s="269">
        <v>42585</v>
      </c>
      <c r="E3194" s="270" t="s">
        <v>3770</v>
      </c>
      <c r="F3194" s="384">
        <v>18.399999999999999</v>
      </c>
      <c r="G3194" s="270">
        <v>191500265</v>
      </c>
    </row>
    <row r="3195" spans="1:7" x14ac:dyDescent="0.25">
      <c r="A3195" s="257">
        <v>3199</v>
      </c>
      <c r="B3195" s="267">
        <v>3194</v>
      </c>
      <c r="C3195" s="268" t="s">
        <v>2860</v>
      </c>
      <c r="D3195" s="269">
        <v>42586</v>
      </c>
      <c r="E3195" s="270" t="s">
        <v>1112</v>
      </c>
      <c r="F3195" s="384">
        <v>33.200000000000003</v>
      </c>
      <c r="G3195" s="270">
        <v>691535754</v>
      </c>
    </row>
    <row r="3196" spans="1:7" x14ac:dyDescent="0.25">
      <c r="A3196" s="257">
        <v>3200</v>
      </c>
      <c r="B3196" s="267">
        <v>3195</v>
      </c>
      <c r="C3196" s="268" t="s">
        <v>3111</v>
      </c>
      <c r="D3196" s="269">
        <v>42586</v>
      </c>
      <c r="E3196" s="270" t="s">
        <v>1948</v>
      </c>
      <c r="F3196" s="384">
        <v>23.5</v>
      </c>
      <c r="G3196" s="270">
        <v>808000755</v>
      </c>
    </row>
    <row r="3197" spans="1:7" x14ac:dyDescent="0.25">
      <c r="A3197" s="257">
        <v>3201</v>
      </c>
      <c r="B3197" s="267">
        <v>3196</v>
      </c>
      <c r="C3197" s="268" t="s">
        <v>720</v>
      </c>
      <c r="D3197" s="269">
        <v>42586</v>
      </c>
      <c r="E3197" s="270" t="s">
        <v>2633</v>
      </c>
      <c r="F3197" s="384">
        <v>99.600000000000009</v>
      </c>
      <c r="G3197" s="270">
        <v>100320382</v>
      </c>
    </row>
    <row r="3198" spans="1:7" x14ac:dyDescent="0.25">
      <c r="A3198" s="257">
        <v>3202</v>
      </c>
      <c r="B3198" s="267">
        <v>3197</v>
      </c>
      <c r="C3198" s="268" t="s">
        <v>2645</v>
      </c>
      <c r="D3198" s="269">
        <v>42586</v>
      </c>
      <c r="E3198" s="270" t="s">
        <v>239</v>
      </c>
      <c r="F3198" s="384">
        <v>154.80000000000001</v>
      </c>
      <c r="G3198" s="270">
        <v>101139097</v>
      </c>
    </row>
    <row r="3199" spans="1:7" x14ac:dyDescent="0.25">
      <c r="A3199" s="257">
        <v>3203</v>
      </c>
      <c r="B3199" s="267">
        <v>3198</v>
      </c>
      <c r="C3199" s="268" t="s">
        <v>1679</v>
      </c>
      <c r="D3199" s="269">
        <v>42586</v>
      </c>
      <c r="E3199" s="270" t="s">
        <v>1809</v>
      </c>
      <c r="F3199" s="384">
        <v>51.6</v>
      </c>
      <c r="G3199" s="270">
        <v>190907422</v>
      </c>
    </row>
    <row r="3200" spans="1:7" x14ac:dyDescent="0.25">
      <c r="A3200" s="257">
        <v>3204</v>
      </c>
      <c r="B3200" s="267">
        <v>3199</v>
      </c>
      <c r="C3200" s="268" t="s">
        <v>708</v>
      </c>
      <c r="D3200" s="269">
        <v>42586</v>
      </c>
      <c r="E3200" s="270" t="s">
        <v>2731</v>
      </c>
      <c r="F3200" s="384">
        <v>22.8</v>
      </c>
      <c r="G3200" s="270">
        <v>190999368</v>
      </c>
    </row>
    <row r="3201" spans="1:7" x14ac:dyDescent="0.25">
      <c r="A3201" s="257">
        <v>3205</v>
      </c>
      <c r="B3201" s="267">
        <v>3200</v>
      </c>
      <c r="C3201" s="268" t="s">
        <v>1679</v>
      </c>
      <c r="D3201" s="269">
        <v>42586</v>
      </c>
      <c r="E3201" s="270" t="s">
        <v>1680</v>
      </c>
      <c r="F3201" s="384">
        <v>23.5</v>
      </c>
      <c r="G3201" s="270">
        <v>190757196</v>
      </c>
    </row>
    <row r="3202" spans="1:7" x14ac:dyDescent="0.25">
      <c r="A3202" s="257">
        <v>3206</v>
      </c>
      <c r="B3202" s="267">
        <v>3201</v>
      </c>
      <c r="C3202" s="268" t="s">
        <v>3728</v>
      </c>
      <c r="D3202" s="269">
        <v>42586</v>
      </c>
      <c r="E3202" s="270" t="s">
        <v>3727</v>
      </c>
      <c r="F3202" s="384">
        <v>23.5</v>
      </c>
      <c r="G3202" s="270">
        <v>790819950</v>
      </c>
    </row>
    <row r="3203" spans="1:7" x14ac:dyDescent="0.25">
      <c r="A3203" s="257">
        <v>3207</v>
      </c>
      <c r="B3203" s="267">
        <v>3202</v>
      </c>
      <c r="C3203" s="268" t="s">
        <v>3101</v>
      </c>
      <c r="D3203" s="269">
        <v>42586</v>
      </c>
      <c r="E3203" s="270" t="s">
        <v>1022</v>
      </c>
      <c r="F3203" s="384">
        <v>28.4</v>
      </c>
      <c r="G3203" s="270">
        <v>690591512</v>
      </c>
    </row>
    <row r="3204" spans="1:7" x14ac:dyDescent="0.25">
      <c r="A3204" s="257">
        <v>3208</v>
      </c>
      <c r="B3204" s="267">
        <v>3203</v>
      </c>
      <c r="C3204" s="268" t="s">
        <v>314</v>
      </c>
      <c r="D3204" s="269">
        <v>42586</v>
      </c>
      <c r="E3204" s="270" t="s">
        <v>3495</v>
      </c>
      <c r="F3204" s="384">
        <v>28.4</v>
      </c>
      <c r="G3204" s="270">
        <v>808000252</v>
      </c>
    </row>
    <row r="3205" spans="1:7" x14ac:dyDescent="0.25">
      <c r="A3205" s="257">
        <v>3209</v>
      </c>
      <c r="B3205" s="267">
        <v>3204</v>
      </c>
      <c r="C3205" s="268" t="s">
        <v>334</v>
      </c>
      <c r="D3205" s="269">
        <v>42589</v>
      </c>
      <c r="E3205" s="270" t="s">
        <v>1115</v>
      </c>
      <c r="F3205" s="384">
        <v>106.8</v>
      </c>
      <c r="G3205" s="270">
        <v>101392173</v>
      </c>
    </row>
    <row r="3206" spans="1:7" x14ac:dyDescent="0.25">
      <c r="A3206" s="257">
        <v>3210</v>
      </c>
      <c r="B3206" s="267">
        <v>3205</v>
      </c>
      <c r="C3206" s="268" t="s">
        <v>3280</v>
      </c>
      <c r="D3206" s="269">
        <v>42589</v>
      </c>
      <c r="E3206" s="270" t="s">
        <v>439</v>
      </c>
      <c r="F3206" s="384">
        <v>154.80000000000001</v>
      </c>
      <c r="G3206" s="270">
        <v>190531017</v>
      </c>
    </row>
    <row r="3207" spans="1:7" x14ac:dyDescent="0.25">
      <c r="A3207" s="257">
        <v>3211</v>
      </c>
      <c r="B3207" s="267">
        <v>3206</v>
      </c>
      <c r="C3207" s="268" t="s">
        <v>519</v>
      </c>
      <c r="D3207" s="269">
        <v>42590</v>
      </c>
      <c r="E3207" s="270" t="s">
        <v>2668</v>
      </c>
      <c r="F3207" s="384">
        <v>23.5</v>
      </c>
      <c r="G3207" s="270">
        <v>191428080</v>
      </c>
    </row>
    <row r="3208" spans="1:7" x14ac:dyDescent="0.25">
      <c r="A3208" s="257">
        <v>3212</v>
      </c>
      <c r="B3208" s="267">
        <v>3207</v>
      </c>
      <c r="C3208" s="268" t="s">
        <v>3513</v>
      </c>
      <c r="D3208" s="269">
        <v>42590</v>
      </c>
      <c r="E3208" s="270" t="s">
        <v>824</v>
      </c>
      <c r="F3208" s="384">
        <v>51.6</v>
      </c>
      <c r="G3208" s="270">
        <v>100154581</v>
      </c>
    </row>
    <row r="3209" spans="1:7" x14ac:dyDescent="0.25">
      <c r="A3209" s="257">
        <v>3213</v>
      </c>
      <c r="B3209" s="267">
        <v>3208</v>
      </c>
      <c r="C3209" s="268" t="s">
        <v>1678</v>
      </c>
      <c r="D3209" s="269">
        <v>42590</v>
      </c>
      <c r="E3209" s="270" t="s">
        <v>1677</v>
      </c>
      <c r="F3209" s="384">
        <v>23.5</v>
      </c>
      <c r="G3209" s="270">
        <v>190950641</v>
      </c>
    </row>
    <row r="3210" spans="1:7" x14ac:dyDescent="0.25">
      <c r="A3210" s="257">
        <v>3214</v>
      </c>
      <c r="B3210" s="267">
        <v>3209</v>
      </c>
      <c r="C3210" s="268" t="s">
        <v>2104</v>
      </c>
      <c r="D3210" s="269">
        <v>42590</v>
      </c>
      <c r="E3210" s="270" t="s">
        <v>2736</v>
      </c>
      <c r="F3210" s="384">
        <v>56.8</v>
      </c>
      <c r="G3210" s="270">
        <v>691780951</v>
      </c>
    </row>
    <row r="3211" spans="1:7" x14ac:dyDescent="0.25">
      <c r="A3211" s="257">
        <v>3215</v>
      </c>
      <c r="B3211" s="267">
        <v>3210</v>
      </c>
      <c r="C3211" s="268" t="s">
        <v>2613</v>
      </c>
      <c r="D3211" s="269">
        <v>42593</v>
      </c>
      <c r="E3211" s="270" t="s">
        <v>916</v>
      </c>
      <c r="F3211" s="384">
        <v>19</v>
      </c>
      <c r="G3211" s="270">
        <v>101553117</v>
      </c>
    </row>
    <row r="3212" spans="1:7" x14ac:dyDescent="0.25">
      <c r="A3212" s="257">
        <v>3216</v>
      </c>
      <c r="B3212" s="267">
        <v>3211</v>
      </c>
      <c r="C3212" s="268" t="s">
        <v>262</v>
      </c>
      <c r="D3212" s="269">
        <v>42593</v>
      </c>
      <c r="E3212" s="270" t="s">
        <v>927</v>
      </c>
      <c r="F3212" s="384">
        <v>19</v>
      </c>
      <c r="G3212" s="270">
        <v>190454318</v>
      </c>
    </row>
    <row r="3213" spans="1:7" x14ac:dyDescent="0.25">
      <c r="A3213" s="257">
        <v>3217</v>
      </c>
      <c r="B3213" s="267">
        <v>3212</v>
      </c>
      <c r="C3213" s="268" t="s">
        <v>265</v>
      </c>
      <c r="D3213" s="269">
        <v>42593</v>
      </c>
      <c r="E3213" s="270" t="s">
        <v>450</v>
      </c>
      <c r="F3213" s="384">
        <v>51.6</v>
      </c>
      <c r="G3213" s="270">
        <v>100468996</v>
      </c>
    </row>
    <row r="3214" spans="1:7" x14ac:dyDescent="0.25">
      <c r="A3214" s="257">
        <v>3218</v>
      </c>
      <c r="B3214" s="267">
        <v>3213</v>
      </c>
      <c r="C3214" s="268" t="s">
        <v>1696</v>
      </c>
      <c r="D3214" s="269">
        <v>42593</v>
      </c>
      <c r="E3214" s="270" t="s">
        <v>1768</v>
      </c>
      <c r="F3214" s="384">
        <v>18.7</v>
      </c>
      <c r="G3214" s="270">
        <v>100104712</v>
      </c>
    </row>
    <row r="3215" spans="1:7" x14ac:dyDescent="0.25">
      <c r="A3215" s="257">
        <v>3219</v>
      </c>
      <c r="B3215" s="267">
        <v>3214</v>
      </c>
      <c r="C3215" s="268" t="s">
        <v>2645</v>
      </c>
      <c r="D3215" s="269">
        <v>42593</v>
      </c>
      <c r="E3215" s="270" t="s">
        <v>239</v>
      </c>
      <c r="F3215" s="384">
        <v>51.6</v>
      </c>
      <c r="G3215" s="270">
        <v>101139097</v>
      </c>
    </row>
    <row r="3216" spans="1:7" x14ac:dyDescent="0.25">
      <c r="A3216" s="257">
        <v>3220</v>
      </c>
      <c r="B3216" s="267">
        <v>3215</v>
      </c>
      <c r="C3216" s="268" t="s">
        <v>910</v>
      </c>
      <c r="D3216" s="269">
        <v>42593</v>
      </c>
      <c r="E3216" s="270" t="s">
        <v>1656</v>
      </c>
      <c r="F3216" s="384">
        <v>23.5</v>
      </c>
      <c r="G3216" s="270">
        <v>101439397</v>
      </c>
    </row>
    <row r="3217" spans="1:7" x14ac:dyDescent="0.25">
      <c r="A3217" s="257">
        <v>3221</v>
      </c>
      <c r="B3217" s="267">
        <v>3216</v>
      </c>
      <c r="C3217" s="268" t="s">
        <v>2687</v>
      </c>
      <c r="D3217" s="269">
        <v>42593</v>
      </c>
      <c r="E3217" s="270" t="s">
        <v>2775</v>
      </c>
      <c r="F3217" s="384">
        <v>18.399999999999999</v>
      </c>
      <c r="G3217" s="270">
        <v>691301525</v>
      </c>
    </row>
    <row r="3218" spans="1:7" x14ac:dyDescent="0.25">
      <c r="A3218" s="257">
        <v>3222</v>
      </c>
      <c r="B3218" s="267">
        <v>3217</v>
      </c>
      <c r="C3218" s="268" t="s">
        <v>3658</v>
      </c>
      <c r="D3218" s="269">
        <v>42593</v>
      </c>
      <c r="E3218" s="270" t="s">
        <v>3552</v>
      </c>
      <c r="F3218" s="384">
        <v>18.399999999999999</v>
      </c>
      <c r="G3218" s="270">
        <v>191569368</v>
      </c>
    </row>
    <row r="3219" spans="1:7" x14ac:dyDescent="0.25">
      <c r="A3219" s="257">
        <v>3223</v>
      </c>
      <c r="B3219" s="267">
        <v>3218</v>
      </c>
      <c r="C3219" s="268" t="s">
        <v>846</v>
      </c>
      <c r="D3219" s="269">
        <v>42593</v>
      </c>
      <c r="E3219" s="270" t="s">
        <v>500</v>
      </c>
      <c r="F3219" s="384">
        <v>3.5</v>
      </c>
      <c r="G3219" s="270">
        <v>690631984</v>
      </c>
    </row>
    <row r="3220" spans="1:7" x14ac:dyDescent="0.25">
      <c r="A3220" s="257">
        <v>3224</v>
      </c>
      <c r="B3220" s="267">
        <v>3219</v>
      </c>
      <c r="C3220" s="268" t="s">
        <v>413</v>
      </c>
      <c r="D3220" s="269">
        <v>42594</v>
      </c>
      <c r="E3220" s="270" t="s">
        <v>455</v>
      </c>
      <c r="F3220" s="384">
        <v>51.6</v>
      </c>
      <c r="G3220" s="270">
        <v>190638152</v>
      </c>
    </row>
    <row r="3221" spans="1:7" x14ac:dyDescent="0.25">
      <c r="A3221" s="257">
        <v>3225</v>
      </c>
      <c r="B3221" s="267">
        <v>3220</v>
      </c>
      <c r="C3221" s="268" t="s">
        <v>2889</v>
      </c>
      <c r="D3221" s="269">
        <v>42594</v>
      </c>
      <c r="E3221" s="270" t="s">
        <v>523</v>
      </c>
      <c r="F3221" s="384">
        <v>37.9</v>
      </c>
      <c r="G3221" s="270">
        <v>691539111</v>
      </c>
    </row>
    <row r="3222" spans="1:7" x14ac:dyDescent="0.25">
      <c r="A3222" s="257">
        <v>3226</v>
      </c>
      <c r="B3222" s="267">
        <v>3221</v>
      </c>
      <c r="C3222" s="268" t="s">
        <v>1841</v>
      </c>
      <c r="D3222" s="269">
        <v>42594</v>
      </c>
      <c r="E3222" s="270" t="s">
        <v>2767</v>
      </c>
      <c r="F3222" s="384">
        <v>28.4</v>
      </c>
      <c r="G3222" s="270">
        <v>100030122</v>
      </c>
    </row>
    <row r="3223" spans="1:7" x14ac:dyDescent="0.25">
      <c r="A3223" s="257">
        <v>3227</v>
      </c>
      <c r="B3223" s="267">
        <v>3222</v>
      </c>
      <c r="C3223" s="268" t="s">
        <v>2143</v>
      </c>
      <c r="D3223" s="269">
        <v>42594</v>
      </c>
      <c r="E3223" s="270" t="s">
        <v>1927</v>
      </c>
      <c r="F3223" s="384">
        <v>35.6</v>
      </c>
      <c r="G3223" s="270">
        <v>190032958</v>
      </c>
    </row>
    <row r="3224" spans="1:7" x14ac:dyDescent="0.25">
      <c r="A3224" s="257">
        <v>3228</v>
      </c>
      <c r="B3224" s="267">
        <v>3223</v>
      </c>
      <c r="C3224" s="268" t="s">
        <v>2976</v>
      </c>
      <c r="D3224" s="269">
        <v>42594</v>
      </c>
      <c r="E3224" s="270" t="s">
        <v>2977</v>
      </c>
      <c r="F3224" s="384">
        <v>23.5</v>
      </c>
      <c r="G3224" s="270">
        <v>691787693</v>
      </c>
    </row>
    <row r="3225" spans="1:7" x14ac:dyDescent="0.25">
      <c r="A3225" s="257">
        <v>3229</v>
      </c>
      <c r="B3225" s="267">
        <v>3224</v>
      </c>
      <c r="C3225" s="268" t="s">
        <v>1108</v>
      </c>
      <c r="D3225" s="269">
        <v>42594</v>
      </c>
      <c r="E3225" s="270" t="s">
        <v>4193</v>
      </c>
      <c r="F3225" s="384">
        <v>51.6</v>
      </c>
      <c r="G3225" s="270">
        <v>100387745</v>
      </c>
    </row>
    <row r="3226" spans="1:7" x14ac:dyDescent="0.25">
      <c r="A3226" s="257">
        <v>3230</v>
      </c>
      <c r="B3226" s="267">
        <v>3225</v>
      </c>
      <c r="C3226" s="268" t="s">
        <v>1679</v>
      </c>
      <c r="D3226" s="269">
        <v>42594</v>
      </c>
      <c r="E3226" s="270" t="s">
        <v>1809</v>
      </c>
      <c r="F3226" s="384">
        <v>23.5</v>
      </c>
      <c r="G3226" s="270">
        <v>190907422</v>
      </c>
    </row>
    <row r="3227" spans="1:7" x14ac:dyDescent="0.25">
      <c r="A3227" s="257">
        <v>3231</v>
      </c>
      <c r="B3227" s="267">
        <v>3226</v>
      </c>
      <c r="C3227" s="268" t="s">
        <v>910</v>
      </c>
      <c r="D3227" s="269">
        <v>42597</v>
      </c>
      <c r="E3227" s="270" t="s">
        <v>1656</v>
      </c>
      <c r="F3227" s="384">
        <v>19</v>
      </c>
      <c r="G3227" s="270">
        <v>101439397</v>
      </c>
    </row>
    <row r="3228" spans="1:7" x14ac:dyDescent="0.25">
      <c r="A3228" s="257">
        <v>3232</v>
      </c>
      <c r="B3228" s="267">
        <v>3227</v>
      </c>
      <c r="C3228" s="268" t="s">
        <v>3645</v>
      </c>
      <c r="D3228" s="269">
        <v>42597</v>
      </c>
      <c r="E3228" s="270" t="s">
        <v>467</v>
      </c>
      <c r="F3228" s="384">
        <v>28.4</v>
      </c>
      <c r="G3228" s="270">
        <v>191004513</v>
      </c>
    </row>
    <row r="3229" spans="1:7" x14ac:dyDescent="0.25">
      <c r="A3229" s="257">
        <v>3233</v>
      </c>
      <c r="B3229" s="267">
        <v>3228</v>
      </c>
      <c r="C3229" s="268" t="s">
        <v>1639</v>
      </c>
      <c r="D3229" s="269">
        <v>42597</v>
      </c>
      <c r="E3229" s="270" t="s">
        <v>3850</v>
      </c>
      <c r="F3229" s="384">
        <v>19.5</v>
      </c>
      <c r="G3229" s="270">
        <v>800011635</v>
      </c>
    </row>
    <row r="3230" spans="1:7" x14ac:dyDescent="0.25">
      <c r="A3230" s="257">
        <v>3234</v>
      </c>
      <c r="B3230" s="267">
        <v>3229</v>
      </c>
      <c r="C3230" s="268" t="s">
        <v>190</v>
      </c>
      <c r="D3230" s="269">
        <v>42597</v>
      </c>
      <c r="E3230" s="270" t="s">
        <v>188</v>
      </c>
      <c r="F3230" s="384">
        <v>7</v>
      </c>
      <c r="G3230" s="270">
        <v>190270596</v>
      </c>
    </row>
    <row r="3231" spans="1:7" x14ac:dyDescent="0.25">
      <c r="A3231" s="257">
        <v>3235</v>
      </c>
      <c r="B3231" s="267">
        <v>3230</v>
      </c>
      <c r="C3231" s="268" t="s">
        <v>3725</v>
      </c>
      <c r="D3231" s="269">
        <v>42597</v>
      </c>
      <c r="E3231" s="270" t="s">
        <v>2612</v>
      </c>
      <c r="F3231" s="384">
        <v>51.6</v>
      </c>
      <c r="G3231" s="270">
        <v>100899415</v>
      </c>
    </row>
    <row r="3232" spans="1:7" x14ac:dyDescent="0.25">
      <c r="A3232" s="257">
        <v>3236</v>
      </c>
      <c r="B3232" s="267">
        <v>3231</v>
      </c>
      <c r="C3232" s="268" t="s">
        <v>413</v>
      </c>
      <c r="D3232" s="269">
        <v>42598</v>
      </c>
      <c r="E3232" s="270" t="s">
        <v>455</v>
      </c>
      <c r="F3232" s="384">
        <v>51.6</v>
      </c>
      <c r="G3232" s="270">
        <v>190638152</v>
      </c>
    </row>
    <row r="3233" spans="1:7" x14ac:dyDescent="0.25">
      <c r="A3233" s="257">
        <v>3237</v>
      </c>
      <c r="B3233" s="267">
        <v>3232</v>
      </c>
      <c r="C3233" s="268" t="s">
        <v>722</v>
      </c>
      <c r="D3233" s="269">
        <v>42598</v>
      </c>
      <c r="E3233" s="270" t="s">
        <v>692</v>
      </c>
      <c r="F3233" s="384">
        <v>33.200000000000003</v>
      </c>
      <c r="G3233" s="270">
        <v>391157231</v>
      </c>
    </row>
    <row r="3234" spans="1:7" x14ac:dyDescent="0.25">
      <c r="A3234" s="257">
        <v>3238</v>
      </c>
      <c r="B3234" s="267">
        <v>3233</v>
      </c>
      <c r="C3234" s="268" t="s">
        <v>134</v>
      </c>
      <c r="D3234" s="269">
        <v>42598</v>
      </c>
      <c r="E3234" s="270" t="s">
        <v>3257</v>
      </c>
      <c r="F3234" s="384">
        <v>132.80000000000001</v>
      </c>
      <c r="G3234" s="270">
        <v>100099118</v>
      </c>
    </row>
    <row r="3235" spans="1:7" x14ac:dyDescent="0.25">
      <c r="A3235" s="257">
        <v>3239</v>
      </c>
      <c r="B3235" s="267">
        <v>3234</v>
      </c>
      <c r="C3235" s="268" t="s">
        <v>3126</v>
      </c>
      <c r="D3235" s="269">
        <v>42598</v>
      </c>
      <c r="E3235" s="270" t="s">
        <v>2409</v>
      </c>
      <c r="F3235" s="384">
        <v>51.6</v>
      </c>
      <c r="G3235" s="270">
        <v>691464441</v>
      </c>
    </row>
    <row r="3236" spans="1:7" x14ac:dyDescent="0.25">
      <c r="A3236" s="257">
        <v>3240</v>
      </c>
      <c r="B3236" s="267">
        <v>3235</v>
      </c>
      <c r="C3236" s="268" t="s">
        <v>414</v>
      </c>
      <c r="D3236" s="269">
        <v>42598</v>
      </c>
      <c r="E3236" s="270" t="s">
        <v>3629</v>
      </c>
      <c r="F3236" s="384">
        <v>7.4</v>
      </c>
      <c r="G3236" s="270">
        <v>100286955</v>
      </c>
    </row>
    <row r="3237" spans="1:7" x14ac:dyDescent="0.25">
      <c r="A3237" s="257">
        <v>3241</v>
      </c>
      <c r="B3237" s="267">
        <v>3236</v>
      </c>
      <c r="C3237" s="268" t="s">
        <v>802</v>
      </c>
      <c r="D3237" s="269">
        <v>42598</v>
      </c>
      <c r="E3237" s="270" t="s">
        <v>1641</v>
      </c>
      <c r="F3237" s="384">
        <v>697.2</v>
      </c>
      <c r="G3237" s="270">
        <v>100135464</v>
      </c>
    </row>
    <row r="3238" spans="1:7" x14ac:dyDescent="0.25">
      <c r="A3238" s="257">
        <v>3242</v>
      </c>
      <c r="B3238" s="267">
        <v>3237</v>
      </c>
      <c r="C3238" s="268" t="s">
        <v>3513</v>
      </c>
      <c r="D3238" s="269">
        <v>42601</v>
      </c>
      <c r="E3238" s="270" t="s">
        <v>824</v>
      </c>
      <c r="F3238" s="384">
        <v>51.6</v>
      </c>
      <c r="G3238" s="270">
        <v>100154581</v>
      </c>
    </row>
    <row r="3239" spans="1:7" x14ac:dyDescent="0.25">
      <c r="A3239" s="257">
        <v>3243</v>
      </c>
      <c r="B3239" s="267">
        <v>3238</v>
      </c>
      <c r="C3239" s="268" t="s">
        <v>2727</v>
      </c>
      <c r="D3239" s="269">
        <v>42601</v>
      </c>
      <c r="E3239" s="270" t="s">
        <v>2726</v>
      </c>
      <c r="F3239" s="384">
        <v>18.399999999999999</v>
      </c>
      <c r="G3239" s="270">
        <v>690832874</v>
      </c>
    </row>
    <row r="3240" spans="1:7" x14ac:dyDescent="0.25">
      <c r="A3240" s="257">
        <v>3244</v>
      </c>
      <c r="B3240" s="267">
        <v>3239</v>
      </c>
      <c r="C3240" s="268" t="s">
        <v>3615</v>
      </c>
      <c r="D3240" s="269">
        <v>42601</v>
      </c>
      <c r="E3240" s="270" t="s">
        <v>3270</v>
      </c>
      <c r="F3240" s="384">
        <v>11.7</v>
      </c>
      <c r="G3240" s="270">
        <v>102376116</v>
      </c>
    </row>
    <row r="3241" spans="1:7" x14ac:dyDescent="0.25">
      <c r="A3241" s="257">
        <v>3245</v>
      </c>
      <c r="B3241" s="267">
        <v>3240</v>
      </c>
      <c r="C3241" s="268" t="s">
        <v>1941</v>
      </c>
      <c r="D3241" s="269">
        <v>42601</v>
      </c>
      <c r="E3241" s="270" t="s">
        <v>2871</v>
      </c>
      <c r="F3241" s="384">
        <v>203</v>
      </c>
      <c r="G3241" s="270">
        <v>101015738</v>
      </c>
    </row>
    <row r="3242" spans="1:7" x14ac:dyDescent="0.25">
      <c r="A3242" s="257">
        <v>3246</v>
      </c>
      <c r="B3242" s="267">
        <v>3241</v>
      </c>
      <c r="C3242" s="268" t="s">
        <v>1688</v>
      </c>
      <c r="D3242" s="269">
        <v>42601</v>
      </c>
      <c r="E3242" s="270" t="s">
        <v>498</v>
      </c>
      <c r="F3242" s="384">
        <v>19</v>
      </c>
      <c r="G3242" s="270">
        <v>190970908</v>
      </c>
    </row>
    <row r="3243" spans="1:7" x14ac:dyDescent="0.25">
      <c r="A3243" s="257">
        <v>3247</v>
      </c>
      <c r="B3243" s="267">
        <v>3242</v>
      </c>
      <c r="C3243" s="268" t="s">
        <v>895</v>
      </c>
      <c r="D3243" s="269">
        <v>42602</v>
      </c>
      <c r="E3243" s="270" t="s">
        <v>2804</v>
      </c>
      <c r="F3243" s="384">
        <v>7.4</v>
      </c>
      <c r="G3243" s="270">
        <v>691433174</v>
      </c>
    </row>
    <row r="3244" spans="1:7" x14ac:dyDescent="0.25">
      <c r="A3244" s="257">
        <v>3248</v>
      </c>
      <c r="B3244" s="267">
        <v>3243</v>
      </c>
      <c r="C3244" s="268" t="s">
        <v>2751</v>
      </c>
      <c r="D3244" s="269">
        <v>42606</v>
      </c>
      <c r="E3244" s="270" t="s">
        <v>449</v>
      </c>
      <c r="F3244" s="384">
        <v>51.6</v>
      </c>
      <c r="G3244" s="270">
        <v>100025732</v>
      </c>
    </row>
    <row r="3245" spans="1:7" x14ac:dyDescent="0.25">
      <c r="A3245" s="257">
        <v>3249</v>
      </c>
      <c r="B3245" s="267">
        <v>3244</v>
      </c>
      <c r="C3245" s="268" t="s">
        <v>2751</v>
      </c>
      <c r="D3245" s="269">
        <v>42606</v>
      </c>
      <c r="E3245" s="270" t="s">
        <v>449</v>
      </c>
      <c r="F3245" s="384">
        <v>206.4</v>
      </c>
      <c r="G3245" s="270">
        <v>100025732</v>
      </c>
    </row>
    <row r="3246" spans="1:7" x14ac:dyDescent="0.25">
      <c r="A3246" s="257">
        <v>3250</v>
      </c>
      <c r="B3246" s="267">
        <v>3245</v>
      </c>
      <c r="C3246" s="268" t="s">
        <v>2751</v>
      </c>
      <c r="D3246" s="269">
        <v>42606</v>
      </c>
      <c r="E3246" s="270" t="s">
        <v>449</v>
      </c>
      <c r="F3246" s="384">
        <v>18.399999999999999</v>
      </c>
      <c r="G3246" s="270">
        <v>100025732</v>
      </c>
    </row>
    <row r="3247" spans="1:7" x14ac:dyDescent="0.25">
      <c r="A3247" s="257">
        <v>3251</v>
      </c>
      <c r="B3247" s="267">
        <v>3246</v>
      </c>
      <c r="C3247" s="268" t="s">
        <v>334</v>
      </c>
      <c r="D3247" s="269">
        <v>42606</v>
      </c>
      <c r="E3247" s="270" t="s">
        <v>1115</v>
      </c>
      <c r="F3247" s="384">
        <v>8.6</v>
      </c>
      <c r="G3247" s="270">
        <v>101392173</v>
      </c>
    </row>
    <row r="3248" spans="1:7" x14ac:dyDescent="0.25">
      <c r="A3248" s="257">
        <v>3252</v>
      </c>
      <c r="B3248" s="267">
        <v>3247</v>
      </c>
      <c r="C3248" s="268" t="s">
        <v>1676</v>
      </c>
      <c r="D3248" s="269">
        <v>42606</v>
      </c>
      <c r="E3248" s="270" t="s">
        <v>1675</v>
      </c>
      <c r="F3248" s="384">
        <v>61.6</v>
      </c>
      <c r="G3248" s="270">
        <v>102387091</v>
      </c>
    </row>
    <row r="3249" spans="1:7" x14ac:dyDescent="0.25">
      <c r="A3249" s="257">
        <v>3253</v>
      </c>
      <c r="B3249" s="267">
        <v>3248</v>
      </c>
      <c r="C3249" s="268" t="s">
        <v>2889</v>
      </c>
      <c r="D3249" s="269">
        <v>42606</v>
      </c>
      <c r="E3249" s="270" t="s">
        <v>523</v>
      </c>
      <c r="F3249" s="384">
        <v>33.200000000000003</v>
      </c>
      <c r="G3249" s="270">
        <v>691539111</v>
      </c>
    </row>
    <row r="3250" spans="1:7" x14ac:dyDescent="0.25">
      <c r="A3250" s="257">
        <v>3254</v>
      </c>
      <c r="B3250" s="267">
        <v>3249</v>
      </c>
      <c r="C3250" s="268" t="s">
        <v>311</v>
      </c>
      <c r="D3250" s="269">
        <v>42606</v>
      </c>
      <c r="E3250" s="270" t="s">
        <v>1940</v>
      </c>
      <c r="F3250" s="384">
        <v>70</v>
      </c>
      <c r="G3250" s="270">
        <v>191755190</v>
      </c>
    </row>
    <row r="3251" spans="1:7" x14ac:dyDescent="0.25">
      <c r="A3251" s="257">
        <v>3255</v>
      </c>
      <c r="B3251" s="267">
        <v>3250</v>
      </c>
      <c r="C3251" s="268" t="s">
        <v>2628</v>
      </c>
      <c r="D3251" s="269">
        <v>42606</v>
      </c>
      <c r="E3251" s="270" t="s">
        <v>3643</v>
      </c>
      <c r="F3251" s="384">
        <v>33.200000000000003</v>
      </c>
      <c r="G3251" s="270">
        <v>690397323</v>
      </c>
    </row>
    <row r="3252" spans="1:7" x14ac:dyDescent="0.25">
      <c r="A3252" s="257">
        <v>3256</v>
      </c>
      <c r="B3252" s="267">
        <v>3251</v>
      </c>
      <c r="C3252" s="268" t="s">
        <v>3322</v>
      </c>
      <c r="D3252" s="269">
        <v>42608</v>
      </c>
      <c r="E3252" s="270" t="s">
        <v>805</v>
      </c>
      <c r="F3252" s="384">
        <v>51.6</v>
      </c>
      <c r="G3252" s="270">
        <v>691325141</v>
      </c>
    </row>
    <row r="3253" spans="1:7" x14ac:dyDescent="0.25">
      <c r="A3253" s="257">
        <v>3257</v>
      </c>
      <c r="B3253" s="267">
        <v>3252</v>
      </c>
      <c r="C3253" s="268" t="s">
        <v>423</v>
      </c>
      <c r="D3253" s="269">
        <v>42608</v>
      </c>
      <c r="E3253" s="270" t="s">
        <v>4216</v>
      </c>
      <c r="F3253" s="384">
        <v>47</v>
      </c>
      <c r="G3253" s="270">
        <v>690265608</v>
      </c>
    </row>
    <row r="3254" spans="1:7" x14ac:dyDescent="0.25">
      <c r="A3254" s="257">
        <v>3258</v>
      </c>
      <c r="B3254" s="267">
        <v>3253</v>
      </c>
      <c r="C3254" s="268" t="s">
        <v>231</v>
      </c>
      <c r="D3254" s="269">
        <v>42608</v>
      </c>
      <c r="E3254" s="270" t="s">
        <v>955</v>
      </c>
      <c r="F3254" s="384">
        <v>19.5</v>
      </c>
      <c r="G3254" s="270">
        <v>191835639</v>
      </c>
    </row>
    <row r="3255" spans="1:7" x14ac:dyDescent="0.25">
      <c r="A3255" s="257">
        <v>3259</v>
      </c>
      <c r="B3255" s="267">
        <v>3254</v>
      </c>
      <c r="C3255" s="268" t="s">
        <v>1793</v>
      </c>
      <c r="D3255" s="269">
        <v>42608</v>
      </c>
      <c r="E3255" s="270" t="s">
        <v>1792</v>
      </c>
      <c r="F3255" s="384">
        <v>51.6</v>
      </c>
      <c r="G3255" s="270">
        <v>190542533</v>
      </c>
    </row>
    <row r="3256" spans="1:7" x14ac:dyDescent="0.25">
      <c r="A3256" s="257">
        <v>3260</v>
      </c>
      <c r="B3256" s="267">
        <v>3255</v>
      </c>
      <c r="C3256" s="268" t="s">
        <v>3658</v>
      </c>
      <c r="D3256" s="269">
        <v>42609</v>
      </c>
      <c r="E3256" s="270" t="s">
        <v>3552</v>
      </c>
      <c r="F3256" s="384">
        <v>7.4</v>
      </c>
      <c r="G3256" s="270">
        <v>191569368</v>
      </c>
    </row>
    <row r="3257" spans="1:7" x14ac:dyDescent="0.25">
      <c r="A3257" s="257">
        <v>3261</v>
      </c>
      <c r="B3257" s="267">
        <v>3256</v>
      </c>
      <c r="C3257" s="268" t="s">
        <v>3652</v>
      </c>
      <c r="D3257" s="269">
        <v>42609</v>
      </c>
      <c r="E3257" s="270" t="s">
        <v>2761</v>
      </c>
      <c r="F3257" s="384">
        <v>3.5</v>
      </c>
      <c r="G3257" s="270">
        <v>690604204</v>
      </c>
    </row>
    <row r="3258" spans="1:7" x14ac:dyDescent="0.25">
      <c r="A3258" s="257">
        <v>3262</v>
      </c>
      <c r="B3258" s="267">
        <v>3257</v>
      </c>
      <c r="C3258" s="268" t="s">
        <v>3253</v>
      </c>
      <c r="D3258" s="269">
        <v>42609</v>
      </c>
      <c r="E3258" s="270" t="s">
        <v>3631</v>
      </c>
      <c r="F3258" s="384">
        <v>18.399999999999999</v>
      </c>
      <c r="G3258" s="270">
        <v>691380883</v>
      </c>
    </row>
    <row r="3259" spans="1:7" x14ac:dyDescent="0.25">
      <c r="A3259" s="257">
        <v>3263</v>
      </c>
      <c r="B3259" s="267">
        <v>3258</v>
      </c>
      <c r="C3259" s="268" t="s">
        <v>337</v>
      </c>
      <c r="D3259" s="269">
        <v>42613</v>
      </c>
      <c r="E3259" s="270" t="s">
        <v>3580</v>
      </c>
      <c r="F3259" s="384">
        <v>28.4</v>
      </c>
      <c r="G3259" s="270">
        <v>100863054</v>
      </c>
    </row>
    <row r="3260" spans="1:7" x14ac:dyDescent="0.25">
      <c r="A3260" s="257">
        <v>3264</v>
      </c>
      <c r="B3260" s="267">
        <v>3259</v>
      </c>
      <c r="C3260" s="268" t="s">
        <v>248</v>
      </c>
      <c r="D3260" s="269">
        <v>42613</v>
      </c>
      <c r="E3260" s="270" t="s">
        <v>247</v>
      </c>
      <c r="F3260" s="384">
        <v>7.8</v>
      </c>
      <c r="G3260" s="270">
        <v>190702100</v>
      </c>
    </row>
    <row r="3261" spans="1:7" x14ac:dyDescent="0.25">
      <c r="A3261" s="257">
        <v>3265</v>
      </c>
      <c r="B3261" s="267">
        <v>3260</v>
      </c>
      <c r="C3261" s="268" t="s">
        <v>2360</v>
      </c>
      <c r="D3261" s="269">
        <v>42613</v>
      </c>
      <c r="E3261" s="270" t="s">
        <v>1807</v>
      </c>
      <c r="F3261" s="384">
        <v>51.6</v>
      </c>
      <c r="G3261" s="270">
        <v>101277625</v>
      </c>
    </row>
    <row r="3262" spans="1:7" x14ac:dyDescent="0.25">
      <c r="A3262" s="257">
        <v>3266</v>
      </c>
      <c r="B3262" s="267">
        <v>3261</v>
      </c>
      <c r="C3262" s="268" t="s">
        <v>250</v>
      </c>
      <c r="D3262" s="269">
        <v>42613</v>
      </c>
      <c r="E3262" s="270" t="s">
        <v>249</v>
      </c>
      <c r="F3262" s="384">
        <v>23.5</v>
      </c>
      <c r="G3262" s="270">
        <v>690662853</v>
      </c>
    </row>
    <row r="3263" spans="1:7" x14ac:dyDescent="0.25">
      <c r="A3263" s="257">
        <v>3267</v>
      </c>
      <c r="B3263" s="267">
        <v>3262</v>
      </c>
      <c r="C3263" s="268" t="s">
        <v>337</v>
      </c>
      <c r="D3263" s="269">
        <v>42613</v>
      </c>
      <c r="E3263" s="270" t="s">
        <v>3580</v>
      </c>
      <c r="F3263" s="384">
        <v>28.4</v>
      </c>
      <c r="G3263" s="270">
        <v>100863054</v>
      </c>
    </row>
    <row r="3264" spans="1:7" x14ac:dyDescent="0.25">
      <c r="A3264" s="257">
        <v>3268</v>
      </c>
      <c r="B3264" s="267">
        <v>3263</v>
      </c>
      <c r="C3264" s="268" t="s">
        <v>2143</v>
      </c>
      <c r="D3264" s="269">
        <v>42613</v>
      </c>
      <c r="E3264" s="270" t="s">
        <v>1927</v>
      </c>
      <c r="F3264" s="384">
        <v>8</v>
      </c>
      <c r="G3264" s="270">
        <v>190032958</v>
      </c>
    </row>
    <row r="3265" spans="1:7" x14ac:dyDescent="0.25">
      <c r="A3265" s="257">
        <v>3269</v>
      </c>
      <c r="B3265" s="267">
        <v>3264</v>
      </c>
      <c r="C3265" s="268" t="s">
        <v>314</v>
      </c>
      <c r="D3265" s="269">
        <v>42613</v>
      </c>
      <c r="E3265" s="270" t="s">
        <v>3495</v>
      </c>
      <c r="F3265" s="384">
        <v>19.5</v>
      </c>
      <c r="G3265" s="270">
        <v>808000252</v>
      </c>
    </row>
    <row r="3266" spans="1:7" x14ac:dyDescent="0.25">
      <c r="A3266" s="257">
        <v>3270</v>
      </c>
      <c r="B3266" s="267">
        <v>3265</v>
      </c>
      <c r="C3266" s="268" t="s">
        <v>2963</v>
      </c>
      <c r="D3266" s="269">
        <v>42613</v>
      </c>
      <c r="E3266" s="270" t="s">
        <v>2666</v>
      </c>
      <c r="F3266" s="384">
        <v>51.6</v>
      </c>
      <c r="G3266" s="270">
        <v>691314513</v>
      </c>
    </row>
    <row r="3267" spans="1:7" x14ac:dyDescent="0.25">
      <c r="A3267" s="257">
        <v>3271</v>
      </c>
      <c r="B3267" s="267">
        <v>3266</v>
      </c>
      <c r="C3267" s="268" t="s">
        <v>251</v>
      </c>
      <c r="D3267" s="269">
        <v>42613</v>
      </c>
      <c r="E3267" s="270" t="s">
        <v>2409</v>
      </c>
      <c r="F3267" s="384">
        <v>33.200000000000003</v>
      </c>
      <c r="G3267" s="270">
        <v>691464441</v>
      </c>
    </row>
    <row r="3268" spans="1:7" x14ac:dyDescent="0.25">
      <c r="A3268" s="257">
        <v>3272</v>
      </c>
      <c r="B3268" s="267">
        <v>3267</v>
      </c>
      <c r="C3268" s="268" t="s">
        <v>3140</v>
      </c>
      <c r="D3268" s="269">
        <v>42615</v>
      </c>
      <c r="E3268" s="270" t="s">
        <v>1537</v>
      </c>
      <c r="F3268" s="384">
        <v>7.4</v>
      </c>
      <c r="G3268" s="270">
        <v>800014157</v>
      </c>
    </row>
    <row r="3269" spans="1:7" x14ac:dyDescent="0.25">
      <c r="A3269" s="257">
        <v>3273</v>
      </c>
      <c r="B3269" s="267">
        <v>3268</v>
      </c>
      <c r="C3269" s="268" t="s">
        <v>2380</v>
      </c>
      <c r="D3269" s="269">
        <v>42615</v>
      </c>
      <c r="E3269" s="270" t="s">
        <v>2379</v>
      </c>
      <c r="F3269" s="384">
        <v>25.2</v>
      </c>
      <c r="G3269" s="270">
        <v>190664298</v>
      </c>
    </row>
    <row r="3270" spans="1:7" x14ac:dyDescent="0.25">
      <c r="A3270" s="257">
        <v>3274</v>
      </c>
      <c r="B3270" s="267">
        <v>3269</v>
      </c>
      <c r="C3270" s="268" t="s">
        <v>2104</v>
      </c>
      <c r="D3270" s="269">
        <v>42615</v>
      </c>
      <c r="E3270" s="270" t="s">
        <v>2736</v>
      </c>
      <c r="F3270" s="384">
        <v>28.4</v>
      </c>
      <c r="G3270" s="270">
        <v>691780951</v>
      </c>
    </row>
    <row r="3271" spans="1:7" x14ac:dyDescent="0.25">
      <c r="A3271" s="257">
        <v>3275</v>
      </c>
      <c r="B3271" s="267">
        <v>3270</v>
      </c>
      <c r="C3271" s="268" t="s">
        <v>3545</v>
      </c>
      <c r="D3271" s="269">
        <v>42615</v>
      </c>
      <c r="E3271" s="270" t="s">
        <v>4192</v>
      </c>
      <c r="F3271" s="384">
        <v>28.4</v>
      </c>
      <c r="G3271" s="270">
        <v>190063577</v>
      </c>
    </row>
    <row r="3272" spans="1:7" x14ac:dyDescent="0.25">
      <c r="A3272" s="257">
        <v>3276</v>
      </c>
      <c r="B3272" s="267">
        <v>3271</v>
      </c>
      <c r="C3272" s="268" t="s">
        <v>3658</v>
      </c>
      <c r="D3272" s="269">
        <v>42616</v>
      </c>
      <c r="E3272" s="270" t="s">
        <v>3552</v>
      </c>
      <c r="F3272" s="384">
        <v>7.4</v>
      </c>
      <c r="G3272" s="270">
        <v>191569368</v>
      </c>
    </row>
    <row r="3273" spans="1:7" x14ac:dyDescent="0.25">
      <c r="A3273" s="257">
        <v>3277</v>
      </c>
      <c r="B3273" s="267">
        <v>3272</v>
      </c>
      <c r="C3273" s="268" t="s">
        <v>3252</v>
      </c>
      <c r="D3273" s="269">
        <v>42618</v>
      </c>
      <c r="E3273" s="270" t="s">
        <v>526</v>
      </c>
      <c r="F3273" s="384">
        <v>28.4</v>
      </c>
      <c r="G3273" s="270">
        <v>691536906</v>
      </c>
    </row>
    <row r="3274" spans="1:7" x14ac:dyDescent="0.25">
      <c r="A3274" s="257">
        <v>3278</v>
      </c>
      <c r="B3274" s="267">
        <v>3273</v>
      </c>
      <c r="C3274" s="268" t="s">
        <v>3322</v>
      </c>
      <c r="D3274" s="269">
        <v>42618</v>
      </c>
      <c r="E3274" s="270" t="s">
        <v>805</v>
      </c>
      <c r="F3274" s="384">
        <v>51.6</v>
      </c>
      <c r="G3274" s="270">
        <v>691325141</v>
      </c>
    </row>
    <row r="3275" spans="1:7" x14ac:dyDescent="0.25">
      <c r="A3275" s="257">
        <v>3279</v>
      </c>
      <c r="B3275" s="267">
        <v>3274</v>
      </c>
      <c r="C3275" s="268" t="s">
        <v>2645</v>
      </c>
      <c r="D3275" s="269">
        <v>42618</v>
      </c>
      <c r="E3275" s="270" t="s">
        <v>239</v>
      </c>
      <c r="F3275" s="384">
        <v>169.60000000000002</v>
      </c>
      <c r="G3275" s="270">
        <v>101139097</v>
      </c>
    </row>
    <row r="3276" spans="1:7" x14ac:dyDescent="0.25">
      <c r="A3276" s="257">
        <v>3280</v>
      </c>
      <c r="B3276" s="267">
        <v>3275</v>
      </c>
      <c r="C3276" s="268" t="s">
        <v>1917</v>
      </c>
      <c r="D3276" s="269">
        <v>42618</v>
      </c>
      <c r="E3276" s="270" t="s">
        <v>874</v>
      </c>
      <c r="F3276" s="384">
        <v>51.6</v>
      </c>
      <c r="G3276" s="270">
        <v>191360926</v>
      </c>
    </row>
    <row r="3277" spans="1:7" x14ac:dyDescent="0.25">
      <c r="A3277" s="257">
        <v>3281</v>
      </c>
      <c r="B3277" s="267">
        <v>3276</v>
      </c>
      <c r="C3277" s="268" t="s">
        <v>3140</v>
      </c>
      <c r="D3277" s="269">
        <v>42618</v>
      </c>
      <c r="E3277" s="270" t="s">
        <v>1537</v>
      </c>
      <c r="F3277" s="384">
        <v>7.4</v>
      </c>
      <c r="G3277" s="270">
        <v>800014157</v>
      </c>
    </row>
    <row r="3278" spans="1:7" x14ac:dyDescent="0.25">
      <c r="A3278" s="257">
        <v>3282</v>
      </c>
      <c r="B3278" s="267">
        <v>3277</v>
      </c>
      <c r="C3278" s="268" t="s">
        <v>2975</v>
      </c>
      <c r="D3278" s="269">
        <v>42618</v>
      </c>
      <c r="E3278" s="270" t="s">
        <v>1002</v>
      </c>
      <c r="F3278" s="384">
        <v>51.6</v>
      </c>
      <c r="G3278" s="270">
        <v>690033956</v>
      </c>
    </row>
    <row r="3279" spans="1:7" x14ac:dyDescent="0.25">
      <c r="A3279" s="257">
        <v>3283</v>
      </c>
      <c r="B3279" s="267">
        <v>3278</v>
      </c>
      <c r="C3279" s="268" t="s">
        <v>1676</v>
      </c>
      <c r="D3279" s="269">
        <v>42619</v>
      </c>
      <c r="E3279" s="270" t="s">
        <v>1675</v>
      </c>
      <c r="F3279" s="384">
        <v>7.4</v>
      </c>
      <c r="G3279" s="270">
        <v>102387091</v>
      </c>
    </row>
    <row r="3280" spans="1:7" x14ac:dyDescent="0.25">
      <c r="A3280" s="257">
        <v>3284</v>
      </c>
      <c r="B3280" s="267">
        <v>3279</v>
      </c>
      <c r="C3280" s="268" t="s">
        <v>3322</v>
      </c>
      <c r="D3280" s="269">
        <v>42619</v>
      </c>
      <c r="E3280" s="270" t="s">
        <v>805</v>
      </c>
      <c r="F3280" s="384">
        <v>51.6</v>
      </c>
      <c r="G3280" s="270">
        <v>691325141</v>
      </c>
    </row>
    <row r="3281" spans="1:7" x14ac:dyDescent="0.25">
      <c r="A3281" s="257">
        <v>3285</v>
      </c>
      <c r="B3281" s="267">
        <v>3280</v>
      </c>
      <c r="C3281" s="268" t="s">
        <v>196</v>
      </c>
      <c r="D3281" s="269">
        <v>42619</v>
      </c>
      <c r="E3281" s="270" t="s">
        <v>2717</v>
      </c>
      <c r="F3281" s="384">
        <v>51.6</v>
      </c>
      <c r="G3281" s="270">
        <v>101538513</v>
      </c>
    </row>
    <row r="3282" spans="1:7" x14ac:dyDescent="0.25">
      <c r="A3282" s="257">
        <v>3286</v>
      </c>
      <c r="B3282" s="267">
        <v>3281</v>
      </c>
      <c r="C3282" s="268" t="s">
        <v>131</v>
      </c>
      <c r="D3282" s="269">
        <v>42619</v>
      </c>
      <c r="E3282" s="270" t="s">
        <v>691</v>
      </c>
      <c r="F3282" s="384">
        <v>23.5</v>
      </c>
      <c r="G3282" s="270">
        <v>390504572</v>
      </c>
    </row>
    <row r="3283" spans="1:7" x14ac:dyDescent="0.25">
      <c r="A3283" s="257">
        <v>3287</v>
      </c>
      <c r="B3283" s="267">
        <v>3282</v>
      </c>
      <c r="C3283" s="268" t="s">
        <v>3226</v>
      </c>
      <c r="D3283" s="269">
        <v>42619</v>
      </c>
      <c r="E3283" s="270" t="s">
        <v>3292</v>
      </c>
      <c r="F3283" s="384">
        <v>19</v>
      </c>
      <c r="G3283" s="270">
        <v>100179084</v>
      </c>
    </row>
    <row r="3284" spans="1:7" x14ac:dyDescent="0.25">
      <c r="A3284" s="257">
        <v>3288</v>
      </c>
      <c r="B3284" s="267">
        <v>3283</v>
      </c>
      <c r="C3284" s="268" t="s">
        <v>251</v>
      </c>
      <c r="D3284" s="269">
        <v>42619</v>
      </c>
      <c r="E3284" s="270" t="s">
        <v>2106</v>
      </c>
      <c r="F3284" s="384">
        <v>51.6</v>
      </c>
      <c r="G3284" s="270">
        <v>691811261</v>
      </c>
    </row>
    <row r="3285" spans="1:7" x14ac:dyDescent="0.25">
      <c r="A3285" s="257">
        <v>3289</v>
      </c>
      <c r="B3285" s="267">
        <v>3284</v>
      </c>
      <c r="C3285" s="268" t="s">
        <v>2835</v>
      </c>
      <c r="D3285" s="269">
        <v>42619</v>
      </c>
      <c r="E3285" s="270" t="s">
        <v>2890</v>
      </c>
      <c r="F3285" s="384">
        <v>8</v>
      </c>
      <c r="G3285" s="270">
        <v>690367172</v>
      </c>
    </row>
    <row r="3286" spans="1:7" x14ac:dyDescent="0.25">
      <c r="A3286" s="257">
        <v>3290</v>
      </c>
      <c r="B3286" s="267">
        <v>3285</v>
      </c>
      <c r="C3286" s="268" t="s">
        <v>2143</v>
      </c>
      <c r="D3286" s="269">
        <v>42620</v>
      </c>
      <c r="E3286" s="270" t="s">
        <v>1927</v>
      </c>
      <c r="F3286" s="384">
        <v>11.7</v>
      </c>
      <c r="G3286" s="270">
        <v>190032958</v>
      </c>
    </row>
    <row r="3287" spans="1:7" x14ac:dyDescent="0.25">
      <c r="A3287" s="257">
        <v>3291</v>
      </c>
      <c r="B3287" s="267">
        <v>3286</v>
      </c>
      <c r="C3287" s="268" t="s">
        <v>3550</v>
      </c>
      <c r="D3287" s="269">
        <v>42620</v>
      </c>
      <c r="E3287" s="270" t="s">
        <v>2676</v>
      </c>
      <c r="F3287" s="384">
        <v>51.6</v>
      </c>
      <c r="G3287" s="270">
        <v>690594220</v>
      </c>
    </row>
    <row r="3288" spans="1:7" x14ac:dyDescent="0.25">
      <c r="A3288" s="257">
        <v>3292</v>
      </c>
      <c r="B3288" s="267">
        <v>3287</v>
      </c>
      <c r="C3288" s="268" t="s">
        <v>887</v>
      </c>
      <c r="D3288" s="269">
        <v>42620</v>
      </c>
      <c r="E3288" s="270" t="s">
        <v>2831</v>
      </c>
      <c r="F3288" s="384">
        <v>51.6</v>
      </c>
      <c r="G3288" s="270">
        <v>191604225</v>
      </c>
    </row>
    <row r="3289" spans="1:7" x14ac:dyDescent="0.25">
      <c r="A3289" s="257">
        <v>3293</v>
      </c>
      <c r="B3289" s="267">
        <v>3288</v>
      </c>
      <c r="C3289" s="268" t="s">
        <v>3864</v>
      </c>
      <c r="D3289" s="269">
        <v>42620</v>
      </c>
      <c r="E3289" s="270" t="s">
        <v>906</v>
      </c>
      <c r="F3289" s="384">
        <v>35.6</v>
      </c>
      <c r="G3289" s="270">
        <v>100348119</v>
      </c>
    </row>
    <row r="3290" spans="1:7" x14ac:dyDescent="0.25">
      <c r="A3290" s="257">
        <v>3294</v>
      </c>
      <c r="B3290" s="267">
        <v>3289</v>
      </c>
      <c r="C3290" s="268" t="s">
        <v>246</v>
      </c>
      <c r="D3290" s="269">
        <v>42620</v>
      </c>
      <c r="E3290" s="270" t="s">
        <v>1796</v>
      </c>
      <c r="F3290" s="384">
        <v>51.6</v>
      </c>
      <c r="G3290" s="270">
        <v>100872922</v>
      </c>
    </row>
    <row r="3291" spans="1:7" x14ac:dyDescent="0.25">
      <c r="A3291" s="257">
        <v>3295</v>
      </c>
      <c r="B3291" s="267">
        <v>3290</v>
      </c>
      <c r="C3291" s="268" t="s">
        <v>246</v>
      </c>
      <c r="D3291" s="269">
        <v>42620</v>
      </c>
      <c r="E3291" s="270" t="s">
        <v>1796</v>
      </c>
      <c r="F3291" s="384">
        <v>18.399999999999999</v>
      </c>
      <c r="G3291" s="270">
        <v>100872922</v>
      </c>
    </row>
    <row r="3292" spans="1:7" x14ac:dyDescent="0.25">
      <c r="A3292" s="257">
        <v>3296</v>
      </c>
      <c r="B3292" s="267">
        <v>3291</v>
      </c>
      <c r="C3292" s="268" t="s">
        <v>246</v>
      </c>
      <c r="D3292" s="269">
        <v>42620</v>
      </c>
      <c r="E3292" s="270" t="s">
        <v>1796</v>
      </c>
      <c r="F3292" s="384">
        <v>33.200000000000003</v>
      </c>
      <c r="G3292" s="270">
        <v>100872922</v>
      </c>
    </row>
    <row r="3293" spans="1:7" x14ac:dyDescent="0.25">
      <c r="A3293" s="257">
        <v>3297</v>
      </c>
      <c r="B3293" s="267">
        <v>3292</v>
      </c>
      <c r="C3293" s="268" t="s">
        <v>1676</v>
      </c>
      <c r="D3293" s="269">
        <v>42621</v>
      </c>
      <c r="E3293" s="270" t="s">
        <v>1675</v>
      </c>
      <c r="F3293" s="384">
        <v>5.2</v>
      </c>
      <c r="G3293" s="270">
        <v>102387091</v>
      </c>
    </row>
    <row r="3294" spans="1:7" x14ac:dyDescent="0.25">
      <c r="A3294" s="257">
        <v>3298</v>
      </c>
      <c r="B3294" s="267">
        <v>3293</v>
      </c>
      <c r="C3294" s="268" t="s">
        <v>1639</v>
      </c>
      <c r="D3294" s="269">
        <v>42621</v>
      </c>
      <c r="E3294" s="270" t="s">
        <v>3850</v>
      </c>
      <c r="F3294" s="384">
        <v>19</v>
      </c>
      <c r="G3294" s="270">
        <v>800011635</v>
      </c>
    </row>
    <row r="3295" spans="1:7" x14ac:dyDescent="0.25">
      <c r="A3295" s="257">
        <v>3299</v>
      </c>
      <c r="B3295" s="267">
        <v>3294</v>
      </c>
      <c r="C3295" s="268" t="s">
        <v>2377</v>
      </c>
      <c r="D3295" s="269">
        <v>42621</v>
      </c>
      <c r="E3295" s="270" t="s">
        <v>226</v>
      </c>
      <c r="F3295" s="384">
        <v>85.199999999999989</v>
      </c>
      <c r="G3295" s="270">
        <v>190654467</v>
      </c>
    </row>
    <row r="3296" spans="1:7" x14ac:dyDescent="0.25">
      <c r="A3296" s="257">
        <v>3300</v>
      </c>
      <c r="B3296" s="267">
        <v>3295</v>
      </c>
      <c r="C3296" s="268" t="s">
        <v>2733</v>
      </c>
      <c r="D3296" s="269">
        <v>42621</v>
      </c>
      <c r="E3296" s="270" t="s">
        <v>3491</v>
      </c>
      <c r="F3296" s="384">
        <v>19</v>
      </c>
      <c r="G3296" s="270">
        <v>800014037</v>
      </c>
    </row>
    <row r="3297" spans="1:7" x14ac:dyDescent="0.25">
      <c r="A3297" s="257">
        <v>3301</v>
      </c>
      <c r="B3297" s="267">
        <v>3296</v>
      </c>
      <c r="C3297" s="268" t="s">
        <v>131</v>
      </c>
      <c r="D3297" s="269">
        <v>42621</v>
      </c>
      <c r="E3297" s="270" t="s">
        <v>691</v>
      </c>
      <c r="F3297" s="384">
        <v>7.4</v>
      </c>
      <c r="G3297" s="270">
        <v>390504572</v>
      </c>
    </row>
    <row r="3298" spans="1:7" x14ac:dyDescent="0.25">
      <c r="A3298" s="257">
        <v>3302</v>
      </c>
      <c r="B3298" s="267">
        <v>3297</v>
      </c>
      <c r="C3298" s="268" t="s">
        <v>1676</v>
      </c>
      <c r="D3298" s="269">
        <v>42621</v>
      </c>
      <c r="E3298" s="270" t="s">
        <v>1675</v>
      </c>
      <c r="F3298" s="384">
        <v>7.4</v>
      </c>
      <c r="G3298" s="270">
        <v>102387091</v>
      </c>
    </row>
    <row r="3299" spans="1:7" x14ac:dyDescent="0.25">
      <c r="A3299" s="257">
        <v>3303</v>
      </c>
      <c r="B3299" s="267">
        <v>3298</v>
      </c>
      <c r="C3299" s="268" t="s">
        <v>2143</v>
      </c>
      <c r="D3299" s="269">
        <v>42622</v>
      </c>
      <c r="E3299" s="270" t="s">
        <v>1927</v>
      </c>
      <c r="F3299" s="384">
        <v>61.6</v>
      </c>
      <c r="G3299" s="270">
        <v>190032958</v>
      </c>
    </row>
    <row r="3300" spans="1:7" x14ac:dyDescent="0.25">
      <c r="A3300" s="257">
        <v>3304</v>
      </c>
      <c r="B3300" s="267">
        <v>3299</v>
      </c>
      <c r="C3300" s="268" t="s">
        <v>2108</v>
      </c>
      <c r="D3300" s="269">
        <v>42622</v>
      </c>
      <c r="E3300" s="270" t="s">
        <v>2107</v>
      </c>
      <c r="F3300" s="384">
        <v>39.4</v>
      </c>
      <c r="G3300" s="270">
        <v>691531787</v>
      </c>
    </row>
    <row r="3301" spans="1:7" x14ac:dyDescent="0.25">
      <c r="A3301" s="257">
        <v>3305</v>
      </c>
      <c r="B3301" s="267">
        <v>3300</v>
      </c>
      <c r="C3301" s="268" t="s">
        <v>2751</v>
      </c>
      <c r="D3301" s="269">
        <v>42622</v>
      </c>
      <c r="E3301" s="270" t="s">
        <v>449</v>
      </c>
      <c r="F3301" s="384">
        <v>103.2</v>
      </c>
      <c r="G3301" s="270">
        <v>100025732</v>
      </c>
    </row>
    <row r="3302" spans="1:7" x14ac:dyDescent="0.25">
      <c r="A3302" s="257">
        <v>3306</v>
      </c>
      <c r="B3302" s="267">
        <v>3301</v>
      </c>
      <c r="C3302" s="268" t="s">
        <v>251</v>
      </c>
      <c r="D3302" s="269">
        <v>42622</v>
      </c>
      <c r="E3302" s="270" t="s">
        <v>2106</v>
      </c>
      <c r="F3302" s="384">
        <v>26.9</v>
      </c>
      <c r="G3302" s="270">
        <v>691811261</v>
      </c>
    </row>
    <row r="3303" spans="1:7" x14ac:dyDescent="0.25">
      <c r="A3303" s="257">
        <v>3307</v>
      </c>
      <c r="B3303" s="267">
        <v>3302</v>
      </c>
      <c r="C3303" s="268" t="s">
        <v>2377</v>
      </c>
      <c r="D3303" s="269">
        <v>42623</v>
      </c>
      <c r="E3303" s="270" t="s">
        <v>226</v>
      </c>
      <c r="F3303" s="384">
        <v>26.9</v>
      </c>
      <c r="G3303" s="270">
        <v>190654467</v>
      </c>
    </row>
    <row r="3304" spans="1:7" x14ac:dyDescent="0.25">
      <c r="A3304" s="257">
        <v>3308</v>
      </c>
      <c r="B3304" s="267">
        <v>3303</v>
      </c>
      <c r="C3304" s="268" t="s">
        <v>2444</v>
      </c>
      <c r="D3304" s="269">
        <v>42624</v>
      </c>
      <c r="E3304" s="270" t="s">
        <v>2594</v>
      </c>
      <c r="F3304" s="384">
        <v>23.5</v>
      </c>
      <c r="G3304" s="270">
        <v>100008077</v>
      </c>
    </row>
    <row r="3305" spans="1:7" x14ac:dyDescent="0.25">
      <c r="A3305" s="257">
        <v>3309</v>
      </c>
      <c r="B3305" s="267">
        <v>3304</v>
      </c>
      <c r="C3305" s="268" t="s">
        <v>137</v>
      </c>
      <c r="D3305" s="269">
        <v>42625</v>
      </c>
      <c r="E3305" s="270" t="s">
        <v>405</v>
      </c>
      <c r="F3305" s="384">
        <v>70.5</v>
      </c>
      <c r="G3305" s="270">
        <v>190778354</v>
      </c>
    </row>
    <row r="3306" spans="1:7" x14ac:dyDescent="0.25">
      <c r="A3306" s="257">
        <v>3310</v>
      </c>
      <c r="B3306" s="267">
        <v>3305</v>
      </c>
      <c r="C3306" s="268" t="s">
        <v>2408</v>
      </c>
      <c r="D3306" s="269">
        <v>42625</v>
      </c>
      <c r="E3306" s="270" t="s">
        <v>2868</v>
      </c>
      <c r="F3306" s="384">
        <v>23.5</v>
      </c>
      <c r="G3306" s="270">
        <v>100098535</v>
      </c>
    </row>
    <row r="3307" spans="1:7" x14ac:dyDescent="0.25">
      <c r="A3307" s="257">
        <v>3311</v>
      </c>
      <c r="B3307" s="267">
        <v>3306</v>
      </c>
      <c r="C3307" s="268" t="s">
        <v>2751</v>
      </c>
      <c r="D3307" s="269">
        <v>42625</v>
      </c>
      <c r="E3307" s="270" t="s">
        <v>449</v>
      </c>
      <c r="F3307" s="384">
        <v>20</v>
      </c>
      <c r="G3307" s="270">
        <v>100025732</v>
      </c>
    </row>
    <row r="3308" spans="1:7" x14ac:dyDescent="0.25">
      <c r="A3308" s="257">
        <v>3312</v>
      </c>
      <c r="B3308" s="267">
        <v>3307</v>
      </c>
      <c r="C3308" s="268" t="s">
        <v>2110</v>
      </c>
      <c r="D3308" s="269">
        <v>42625</v>
      </c>
      <c r="E3308" s="270" t="s">
        <v>2109</v>
      </c>
      <c r="F3308" s="384">
        <v>19.5</v>
      </c>
      <c r="G3308" s="270">
        <v>190675587</v>
      </c>
    </row>
    <row r="3309" spans="1:7" x14ac:dyDescent="0.25">
      <c r="A3309" s="257">
        <v>3313</v>
      </c>
      <c r="B3309" s="267">
        <v>3308</v>
      </c>
      <c r="C3309" s="268" t="s">
        <v>846</v>
      </c>
      <c r="D3309" s="269">
        <v>42625</v>
      </c>
      <c r="E3309" s="270" t="s">
        <v>500</v>
      </c>
      <c r="F3309" s="384">
        <v>18.399999999999999</v>
      </c>
      <c r="G3309" s="270">
        <v>690631984</v>
      </c>
    </row>
    <row r="3310" spans="1:7" x14ac:dyDescent="0.25">
      <c r="A3310" s="257">
        <v>3314</v>
      </c>
      <c r="B3310" s="267">
        <v>3309</v>
      </c>
      <c r="C3310" s="268" t="s">
        <v>2112</v>
      </c>
      <c r="D3310" s="269">
        <v>42626</v>
      </c>
      <c r="E3310" s="270" t="s">
        <v>2111</v>
      </c>
      <c r="F3310" s="384">
        <v>33.200000000000003</v>
      </c>
      <c r="G3310" s="270">
        <v>101129360</v>
      </c>
    </row>
    <row r="3311" spans="1:7" x14ac:dyDescent="0.25">
      <c r="A3311" s="257">
        <v>3315</v>
      </c>
      <c r="B3311" s="267">
        <v>3310</v>
      </c>
      <c r="C3311" s="268" t="s">
        <v>3326</v>
      </c>
      <c r="D3311" s="269">
        <v>42626</v>
      </c>
      <c r="E3311" s="270" t="s">
        <v>164</v>
      </c>
      <c r="F3311" s="384">
        <v>7.4</v>
      </c>
      <c r="G3311" s="270">
        <v>100534485</v>
      </c>
    </row>
    <row r="3312" spans="1:7" x14ac:dyDescent="0.25">
      <c r="A3312" s="257">
        <v>3316</v>
      </c>
      <c r="B3312" s="267">
        <v>3311</v>
      </c>
      <c r="C3312" s="268" t="s">
        <v>3621</v>
      </c>
      <c r="D3312" s="269">
        <v>42626</v>
      </c>
      <c r="E3312" s="270" t="s">
        <v>3121</v>
      </c>
      <c r="F3312" s="384">
        <v>51.6</v>
      </c>
      <c r="G3312" s="270">
        <v>190892779</v>
      </c>
    </row>
    <row r="3313" spans="1:7" x14ac:dyDescent="0.25">
      <c r="A3313" s="257">
        <v>3317</v>
      </c>
      <c r="B3313" s="267">
        <v>3312</v>
      </c>
      <c r="C3313" s="268" t="s">
        <v>2112</v>
      </c>
      <c r="D3313" s="269">
        <v>42626</v>
      </c>
      <c r="E3313" s="270" t="s">
        <v>2111</v>
      </c>
      <c r="F3313" s="384">
        <v>4.3</v>
      </c>
      <c r="G3313" s="270">
        <v>101129360</v>
      </c>
    </row>
    <row r="3314" spans="1:7" x14ac:dyDescent="0.25">
      <c r="A3314" s="257">
        <v>3318</v>
      </c>
      <c r="B3314" s="267">
        <v>3313</v>
      </c>
      <c r="C3314" s="268" t="s">
        <v>3300</v>
      </c>
      <c r="D3314" s="269">
        <v>42626</v>
      </c>
      <c r="E3314" s="270" t="s">
        <v>2678</v>
      </c>
      <c r="F3314" s="384">
        <v>28.4</v>
      </c>
      <c r="G3314" s="270">
        <v>691584652</v>
      </c>
    </row>
    <row r="3315" spans="1:7" x14ac:dyDescent="0.25">
      <c r="A3315" s="257">
        <v>3319</v>
      </c>
      <c r="B3315" s="267">
        <v>3314</v>
      </c>
      <c r="C3315" s="268" t="s">
        <v>128</v>
      </c>
      <c r="D3315" s="269">
        <v>42626</v>
      </c>
      <c r="E3315" s="270" t="s">
        <v>3259</v>
      </c>
      <c r="F3315" s="384">
        <v>19.5</v>
      </c>
      <c r="G3315" s="270">
        <v>190904186</v>
      </c>
    </row>
    <row r="3316" spans="1:7" x14ac:dyDescent="0.25">
      <c r="A3316" s="257">
        <v>3320</v>
      </c>
      <c r="B3316" s="267">
        <v>3315</v>
      </c>
      <c r="C3316" s="268" t="s">
        <v>978</v>
      </c>
      <c r="D3316" s="269">
        <v>42626</v>
      </c>
      <c r="E3316" s="270" t="s">
        <v>847</v>
      </c>
      <c r="F3316" s="384">
        <v>154.80000000000001</v>
      </c>
      <c r="G3316" s="270">
        <v>190853326</v>
      </c>
    </row>
    <row r="3317" spans="1:7" x14ac:dyDescent="0.25">
      <c r="A3317" s="257">
        <v>3321</v>
      </c>
      <c r="B3317" s="267">
        <v>3316</v>
      </c>
      <c r="C3317" s="268" t="s">
        <v>2114</v>
      </c>
      <c r="D3317" s="269">
        <v>42627</v>
      </c>
      <c r="E3317" s="270" t="s">
        <v>2113</v>
      </c>
      <c r="F3317" s="384">
        <v>20</v>
      </c>
      <c r="G3317" s="270">
        <v>190034792</v>
      </c>
    </row>
    <row r="3318" spans="1:7" x14ac:dyDescent="0.25">
      <c r="A3318" s="257">
        <v>3322</v>
      </c>
      <c r="B3318" s="267">
        <v>3317</v>
      </c>
      <c r="C3318" s="268" t="s">
        <v>2405</v>
      </c>
      <c r="D3318" s="269">
        <v>42627</v>
      </c>
      <c r="E3318" s="270" t="s">
        <v>1944</v>
      </c>
      <c r="F3318" s="384">
        <v>28.4</v>
      </c>
      <c r="G3318" s="270">
        <v>100345799</v>
      </c>
    </row>
    <row r="3319" spans="1:7" x14ac:dyDescent="0.25">
      <c r="A3319" s="257">
        <v>3323</v>
      </c>
      <c r="B3319" s="267">
        <v>3318</v>
      </c>
      <c r="C3319" s="268" t="s">
        <v>3252</v>
      </c>
      <c r="D3319" s="269">
        <v>42627</v>
      </c>
      <c r="E3319" s="270" t="s">
        <v>526</v>
      </c>
      <c r="F3319" s="384">
        <v>51.6</v>
      </c>
      <c r="G3319" s="270">
        <v>691536906</v>
      </c>
    </row>
    <row r="3320" spans="1:7" x14ac:dyDescent="0.25">
      <c r="A3320" s="257">
        <v>3324</v>
      </c>
      <c r="B3320" s="267">
        <v>3319</v>
      </c>
      <c r="C3320" s="268" t="s">
        <v>196</v>
      </c>
      <c r="D3320" s="269">
        <v>42627</v>
      </c>
      <c r="E3320" s="270" t="s">
        <v>2717</v>
      </c>
      <c r="F3320" s="384">
        <v>51.6</v>
      </c>
      <c r="G3320" s="270">
        <v>101538513</v>
      </c>
    </row>
    <row r="3321" spans="1:7" x14ac:dyDescent="0.25">
      <c r="A3321" s="257">
        <v>3325</v>
      </c>
      <c r="B3321" s="267">
        <v>3320</v>
      </c>
      <c r="C3321" s="268" t="s">
        <v>2618</v>
      </c>
      <c r="D3321" s="269">
        <v>42628</v>
      </c>
      <c r="E3321" s="270" t="s">
        <v>1622</v>
      </c>
      <c r="F3321" s="384">
        <v>191.60000000000002</v>
      </c>
      <c r="G3321" s="270">
        <v>190513098</v>
      </c>
    </row>
    <row r="3322" spans="1:7" x14ac:dyDescent="0.25">
      <c r="A3322" s="257">
        <v>3326</v>
      </c>
      <c r="B3322" s="267">
        <v>3321</v>
      </c>
      <c r="C3322" s="268" t="s">
        <v>190</v>
      </c>
      <c r="D3322" s="269">
        <v>42628</v>
      </c>
      <c r="E3322" s="270" t="s">
        <v>188</v>
      </c>
      <c r="F3322" s="384">
        <v>33.200000000000003</v>
      </c>
      <c r="G3322" s="270">
        <v>190270596</v>
      </c>
    </row>
    <row r="3323" spans="1:7" x14ac:dyDescent="0.25">
      <c r="A3323" s="257">
        <v>3327</v>
      </c>
      <c r="B3323" s="267">
        <v>3322</v>
      </c>
      <c r="C3323" s="268" t="s">
        <v>2116</v>
      </c>
      <c r="D3323" s="269">
        <v>42628</v>
      </c>
      <c r="E3323" s="270" t="s">
        <v>2115</v>
      </c>
      <c r="F3323" s="384">
        <v>35.6</v>
      </c>
      <c r="G3323" s="270">
        <v>101026338</v>
      </c>
    </row>
    <row r="3324" spans="1:7" x14ac:dyDescent="0.25">
      <c r="A3324" s="257">
        <v>3328</v>
      </c>
      <c r="B3324" s="267">
        <v>3323</v>
      </c>
      <c r="C3324" s="268" t="s">
        <v>2118</v>
      </c>
      <c r="D3324" s="269">
        <v>42628</v>
      </c>
      <c r="E3324" s="270" t="s">
        <v>2117</v>
      </c>
      <c r="F3324" s="384">
        <v>23.5</v>
      </c>
      <c r="G3324" s="270">
        <v>190819886</v>
      </c>
    </row>
    <row r="3325" spans="1:7" x14ac:dyDescent="0.25">
      <c r="A3325" s="257">
        <v>3329</v>
      </c>
      <c r="B3325" s="267">
        <v>3324</v>
      </c>
      <c r="C3325" s="268" t="s">
        <v>1917</v>
      </c>
      <c r="D3325" s="269">
        <v>42628</v>
      </c>
      <c r="E3325" s="270" t="s">
        <v>874</v>
      </c>
      <c r="F3325" s="384">
        <v>51.6</v>
      </c>
      <c r="G3325" s="270">
        <v>191360926</v>
      </c>
    </row>
    <row r="3326" spans="1:7" x14ac:dyDescent="0.25">
      <c r="A3326" s="257">
        <v>3330</v>
      </c>
      <c r="B3326" s="267">
        <v>3325</v>
      </c>
      <c r="C3326" s="268" t="s">
        <v>1004</v>
      </c>
      <c r="D3326" s="269">
        <v>42628</v>
      </c>
      <c r="E3326" s="270" t="s">
        <v>2383</v>
      </c>
      <c r="F3326" s="384">
        <v>19</v>
      </c>
      <c r="G3326" s="270">
        <v>690655317</v>
      </c>
    </row>
    <row r="3327" spans="1:7" x14ac:dyDescent="0.25">
      <c r="A3327" s="257">
        <v>3331</v>
      </c>
      <c r="B3327" s="267">
        <v>3326</v>
      </c>
      <c r="C3327" s="268" t="s">
        <v>2428</v>
      </c>
      <c r="D3327" s="269">
        <v>42628</v>
      </c>
      <c r="E3327" s="270" t="s">
        <v>2119</v>
      </c>
      <c r="F3327" s="384">
        <v>33.200000000000003</v>
      </c>
      <c r="G3327" s="270">
        <v>191685333</v>
      </c>
    </row>
    <row r="3328" spans="1:7" x14ac:dyDescent="0.25">
      <c r="A3328" s="257">
        <v>3332</v>
      </c>
      <c r="B3328" s="267">
        <v>3327</v>
      </c>
      <c r="C3328" s="268" t="s">
        <v>2733</v>
      </c>
      <c r="D3328" s="269">
        <v>42629</v>
      </c>
      <c r="E3328" s="270" t="s">
        <v>3491</v>
      </c>
      <c r="F3328" s="384">
        <v>19.5</v>
      </c>
      <c r="G3328" s="270">
        <v>800014037</v>
      </c>
    </row>
    <row r="3329" spans="1:7" x14ac:dyDescent="0.25">
      <c r="A3329" s="257">
        <v>3333</v>
      </c>
      <c r="B3329" s="267">
        <v>3328</v>
      </c>
      <c r="C3329" s="268" t="s">
        <v>850</v>
      </c>
      <c r="D3329" s="269">
        <v>42629</v>
      </c>
      <c r="E3329" s="270" t="s">
        <v>3260</v>
      </c>
      <c r="F3329" s="384">
        <v>33.200000000000003</v>
      </c>
      <c r="G3329" s="270">
        <v>690606064</v>
      </c>
    </row>
    <row r="3330" spans="1:7" x14ac:dyDescent="0.25">
      <c r="A3330" s="257">
        <v>3334</v>
      </c>
      <c r="B3330" s="267">
        <v>3329</v>
      </c>
      <c r="C3330" s="268" t="s">
        <v>3095</v>
      </c>
      <c r="D3330" s="269">
        <v>42629</v>
      </c>
      <c r="E3330" s="270" t="s">
        <v>1367</v>
      </c>
      <c r="F3330" s="384">
        <v>89.9</v>
      </c>
      <c r="G3330" s="270">
        <v>600921909</v>
      </c>
    </row>
    <row r="3331" spans="1:7" x14ac:dyDescent="0.25">
      <c r="A3331" s="257">
        <v>3335</v>
      </c>
      <c r="B3331" s="267">
        <v>3330</v>
      </c>
      <c r="C3331" s="268" t="s">
        <v>246</v>
      </c>
      <c r="D3331" s="269">
        <v>42629</v>
      </c>
      <c r="E3331" s="270" t="s">
        <v>1796</v>
      </c>
      <c r="F3331" s="384">
        <v>18.399999999999999</v>
      </c>
      <c r="G3331" s="270">
        <v>100872922</v>
      </c>
    </row>
    <row r="3332" spans="1:7" x14ac:dyDescent="0.25">
      <c r="A3332" s="257">
        <v>3336</v>
      </c>
      <c r="B3332" s="267">
        <v>3331</v>
      </c>
      <c r="C3332" s="268" t="s">
        <v>2118</v>
      </c>
      <c r="D3332" s="269">
        <v>42629</v>
      </c>
      <c r="E3332" s="270" t="s">
        <v>2117</v>
      </c>
      <c r="F3332" s="384">
        <v>8</v>
      </c>
      <c r="G3332" s="270">
        <v>190819886</v>
      </c>
    </row>
    <row r="3333" spans="1:7" x14ac:dyDescent="0.25">
      <c r="A3333" s="257">
        <v>3337</v>
      </c>
      <c r="B3333" s="267">
        <v>3332</v>
      </c>
      <c r="C3333" s="268" t="s">
        <v>680</v>
      </c>
      <c r="D3333" s="269">
        <v>42629</v>
      </c>
      <c r="E3333" s="270" t="s">
        <v>3598</v>
      </c>
      <c r="F3333" s="384">
        <v>51.6</v>
      </c>
      <c r="G3333" s="270">
        <v>190221603</v>
      </c>
    </row>
    <row r="3334" spans="1:7" x14ac:dyDescent="0.25">
      <c r="A3334" s="257">
        <v>3338</v>
      </c>
      <c r="B3334" s="267">
        <v>3333</v>
      </c>
      <c r="C3334" s="268" t="s">
        <v>1917</v>
      </c>
      <c r="D3334" s="269">
        <v>42629</v>
      </c>
      <c r="E3334" s="270" t="s">
        <v>874</v>
      </c>
      <c r="F3334" s="384">
        <v>51.6</v>
      </c>
      <c r="G3334" s="270">
        <v>191360926</v>
      </c>
    </row>
    <row r="3335" spans="1:7" x14ac:dyDescent="0.25">
      <c r="A3335" s="257">
        <v>3339</v>
      </c>
      <c r="B3335" s="267">
        <v>3334</v>
      </c>
      <c r="C3335" s="268" t="s">
        <v>1795</v>
      </c>
      <c r="D3335" s="269">
        <v>42629</v>
      </c>
      <c r="E3335" s="270" t="s">
        <v>1794</v>
      </c>
      <c r="F3335" s="384">
        <v>28.4</v>
      </c>
      <c r="G3335" s="270">
        <v>190629555</v>
      </c>
    </row>
    <row r="3336" spans="1:7" x14ac:dyDescent="0.25">
      <c r="A3336" s="257">
        <v>3340</v>
      </c>
      <c r="B3336" s="267">
        <v>3335</v>
      </c>
      <c r="C3336" s="268" t="s">
        <v>2788</v>
      </c>
      <c r="D3336" s="269">
        <v>42631</v>
      </c>
      <c r="E3336" s="270" t="s">
        <v>2816</v>
      </c>
      <c r="F3336" s="384">
        <v>28.4</v>
      </c>
      <c r="G3336" s="270">
        <v>691336216</v>
      </c>
    </row>
    <row r="3337" spans="1:7" x14ac:dyDescent="0.25">
      <c r="A3337" s="257">
        <v>3341</v>
      </c>
      <c r="B3337" s="267">
        <v>3336</v>
      </c>
      <c r="C3337" s="268" t="s">
        <v>2618</v>
      </c>
      <c r="D3337" s="269">
        <v>42633</v>
      </c>
      <c r="E3337" s="270" t="s">
        <v>1622</v>
      </c>
      <c r="F3337" s="384">
        <v>84.800000000000011</v>
      </c>
      <c r="G3337" s="270">
        <v>190513098</v>
      </c>
    </row>
    <row r="3338" spans="1:7" x14ac:dyDescent="0.25">
      <c r="A3338" s="257">
        <v>3342</v>
      </c>
      <c r="B3338" s="267">
        <v>3337</v>
      </c>
      <c r="C3338" s="268" t="s">
        <v>181</v>
      </c>
      <c r="D3338" s="269">
        <v>42633</v>
      </c>
      <c r="E3338" s="270" t="s">
        <v>3107</v>
      </c>
      <c r="F3338" s="384">
        <v>99.600000000000009</v>
      </c>
      <c r="G3338" s="270">
        <v>100320487</v>
      </c>
    </row>
    <row r="3339" spans="1:7" x14ac:dyDescent="0.25">
      <c r="A3339" s="257">
        <v>3343</v>
      </c>
      <c r="B3339" s="267">
        <v>3338</v>
      </c>
      <c r="C3339" s="268" t="s">
        <v>2966</v>
      </c>
      <c r="D3339" s="269">
        <v>42633</v>
      </c>
      <c r="E3339" s="270" t="s">
        <v>2885</v>
      </c>
      <c r="F3339" s="384">
        <v>19</v>
      </c>
      <c r="G3339" s="270">
        <v>691132355</v>
      </c>
    </row>
    <row r="3340" spans="1:7" x14ac:dyDescent="0.25">
      <c r="A3340" s="257">
        <v>3344</v>
      </c>
      <c r="B3340" s="267">
        <v>3339</v>
      </c>
      <c r="C3340" s="268" t="s">
        <v>2434</v>
      </c>
      <c r="D3340" s="269">
        <v>42633</v>
      </c>
      <c r="E3340" s="270" t="s">
        <v>820</v>
      </c>
      <c r="F3340" s="384">
        <v>18.399999999999999</v>
      </c>
      <c r="G3340" s="270">
        <v>191301074</v>
      </c>
    </row>
    <row r="3341" spans="1:7" x14ac:dyDescent="0.25">
      <c r="A3341" s="257">
        <v>3345</v>
      </c>
      <c r="B3341" s="267">
        <v>3340</v>
      </c>
      <c r="C3341" s="268" t="s">
        <v>2430</v>
      </c>
      <c r="D3341" s="269">
        <v>42633</v>
      </c>
      <c r="E3341" s="270" t="s">
        <v>2429</v>
      </c>
      <c r="F3341" s="384">
        <v>28.4</v>
      </c>
      <c r="G3341" s="270">
        <v>190928690</v>
      </c>
    </row>
    <row r="3342" spans="1:7" x14ac:dyDescent="0.25">
      <c r="A3342" s="257">
        <v>3346</v>
      </c>
      <c r="B3342" s="267">
        <v>3341</v>
      </c>
      <c r="C3342" s="268" t="s">
        <v>884</v>
      </c>
      <c r="D3342" s="269">
        <v>42633</v>
      </c>
      <c r="E3342" s="270" t="s">
        <v>3114</v>
      </c>
      <c r="F3342" s="384">
        <v>19</v>
      </c>
      <c r="G3342" s="270">
        <v>190599907</v>
      </c>
    </row>
    <row r="3343" spans="1:7" x14ac:dyDescent="0.25">
      <c r="A3343" s="257">
        <v>3347</v>
      </c>
      <c r="B3343" s="267">
        <v>3342</v>
      </c>
      <c r="C3343" s="268" t="s">
        <v>2683</v>
      </c>
      <c r="D3343" s="269">
        <v>42634</v>
      </c>
      <c r="E3343" s="270" t="s">
        <v>4190</v>
      </c>
      <c r="F3343" s="384">
        <v>23.5</v>
      </c>
      <c r="G3343" s="270">
        <v>800001184</v>
      </c>
    </row>
    <row r="3344" spans="1:7" x14ac:dyDescent="0.25">
      <c r="A3344" s="257">
        <v>3348</v>
      </c>
      <c r="B3344" s="267">
        <v>3343</v>
      </c>
      <c r="C3344" s="268" t="s">
        <v>3748</v>
      </c>
      <c r="D3344" s="269">
        <v>42634</v>
      </c>
      <c r="E3344" s="270" t="s">
        <v>1788</v>
      </c>
      <c r="F3344" s="384">
        <v>155.69999999999999</v>
      </c>
      <c r="G3344" s="270">
        <v>800001327</v>
      </c>
    </row>
    <row r="3345" spans="1:7" x14ac:dyDescent="0.25">
      <c r="A3345" s="257">
        <v>3349</v>
      </c>
      <c r="B3345" s="267">
        <v>3344</v>
      </c>
      <c r="C3345" s="268" t="s">
        <v>260</v>
      </c>
      <c r="D3345" s="269">
        <v>42634</v>
      </c>
      <c r="E3345" s="270" t="s">
        <v>2610</v>
      </c>
      <c r="F3345" s="384">
        <v>23.5</v>
      </c>
      <c r="G3345" s="270">
        <v>190482576</v>
      </c>
    </row>
    <row r="3346" spans="1:7" x14ac:dyDescent="0.25">
      <c r="A3346" s="257">
        <v>3350</v>
      </c>
      <c r="B3346" s="267">
        <v>3345</v>
      </c>
      <c r="C3346" s="268" t="s">
        <v>2864</v>
      </c>
      <c r="D3346" s="269">
        <v>42634</v>
      </c>
      <c r="E3346" s="270" t="s">
        <v>2456</v>
      </c>
      <c r="F3346" s="384">
        <v>28.4</v>
      </c>
      <c r="G3346" s="270">
        <v>100039768</v>
      </c>
    </row>
    <row r="3347" spans="1:7" x14ac:dyDescent="0.25">
      <c r="A3347" s="257">
        <v>3351</v>
      </c>
      <c r="B3347" s="267">
        <v>3346</v>
      </c>
      <c r="C3347" s="268" t="s">
        <v>2151</v>
      </c>
      <c r="D3347" s="269">
        <v>42634</v>
      </c>
      <c r="E3347" s="270" t="s">
        <v>132</v>
      </c>
      <c r="F3347" s="384">
        <v>19</v>
      </c>
      <c r="G3347" s="270">
        <v>600011872</v>
      </c>
    </row>
    <row r="3348" spans="1:7" x14ac:dyDescent="0.25">
      <c r="A3348" s="257">
        <v>3352</v>
      </c>
      <c r="B3348" s="267">
        <v>3347</v>
      </c>
      <c r="C3348" s="268" t="s">
        <v>4205</v>
      </c>
      <c r="D3348" s="269">
        <v>42634</v>
      </c>
      <c r="E3348" s="270" t="s">
        <v>2669</v>
      </c>
      <c r="F3348" s="384">
        <v>11.7</v>
      </c>
      <c r="G3348" s="270">
        <v>191684046</v>
      </c>
    </row>
    <row r="3349" spans="1:7" x14ac:dyDescent="0.25">
      <c r="A3349" s="257">
        <v>3353</v>
      </c>
      <c r="B3349" s="267">
        <v>3348</v>
      </c>
      <c r="C3349" s="268" t="s">
        <v>356</v>
      </c>
      <c r="D3349" s="269">
        <v>42634</v>
      </c>
      <c r="E3349" s="270" t="s">
        <v>355</v>
      </c>
      <c r="F3349" s="384">
        <v>66.400000000000006</v>
      </c>
      <c r="G3349" s="270">
        <v>691792915</v>
      </c>
    </row>
    <row r="3350" spans="1:7" x14ac:dyDescent="0.25">
      <c r="A3350" s="257">
        <v>3354</v>
      </c>
      <c r="B3350" s="267">
        <v>3349</v>
      </c>
      <c r="C3350" s="268" t="s">
        <v>2716</v>
      </c>
      <c r="D3350" s="269">
        <v>42634</v>
      </c>
      <c r="E3350" s="270" t="s">
        <v>2760</v>
      </c>
      <c r="F3350" s="384">
        <v>33.200000000000003</v>
      </c>
      <c r="G3350" s="270">
        <v>100801936</v>
      </c>
    </row>
    <row r="3351" spans="1:7" x14ac:dyDescent="0.25">
      <c r="A3351" s="257">
        <v>3355</v>
      </c>
      <c r="B3351" s="267">
        <v>3350</v>
      </c>
      <c r="C3351" s="268" t="s">
        <v>2038</v>
      </c>
      <c r="D3351" s="269">
        <v>42634</v>
      </c>
      <c r="E3351" s="270" t="s">
        <v>2037</v>
      </c>
      <c r="F3351" s="384">
        <v>183.20000000000002</v>
      </c>
      <c r="G3351" s="270">
        <v>690576472</v>
      </c>
    </row>
    <row r="3352" spans="1:7" x14ac:dyDescent="0.25">
      <c r="A3352" s="257">
        <v>3356</v>
      </c>
      <c r="B3352" s="267">
        <v>3351</v>
      </c>
      <c r="C3352" s="268" t="s">
        <v>246</v>
      </c>
      <c r="D3352" s="269">
        <v>42637</v>
      </c>
      <c r="E3352" s="270" t="s">
        <v>1796</v>
      </c>
      <c r="F3352" s="384">
        <v>33.200000000000003</v>
      </c>
      <c r="G3352" s="270">
        <v>100872922</v>
      </c>
    </row>
    <row r="3353" spans="1:7" x14ac:dyDescent="0.25">
      <c r="A3353" s="257">
        <v>3357</v>
      </c>
      <c r="B3353" s="267">
        <v>3352</v>
      </c>
      <c r="C3353" s="268" t="s">
        <v>2597</v>
      </c>
      <c r="D3353" s="269">
        <v>42638</v>
      </c>
      <c r="E3353" s="270" t="s">
        <v>1640</v>
      </c>
      <c r="F3353" s="384">
        <v>51.6</v>
      </c>
      <c r="G3353" s="270">
        <v>100262573</v>
      </c>
    </row>
    <row r="3354" spans="1:7" x14ac:dyDescent="0.25">
      <c r="A3354" s="257">
        <v>3358</v>
      </c>
      <c r="B3354" s="267">
        <v>3353</v>
      </c>
      <c r="C3354" s="268" t="s">
        <v>2143</v>
      </c>
      <c r="D3354" s="269">
        <v>42641</v>
      </c>
      <c r="E3354" s="270" t="s">
        <v>1927</v>
      </c>
      <c r="F3354" s="384">
        <v>28.4</v>
      </c>
      <c r="G3354" s="270">
        <v>190032958</v>
      </c>
    </row>
    <row r="3355" spans="1:7" x14ac:dyDescent="0.25">
      <c r="A3355" s="257">
        <v>3359</v>
      </c>
      <c r="B3355" s="267">
        <v>3354</v>
      </c>
      <c r="C3355" s="268" t="s">
        <v>207</v>
      </c>
      <c r="D3355" s="269">
        <v>42641</v>
      </c>
      <c r="E3355" s="270" t="s">
        <v>968</v>
      </c>
      <c r="F3355" s="384">
        <v>23.5</v>
      </c>
      <c r="G3355" s="270">
        <v>191731799</v>
      </c>
    </row>
    <row r="3356" spans="1:7" x14ac:dyDescent="0.25">
      <c r="A3356" s="257">
        <v>3360</v>
      </c>
      <c r="B3356" s="267">
        <v>3355</v>
      </c>
      <c r="C3356" s="268" t="s">
        <v>1938</v>
      </c>
      <c r="D3356" s="269">
        <v>42641</v>
      </c>
      <c r="E3356" s="270" t="s">
        <v>2413</v>
      </c>
      <c r="F3356" s="384">
        <v>19</v>
      </c>
      <c r="G3356" s="270">
        <v>191635191</v>
      </c>
    </row>
    <row r="3357" spans="1:7" x14ac:dyDescent="0.25">
      <c r="A3357" s="257">
        <v>3361</v>
      </c>
      <c r="B3357" s="267">
        <v>3356</v>
      </c>
      <c r="C3357" s="268" t="s">
        <v>1679</v>
      </c>
      <c r="D3357" s="269">
        <v>42641</v>
      </c>
      <c r="E3357" s="270" t="s">
        <v>1680</v>
      </c>
      <c r="F3357" s="384">
        <v>23.5</v>
      </c>
      <c r="G3357" s="270">
        <v>190757196</v>
      </c>
    </row>
    <row r="3358" spans="1:7" x14ac:dyDescent="0.25">
      <c r="A3358" s="257">
        <v>3362</v>
      </c>
      <c r="B3358" s="267">
        <v>3357</v>
      </c>
      <c r="C3358" s="268" t="s">
        <v>895</v>
      </c>
      <c r="D3358" s="269">
        <v>42641</v>
      </c>
      <c r="E3358" s="270" t="s">
        <v>2804</v>
      </c>
      <c r="F3358" s="384">
        <v>33.200000000000003</v>
      </c>
      <c r="G3358" s="270">
        <v>691433174</v>
      </c>
    </row>
    <row r="3359" spans="1:7" x14ac:dyDescent="0.25">
      <c r="A3359" s="257">
        <v>3363</v>
      </c>
      <c r="B3359" s="267">
        <v>3358</v>
      </c>
      <c r="C3359" s="268" t="s">
        <v>2084</v>
      </c>
      <c r="D3359" s="269">
        <v>42641</v>
      </c>
      <c r="E3359" s="270" t="s">
        <v>2083</v>
      </c>
      <c r="F3359" s="384">
        <v>19</v>
      </c>
      <c r="G3359" s="270">
        <v>100942897</v>
      </c>
    </row>
    <row r="3360" spans="1:7" x14ac:dyDescent="0.25">
      <c r="A3360" s="257">
        <v>3364</v>
      </c>
      <c r="B3360" s="267">
        <v>3359</v>
      </c>
      <c r="C3360" s="268" t="s">
        <v>1026</v>
      </c>
      <c r="D3360" s="269">
        <v>42641</v>
      </c>
      <c r="E3360" s="270" t="s">
        <v>234</v>
      </c>
      <c r="F3360" s="384">
        <v>23.5</v>
      </c>
      <c r="G3360" s="270">
        <v>100736767</v>
      </c>
    </row>
    <row r="3361" spans="1:7" x14ac:dyDescent="0.25">
      <c r="A3361" s="257">
        <v>3365</v>
      </c>
      <c r="B3361" s="267">
        <v>3360</v>
      </c>
      <c r="C3361" s="268" t="s">
        <v>3326</v>
      </c>
      <c r="D3361" s="269">
        <v>42641</v>
      </c>
      <c r="E3361" s="270" t="s">
        <v>164</v>
      </c>
      <c r="F3361" s="384">
        <v>23.5</v>
      </c>
      <c r="G3361" s="270">
        <v>100534485</v>
      </c>
    </row>
    <row r="3362" spans="1:7" x14ac:dyDescent="0.25">
      <c r="A3362" s="257">
        <v>3366</v>
      </c>
      <c r="B3362" s="267">
        <v>3361</v>
      </c>
      <c r="C3362" s="268" t="s">
        <v>2377</v>
      </c>
      <c r="D3362" s="269">
        <v>42641</v>
      </c>
      <c r="E3362" s="270" t="s">
        <v>226</v>
      </c>
      <c r="F3362" s="384">
        <v>33.200000000000003</v>
      </c>
      <c r="G3362" s="270">
        <v>190654467</v>
      </c>
    </row>
    <row r="3363" spans="1:7" x14ac:dyDescent="0.25">
      <c r="A3363" s="257">
        <v>3367</v>
      </c>
      <c r="B3363" s="267">
        <v>3362</v>
      </c>
      <c r="C3363" s="268" t="s">
        <v>314</v>
      </c>
      <c r="D3363" s="269">
        <v>42641</v>
      </c>
      <c r="E3363" s="270" t="s">
        <v>3495</v>
      </c>
      <c r="F3363" s="384">
        <v>23.5</v>
      </c>
      <c r="G3363" s="270">
        <v>808000252</v>
      </c>
    </row>
    <row r="3364" spans="1:7" x14ac:dyDescent="0.25">
      <c r="A3364" s="257">
        <v>3368</v>
      </c>
      <c r="B3364" s="267">
        <v>3363</v>
      </c>
      <c r="C3364" s="268" t="s">
        <v>3555</v>
      </c>
      <c r="D3364" s="269">
        <v>42641</v>
      </c>
      <c r="E3364" s="270" t="s">
        <v>184</v>
      </c>
      <c r="F3364" s="384">
        <v>33.200000000000003</v>
      </c>
      <c r="G3364" s="270">
        <v>800008520</v>
      </c>
    </row>
    <row r="3365" spans="1:7" x14ac:dyDescent="0.25">
      <c r="A3365" s="257">
        <v>3369</v>
      </c>
      <c r="B3365" s="267">
        <v>3364</v>
      </c>
      <c r="C3365" s="268" t="s">
        <v>3734</v>
      </c>
      <c r="D3365" s="269">
        <v>42641</v>
      </c>
      <c r="E3365" s="270" t="s">
        <v>2358</v>
      </c>
      <c r="F3365" s="384">
        <v>18.399999999999999</v>
      </c>
      <c r="G3365" s="270">
        <v>800008903</v>
      </c>
    </row>
    <row r="3366" spans="1:7" x14ac:dyDescent="0.25">
      <c r="A3366" s="257">
        <v>3370</v>
      </c>
      <c r="B3366" s="267">
        <v>3365</v>
      </c>
      <c r="C3366" s="268" t="s">
        <v>2084</v>
      </c>
      <c r="D3366" s="269">
        <v>42641</v>
      </c>
      <c r="E3366" s="270" t="s">
        <v>2083</v>
      </c>
      <c r="F3366" s="384">
        <v>19.5</v>
      </c>
      <c r="G3366" s="270">
        <v>100942897</v>
      </c>
    </row>
    <row r="3367" spans="1:7" x14ac:dyDescent="0.25">
      <c r="A3367" s="257">
        <v>3371</v>
      </c>
      <c r="B3367" s="267">
        <v>3366</v>
      </c>
      <c r="C3367" s="268" t="s">
        <v>1650</v>
      </c>
      <c r="D3367" s="269">
        <v>42641</v>
      </c>
      <c r="E3367" s="270" t="s">
        <v>863</v>
      </c>
      <c r="F3367" s="384">
        <v>51.6</v>
      </c>
      <c r="G3367" s="270">
        <v>690849523</v>
      </c>
    </row>
    <row r="3368" spans="1:7" x14ac:dyDescent="0.25">
      <c r="A3368" s="257">
        <v>3372</v>
      </c>
      <c r="B3368" s="267">
        <v>3367</v>
      </c>
      <c r="C3368" s="268" t="s">
        <v>1366</v>
      </c>
      <c r="D3368" s="269">
        <v>42641</v>
      </c>
      <c r="E3368" s="270" t="s">
        <v>1118</v>
      </c>
      <c r="F3368" s="384">
        <v>23.5</v>
      </c>
      <c r="G3368" s="270">
        <v>691601521</v>
      </c>
    </row>
    <row r="3369" spans="1:7" x14ac:dyDescent="0.25">
      <c r="A3369" s="257">
        <v>3373</v>
      </c>
      <c r="B3369" s="267">
        <v>3368</v>
      </c>
      <c r="C3369" s="268" t="s">
        <v>3734</v>
      </c>
      <c r="D3369" s="269">
        <v>42641</v>
      </c>
      <c r="E3369" s="270" t="s">
        <v>2358</v>
      </c>
      <c r="F3369" s="384">
        <v>7.4</v>
      </c>
      <c r="G3369" s="270">
        <v>800008903</v>
      </c>
    </row>
    <row r="3370" spans="1:7" x14ac:dyDescent="0.25">
      <c r="A3370" s="257">
        <v>3374</v>
      </c>
      <c r="B3370" s="267">
        <v>3369</v>
      </c>
      <c r="C3370" s="268" t="s">
        <v>2832</v>
      </c>
      <c r="D3370" s="269">
        <v>42642</v>
      </c>
      <c r="E3370" s="270" t="s">
        <v>1854</v>
      </c>
      <c r="F3370" s="384">
        <v>23.5</v>
      </c>
      <c r="G3370" s="270">
        <v>190841681</v>
      </c>
    </row>
    <row r="3371" spans="1:7" x14ac:dyDescent="0.25">
      <c r="A3371" s="257">
        <v>3375</v>
      </c>
      <c r="B3371" s="267">
        <v>3370</v>
      </c>
      <c r="C3371" s="268" t="s">
        <v>1650</v>
      </c>
      <c r="D3371" s="269">
        <v>42642</v>
      </c>
      <c r="E3371" s="270" t="s">
        <v>863</v>
      </c>
      <c r="F3371" s="384">
        <v>21</v>
      </c>
      <c r="G3371" s="270">
        <v>690849523</v>
      </c>
    </row>
    <row r="3372" spans="1:7" x14ac:dyDescent="0.25">
      <c r="A3372" s="257">
        <v>3376</v>
      </c>
      <c r="B3372" s="267">
        <v>3371</v>
      </c>
      <c r="C3372" s="268" t="s">
        <v>2683</v>
      </c>
      <c r="D3372" s="269">
        <v>42642</v>
      </c>
      <c r="E3372" s="270" t="s">
        <v>4190</v>
      </c>
      <c r="F3372" s="384">
        <v>47</v>
      </c>
      <c r="G3372" s="270">
        <v>800001184</v>
      </c>
    </row>
    <row r="3373" spans="1:7" x14ac:dyDescent="0.25">
      <c r="A3373" s="257">
        <v>3377</v>
      </c>
      <c r="B3373" s="267">
        <v>3372</v>
      </c>
      <c r="C3373" s="268" t="s">
        <v>886</v>
      </c>
      <c r="D3373" s="269">
        <v>42642</v>
      </c>
      <c r="E3373" s="270" t="s">
        <v>1607</v>
      </c>
      <c r="F3373" s="384">
        <v>51.6</v>
      </c>
      <c r="G3373" s="270">
        <v>690643672</v>
      </c>
    </row>
    <row r="3374" spans="1:7" x14ac:dyDescent="0.25">
      <c r="A3374" s="257">
        <v>3378</v>
      </c>
      <c r="B3374" s="267">
        <v>3373</v>
      </c>
      <c r="C3374" s="268" t="s">
        <v>2085</v>
      </c>
      <c r="D3374" s="269">
        <v>42642</v>
      </c>
      <c r="E3374" s="270" t="s">
        <v>2086</v>
      </c>
      <c r="F3374" s="384">
        <v>19.5</v>
      </c>
      <c r="G3374" s="270">
        <v>100331380</v>
      </c>
    </row>
    <row r="3375" spans="1:7" x14ac:dyDescent="0.25">
      <c r="A3375" s="257">
        <v>3379</v>
      </c>
      <c r="B3375" s="267">
        <v>3374</v>
      </c>
      <c r="C3375" s="268" t="s">
        <v>2088</v>
      </c>
      <c r="D3375" s="269">
        <v>42642</v>
      </c>
      <c r="E3375" s="270" t="s">
        <v>2087</v>
      </c>
      <c r="F3375" s="384">
        <v>23.5</v>
      </c>
      <c r="G3375" s="270">
        <v>100517529</v>
      </c>
    </row>
    <row r="3376" spans="1:7" x14ac:dyDescent="0.25">
      <c r="A3376" s="257">
        <v>3380</v>
      </c>
      <c r="B3376" s="267">
        <v>3375</v>
      </c>
      <c r="C3376" s="268" t="s">
        <v>262</v>
      </c>
      <c r="D3376" s="269">
        <v>42642</v>
      </c>
      <c r="E3376" s="270" t="s">
        <v>927</v>
      </c>
      <c r="F3376" s="384">
        <v>19</v>
      </c>
      <c r="G3376" s="270">
        <v>190454318</v>
      </c>
    </row>
    <row r="3377" spans="1:7" x14ac:dyDescent="0.25">
      <c r="A3377" s="257">
        <v>3381</v>
      </c>
      <c r="B3377" s="267">
        <v>3376</v>
      </c>
      <c r="C3377" s="268" t="s">
        <v>3570</v>
      </c>
      <c r="D3377" s="269">
        <v>42642</v>
      </c>
      <c r="E3377" s="270" t="s">
        <v>3537</v>
      </c>
      <c r="F3377" s="384">
        <v>19</v>
      </c>
      <c r="G3377" s="270">
        <v>190496892</v>
      </c>
    </row>
    <row r="3378" spans="1:7" x14ac:dyDescent="0.25">
      <c r="A3378" s="257">
        <v>3382</v>
      </c>
      <c r="B3378" s="267">
        <v>3377</v>
      </c>
      <c r="C3378" s="268" t="s">
        <v>3209</v>
      </c>
      <c r="D3378" s="269">
        <v>42646</v>
      </c>
      <c r="E3378" s="270" t="s">
        <v>309</v>
      </c>
      <c r="F3378" s="384">
        <v>28.4</v>
      </c>
      <c r="G3378" s="270">
        <v>691072211</v>
      </c>
    </row>
    <row r="3379" spans="1:7" x14ac:dyDescent="0.25">
      <c r="A3379" s="257">
        <v>3383</v>
      </c>
      <c r="B3379" s="267">
        <v>3378</v>
      </c>
      <c r="C3379" s="268" t="s">
        <v>2092</v>
      </c>
      <c r="D3379" s="269">
        <v>42646</v>
      </c>
      <c r="E3379" s="270" t="s">
        <v>2091</v>
      </c>
      <c r="F3379" s="384">
        <v>8</v>
      </c>
      <c r="G3379" s="270">
        <v>190706808</v>
      </c>
    </row>
    <row r="3380" spans="1:7" x14ac:dyDescent="0.25">
      <c r="A3380" s="257">
        <v>3384</v>
      </c>
      <c r="B3380" s="267">
        <v>3379</v>
      </c>
      <c r="C3380" s="268" t="s">
        <v>2090</v>
      </c>
      <c r="D3380" s="269">
        <v>42646</v>
      </c>
      <c r="E3380" s="270" t="s">
        <v>2089</v>
      </c>
      <c r="F3380" s="384">
        <v>19</v>
      </c>
      <c r="G3380" s="270">
        <v>191487455</v>
      </c>
    </row>
    <row r="3381" spans="1:7" x14ac:dyDescent="0.25">
      <c r="A3381" s="257">
        <v>3385</v>
      </c>
      <c r="B3381" s="267">
        <v>3380</v>
      </c>
      <c r="C3381" s="268" t="s">
        <v>3283</v>
      </c>
      <c r="D3381" s="269">
        <v>42646</v>
      </c>
      <c r="E3381" s="270" t="s">
        <v>3282</v>
      </c>
      <c r="F3381" s="384">
        <v>33.200000000000003</v>
      </c>
      <c r="G3381" s="270">
        <v>191421443</v>
      </c>
    </row>
    <row r="3382" spans="1:7" x14ac:dyDescent="0.25">
      <c r="A3382" s="257">
        <v>3386</v>
      </c>
      <c r="B3382" s="267">
        <v>3381</v>
      </c>
      <c r="C3382" s="268" t="s">
        <v>2090</v>
      </c>
      <c r="D3382" s="269">
        <v>42646</v>
      </c>
      <c r="E3382" s="270" t="s">
        <v>2089</v>
      </c>
      <c r="F3382" s="384">
        <v>4.3</v>
      </c>
      <c r="G3382" s="270">
        <v>191487455</v>
      </c>
    </row>
    <row r="3383" spans="1:7" x14ac:dyDescent="0.25">
      <c r="A3383" s="257">
        <v>3387</v>
      </c>
      <c r="B3383" s="267">
        <v>3382</v>
      </c>
      <c r="C3383" s="268" t="s">
        <v>196</v>
      </c>
      <c r="D3383" s="269">
        <v>42646</v>
      </c>
      <c r="E3383" s="270" t="s">
        <v>2717</v>
      </c>
      <c r="F3383" s="384">
        <v>51.6</v>
      </c>
      <c r="G3383" s="270">
        <v>101538513</v>
      </c>
    </row>
    <row r="3384" spans="1:7" x14ac:dyDescent="0.25">
      <c r="A3384" s="257">
        <v>3388</v>
      </c>
      <c r="B3384" s="267">
        <v>3383</v>
      </c>
      <c r="C3384" s="268" t="s">
        <v>2143</v>
      </c>
      <c r="D3384" s="269">
        <v>42648</v>
      </c>
      <c r="E3384" s="270" t="s">
        <v>1927</v>
      </c>
      <c r="F3384" s="384">
        <v>23.5</v>
      </c>
      <c r="G3384" s="270">
        <v>190032958</v>
      </c>
    </row>
    <row r="3385" spans="1:7" x14ac:dyDescent="0.25">
      <c r="A3385" s="257">
        <v>3389</v>
      </c>
      <c r="B3385" s="267">
        <v>3384</v>
      </c>
      <c r="C3385" s="268" t="s">
        <v>195</v>
      </c>
      <c r="D3385" s="269">
        <v>42649</v>
      </c>
      <c r="E3385" s="270" t="s">
        <v>194</v>
      </c>
      <c r="F3385" s="384">
        <v>25.2</v>
      </c>
      <c r="G3385" s="270">
        <v>100067998</v>
      </c>
    </row>
    <row r="3386" spans="1:7" x14ac:dyDescent="0.25">
      <c r="A3386" s="257">
        <v>3390</v>
      </c>
      <c r="B3386" s="267">
        <v>3385</v>
      </c>
      <c r="C3386" s="268" t="s">
        <v>886</v>
      </c>
      <c r="D3386" s="269">
        <v>42649</v>
      </c>
      <c r="E3386" s="270" t="s">
        <v>1607</v>
      </c>
      <c r="F3386" s="384">
        <v>51.6</v>
      </c>
      <c r="G3386" s="270">
        <v>690643672</v>
      </c>
    </row>
    <row r="3387" spans="1:7" x14ac:dyDescent="0.25">
      <c r="A3387" s="257">
        <v>3391</v>
      </c>
      <c r="B3387" s="267">
        <v>3386</v>
      </c>
      <c r="C3387" s="268" t="s">
        <v>246</v>
      </c>
      <c r="D3387" s="269">
        <v>42649</v>
      </c>
      <c r="E3387" s="270" t="s">
        <v>1796</v>
      </c>
      <c r="F3387" s="384">
        <v>33.200000000000003</v>
      </c>
      <c r="G3387" s="270">
        <v>100872922</v>
      </c>
    </row>
    <row r="3388" spans="1:7" x14ac:dyDescent="0.25">
      <c r="A3388" s="257">
        <v>3392</v>
      </c>
      <c r="B3388" s="267">
        <v>3387</v>
      </c>
      <c r="C3388" s="268" t="s">
        <v>413</v>
      </c>
      <c r="D3388" s="269">
        <v>42650</v>
      </c>
      <c r="E3388" s="270" t="s">
        <v>455</v>
      </c>
      <c r="F3388" s="384">
        <v>51.6</v>
      </c>
      <c r="G3388" s="270">
        <v>190638152</v>
      </c>
    </row>
    <row r="3389" spans="1:7" x14ac:dyDescent="0.25">
      <c r="A3389" s="257">
        <v>3393</v>
      </c>
      <c r="B3389" s="267">
        <v>3388</v>
      </c>
      <c r="C3389" s="268" t="s">
        <v>2112</v>
      </c>
      <c r="D3389" s="269">
        <v>42650</v>
      </c>
      <c r="E3389" s="270" t="s">
        <v>2111</v>
      </c>
      <c r="F3389" s="384">
        <v>23.5</v>
      </c>
      <c r="G3389" s="270">
        <v>101129360</v>
      </c>
    </row>
    <row r="3390" spans="1:7" x14ac:dyDescent="0.25">
      <c r="A3390" s="257">
        <v>3394</v>
      </c>
      <c r="B3390" s="267">
        <v>3389</v>
      </c>
      <c r="C3390" s="268" t="s">
        <v>413</v>
      </c>
      <c r="D3390" s="269">
        <v>42650</v>
      </c>
      <c r="E3390" s="270" t="s">
        <v>455</v>
      </c>
      <c r="F3390" s="384">
        <v>16</v>
      </c>
      <c r="G3390" s="270">
        <v>190638152</v>
      </c>
    </row>
    <row r="3391" spans="1:7" x14ac:dyDescent="0.25">
      <c r="A3391" s="257">
        <v>3395</v>
      </c>
      <c r="B3391" s="267">
        <v>3390</v>
      </c>
      <c r="C3391" s="268" t="s">
        <v>2112</v>
      </c>
      <c r="D3391" s="269">
        <v>42650</v>
      </c>
      <c r="E3391" s="270" t="s">
        <v>2111</v>
      </c>
      <c r="F3391" s="384">
        <v>7.4</v>
      </c>
      <c r="G3391" s="270">
        <v>101129360</v>
      </c>
    </row>
    <row r="3392" spans="1:7" x14ac:dyDescent="0.25">
      <c r="A3392" s="257">
        <v>3396</v>
      </c>
      <c r="B3392" s="267">
        <v>3391</v>
      </c>
      <c r="C3392" s="268" t="s">
        <v>2975</v>
      </c>
      <c r="D3392" s="269">
        <v>42650</v>
      </c>
      <c r="E3392" s="270" t="s">
        <v>1002</v>
      </c>
      <c r="F3392" s="384">
        <v>7.4</v>
      </c>
      <c r="G3392" s="270">
        <v>690033956</v>
      </c>
    </row>
    <row r="3393" spans="1:7" x14ac:dyDescent="0.25">
      <c r="A3393" s="257">
        <v>3397</v>
      </c>
      <c r="B3393" s="267">
        <v>3392</v>
      </c>
      <c r="C3393" s="268" t="s">
        <v>386</v>
      </c>
      <c r="D3393" s="269">
        <v>42650</v>
      </c>
      <c r="E3393" s="270" t="s">
        <v>1951</v>
      </c>
      <c r="F3393" s="384">
        <v>51.9</v>
      </c>
      <c r="G3393" s="270">
        <v>400424686</v>
      </c>
    </row>
    <row r="3394" spans="1:7" x14ac:dyDescent="0.25">
      <c r="A3394" s="257">
        <v>3398</v>
      </c>
      <c r="B3394" s="267">
        <v>3393</v>
      </c>
      <c r="C3394" s="268" t="s">
        <v>3253</v>
      </c>
      <c r="D3394" s="269">
        <v>42650</v>
      </c>
      <c r="E3394" s="270" t="s">
        <v>3631</v>
      </c>
      <c r="F3394" s="384">
        <v>51.6</v>
      </c>
      <c r="G3394" s="270">
        <v>691380883</v>
      </c>
    </row>
    <row r="3395" spans="1:7" x14ac:dyDescent="0.25">
      <c r="A3395" s="257">
        <v>3399</v>
      </c>
      <c r="B3395" s="267">
        <v>3394</v>
      </c>
      <c r="C3395" s="268" t="s">
        <v>2889</v>
      </c>
      <c r="D3395" s="269">
        <v>42653</v>
      </c>
      <c r="E3395" s="270" t="s">
        <v>523</v>
      </c>
      <c r="F3395" s="384">
        <v>7.4</v>
      </c>
      <c r="G3395" s="270">
        <v>691539111</v>
      </c>
    </row>
    <row r="3396" spans="1:7" x14ac:dyDescent="0.25">
      <c r="A3396" s="257">
        <v>3400</v>
      </c>
      <c r="B3396" s="267">
        <v>3395</v>
      </c>
      <c r="C3396" s="268" t="s">
        <v>680</v>
      </c>
      <c r="D3396" s="269">
        <v>42653</v>
      </c>
      <c r="E3396" s="270" t="s">
        <v>3598</v>
      </c>
      <c r="F3396" s="384">
        <v>84.800000000000011</v>
      </c>
      <c r="G3396" s="270">
        <v>190221603</v>
      </c>
    </row>
    <row r="3397" spans="1:7" x14ac:dyDescent="0.25">
      <c r="A3397" s="257">
        <v>3401</v>
      </c>
      <c r="B3397" s="267">
        <v>3396</v>
      </c>
      <c r="C3397" s="268" t="s">
        <v>2733</v>
      </c>
      <c r="D3397" s="269">
        <v>42653</v>
      </c>
      <c r="E3397" s="270" t="s">
        <v>3491</v>
      </c>
      <c r="F3397" s="384">
        <v>38.5</v>
      </c>
      <c r="G3397" s="270">
        <v>800014037</v>
      </c>
    </row>
    <row r="3398" spans="1:7" x14ac:dyDescent="0.25">
      <c r="A3398" s="257">
        <v>3402</v>
      </c>
      <c r="B3398" s="267">
        <v>3397</v>
      </c>
      <c r="C3398" s="268" t="s">
        <v>179</v>
      </c>
      <c r="D3398" s="269">
        <v>42653</v>
      </c>
      <c r="E3398" s="270" t="s">
        <v>3861</v>
      </c>
      <c r="F3398" s="384">
        <v>19.5</v>
      </c>
      <c r="G3398" s="270">
        <v>190474061</v>
      </c>
    </row>
    <row r="3399" spans="1:7" x14ac:dyDescent="0.25">
      <c r="A3399" s="257">
        <v>3403</v>
      </c>
      <c r="B3399" s="267">
        <v>3398</v>
      </c>
      <c r="C3399" s="268" t="s">
        <v>1128</v>
      </c>
      <c r="D3399" s="269">
        <v>42653</v>
      </c>
      <c r="E3399" s="270" t="s">
        <v>956</v>
      </c>
      <c r="F3399" s="384">
        <v>19</v>
      </c>
      <c r="G3399" s="270">
        <v>190341033</v>
      </c>
    </row>
    <row r="3400" spans="1:7" x14ac:dyDescent="0.25">
      <c r="A3400" s="257">
        <v>3404</v>
      </c>
      <c r="B3400" s="267">
        <v>3399</v>
      </c>
      <c r="C3400" s="268" t="s">
        <v>3311</v>
      </c>
      <c r="D3400" s="269">
        <v>42653</v>
      </c>
      <c r="E3400" s="270" t="s">
        <v>1612</v>
      </c>
      <c r="F3400" s="384">
        <v>28.4</v>
      </c>
      <c r="G3400" s="270">
        <v>100320487</v>
      </c>
    </row>
    <row r="3401" spans="1:7" x14ac:dyDescent="0.25">
      <c r="A3401" s="257">
        <v>3405</v>
      </c>
      <c r="B3401" s="267">
        <v>3400</v>
      </c>
      <c r="C3401" s="268" t="s">
        <v>3209</v>
      </c>
      <c r="D3401" s="269">
        <v>42653</v>
      </c>
      <c r="E3401" s="270" t="s">
        <v>309</v>
      </c>
      <c r="F3401" s="384">
        <v>15.399999999999999</v>
      </c>
      <c r="G3401" s="270">
        <v>691072211</v>
      </c>
    </row>
    <row r="3402" spans="1:7" x14ac:dyDescent="0.25">
      <c r="A3402" s="257">
        <v>3406</v>
      </c>
      <c r="B3402" s="267">
        <v>3401</v>
      </c>
      <c r="C3402" s="268" t="s">
        <v>2889</v>
      </c>
      <c r="D3402" s="269">
        <v>42653</v>
      </c>
      <c r="E3402" s="270" t="s">
        <v>523</v>
      </c>
      <c r="F3402" s="384">
        <v>14.8</v>
      </c>
      <c r="G3402" s="270">
        <v>691539111</v>
      </c>
    </row>
    <row r="3403" spans="1:7" x14ac:dyDescent="0.25">
      <c r="A3403" s="257">
        <v>3407</v>
      </c>
      <c r="B3403" s="267">
        <v>3402</v>
      </c>
      <c r="C3403" s="268" t="s">
        <v>269</v>
      </c>
      <c r="D3403" s="269">
        <v>42653</v>
      </c>
      <c r="E3403" s="270" t="s">
        <v>3611</v>
      </c>
      <c r="F3403" s="384">
        <v>28.4</v>
      </c>
      <c r="G3403" s="270">
        <v>190098681</v>
      </c>
    </row>
    <row r="3404" spans="1:7" x14ac:dyDescent="0.25">
      <c r="A3404" s="257">
        <v>3408</v>
      </c>
      <c r="B3404" s="267">
        <v>3403</v>
      </c>
      <c r="C3404" s="268" t="s">
        <v>3133</v>
      </c>
      <c r="D3404" s="269">
        <v>42653</v>
      </c>
      <c r="E3404" s="270" t="s">
        <v>3587</v>
      </c>
      <c r="F3404" s="384">
        <v>113.6</v>
      </c>
      <c r="G3404" s="270">
        <v>101254783</v>
      </c>
    </row>
    <row r="3405" spans="1:7" x14ac:dyDescent="0.25">
      <c r="A3405" s="257">
        <v>3409</v>
      </c>
      <c r="B3405" s="267">
        <v>3404</v>
      </c>
      <c r="C3405" s="268" t="s">
        <v>3253</v>
      </c>
      <c r="D3405" s="269">
        <v>42653</v>
      </c>
      <c r="E3405" s="270" t="s">
        <v>3631</v>
      </c>
      <c r="F3405" s="384">
        <v>51.6</v>
      </c>
      <c r="G3405" s="270">
        <v>691380883</v>
      </c>
    </row>
    <row r="3406" spans="1:7" x14ac:dyDescent="0.25">
      <c r="A3406" s="257">
        <v>3410</v>
      </c>
      <c r="B3406" s="267">
        <v>3405</v>
      </c>
      <c r="C3406" s="268" t="s">
        <v>2645</v>
      </c>
      <c r="D3406" s="269">
        <v>42654</v>
      </c>
      <c r="E3406" s="270" t="s">
        <v>239</v>
      </c>
      <c r="F3406" s="384">
        <v>154.80000000000001</v>
      </c>
      <c r="G3406" s="270">
        <v>101139097</v>
      </c>
    </row>
    <row r="3407" spans="1:7" x14ac:dyDescent="0.25">
      <c r="A3407" s="257">
        <v>3411</v>
      </c>
      <c r="B3407" s="267">
        <v>3406</v>
      </c>
      <c r="C3407" s="268" t="s">
        <v>4188</v>
      </c>
      <c r="D3407" s="269">
        <v>42654</v>
      </c>
      <c r="E3407" s="270" t="s">
        <v>815</v>
      </c>
      <c r="F3407" s="384">
        <v>33.200000000000003</v>
      </c>
      <c r="G3407" s="270">
        <v>100115154</v>
      </c>
    </row>
    <row r="3408" spans="1:7" x14ac:dyDescent="0.25">
      <c r="A3408" s="257">
        <v>3412</v>
      </c>
      <c r="B3408" s="267">
        <v>3407</v>
      </c>
      <c r="C3408" s="268" t="s">
        <v>1108</v>
      </c>
      <c r="D3408" s="269">
        <v>42654</v>
      </c>
      <c r="E3408" s="270" t="s">
        <v>4193</v>
      </c>
      <c r="F3408" s="384">
        <v>28.4</v>
      </c>
      <c r="G3408" s="270">
        <v>100387745</v>
      </c>
    </row>
    <row r="3409" spans="1:7" x14ac:dyDescent="0.25">
      <c r="A3409" s="257">
        <v>3413</v>
      </c>
      <c r="B3409" s="267">
        <v>3408</v>
      </c>
      <c r="C3409" s="268" t="s">
        <v>259</v>
      </c>
      <c r="D3409" s="269">
        <v>42656</v>
      </c>
      <c r="E3409" s="270" t="s">
        <v>258</v>
      </c>
      <c r="F3409" s="384">
        <v>19</v>
      </c>
      <c r="G3409" s="270">
        <v>190757196</v>
      </c>
    </row>
    <row r="3410" spans="1:7" x14ac:dyDescent="0.25">
      <c r="A3410" s="257">
        <v>3414</v>
      </c>
      <c r="B3410" s="267">
        <v>3409</v>
      </c>
      <c r="C3410" s="268" t="s">
        <v>1802</v>
      </c>
      <c r="D3410" s="269">
        <v>42656</v>
      </c>
      <c r="E3410" s="270" t="s">
        <v>158</v>
      </c>
      <c r="F3410" s="384">
        <v>51.6</v>
      </c>
      <c r="G3410" s="270">
        <v>191357390</v>
      </c>
    </row>
    <row r="3411" spans="1:7" x14ac:dyDescent="0.25">
      <c r="A3411" s="257">
        <v>3415</v>
      </c>
      <c r="B3411" s="267">
        <v>3410</v>
      </c>
      <c r="C3411" s="268" t="s">
        <v>495</v>
      </c>
      <c r="D3411" s="269">
        <v>42657</v>
      </c>
      <c r="E3411" s="270" t="s">
        <v>3106</v>
      </c>
      <c r="F3411" s="384">
        <v>19.5</v>
      </c>
      <c r="G3411" s="270">
        <v>190745388</v>
      </c>
    </row>
    <row r="3412" spans="1:7" x14ac:dyDescent="0.25">
      <c r="A3412" s="257">
        <v>3416</v>
      </c>
      <c r="B3412" s="267">
        <v>3411</v>
      </c>
      <c r="C3412" s="268" t="s">
        <v>3734</v>
      </c>
      <c r="D3412" s="269">
        <v>42657</v>
      </c>
      <c r="E3412" s="270" t="s">
        <v>2358</v>
      </c>
      <c r="F3412" s="384">
        <v>18.399999999999999</v>
      </c>
      <c r="G3412" s="270">
        <v>800008903</v>
      </c>
    </row>
    <row r="3413" spans="1:7" x14ac:dyDescent="0.25">
      <c r="A3413" s="257">
        <v>3417</v>
      </c>
      <c r="B3413" s="267">
        <v>3412</v>
      </c>
      <c r="C3413" s="268" t="s">
        <v>3241</v>
      </c>
      <c r="D3413" s="269">
        <v>42660</v>
      </c>
      <c r="E3413" s="270" t="s">
        <v>3842</v>
      </c>
      <c r="F3413" s="384">
        <v>154.80000000000001</v>
      </c>
      <c r="G3413" s="270">
        <v>600124705</v>
      </c>
    </row>
    <row r="3414" spans="1:7" x14ac:dyDescent="0.25">
      <c r="A3414" s="257">
        <v>3418</v>
      </c>
      <c r="B3414" s="267">
        <v>3413</v>
      </c>
      <c r="C3414" s="268" t="s">
        <v>2690</v>
      </c>
      <c r="D3414" s="269">
        <v>42660</v>
      </c>
      <c r="E3414" s="270" t="s">
        <v>1649</v>
      </c>
      <c r="F3414" s="384">
        <v>33.200000000000003</v>
      </c>
      <c r="G3414" s="270">
        <v>100051189</v>
      </c>
    </row>
    <row r="3415" spans="1:7" x14ac:dyDescent="0.25">
      <c r="A3415" s="257">
        <v>3419</v>
      </c>
      <c r="B3415" s="267">
        <v>3414</v>
      </c>
      <c r="C3415" s="268" t="s">
        <v>3308</v>
      </c>
      <c r="D3415" s="269">
        <v>42660</v>
      </c>
      <c r="E3415" s="270" t="s">
        <v>2851</v>
      </c>
      <c r="F3415" s="384">
        <v>51.6</v>
      </c>
      <c r="G3415" s="270">
        <v>691463537</v>
      </c>
    </row>
    <row r="3416" spans="1:7" x14ac:dyDescent="0.25">
      <c r="A3416" s="257">
        <v>3420</v>
      </c>
      <c r="B3416" s="267">
        <v>3415</v>
      </c>
      <c r="C3416" s="268" t="s">
        <v>2714</v>
      </c>
      <c r="D3416" s="269">
        <v>42660</v>
      </c>
      <c r="E3416" s="270" t="s">
        <v>3228</v>
      </c>
      <c r="F3416" s="384">
        <v>7.4</v>
      </c>
      <c r="G3416" s="270">
        <v>100025653</v>
      </c>
    </row>
    <row r="3417" spans="1:7" x14ac:dyDescent="0.25">
      <c r="A3417" s="257">
        <v>3421</v>
      </c>
      <c r="B3417" s="267">
        <v>3416</v>
      </c>
      <c r="C3417" s="268" t="s">
        <v>3618</v>
      </c>
      <c r="D3417" s="269">
        <v>42660</v>
      </c>
      <c r="E3417" s="270" t="s">
        <v>163</v>
      </c>
      <c r="F3417" s="384">
        <v>33.200000000000003</v>
      </c>
      <c r="G3417" s="270">
        <v>100843354</v>
      </c>
    </row>
    <row r="3418" spans="1:7" x14ac:dyDescent="0.25">
      <c r="A3418" s="257">
        <v>3422</v>
      </c>
      <c r="B3418" s="267">
        <v>3417</v>
      </c>
      <c r="C3418" s="268" t="s">
        <v>680</v>
      </c>
      <c r="D3418" s="269">
        <v>42660</v>
      </c>
      <c r="E3418" s="270" t="s">
        <v>3598</v>
      </c>
      <c r="F3418" s="384">
        <v>51.6</v>
      </c>
      <c r="G3418" s="270">
        <v>190221603</v>
      </c>
    </row>
    <row r="3419" spans="1:7" x14ac:dyDescent="0.25">
      <c r="A3419" s="257">
        <v>3423</v>
      </c>
      <c r="B3419" s="267">
        <v>3418</v>
      </c>
      <c r="C3419" s="268" t="s">
        <v>3866</v>
      </c>
      <c r="D3419" s="269">
        <v>42660</v>
      </c>
      <c r="E3419" s="270" t="s">
        <v>1939</v>
      </c>
      <c r="F3419" s="384">
        <v>4.3</v>
      </c>
      <c r="G3419" s="270">
        <v>691458394</v>
      </c>
    </row>
    <row r="3420" spans="1:7" x14ac:dyDescent="0.25">
      <c r="A3420" s="257">
        <v>3424</v>
      </c>
      <c r="B3420" s="267">
        <v>3419</v>
      </c>
      <c r="C3420" s="268" t="s">
        <v>3773</v>
      </c>
      <c r="D3420" s="269">
        <v>42661</v>
      </c>
      <c r="E3420" s="270" t="s">
        <v>2415</v>
      </c>
      <c r="F3420" s="384">
        <v>66.400000000000006</v>
      </c>
      <c r="G3420" s="270">
        <v>100315341</v>
      </c>
    </row>
    <row r="3421" spans="1:7" x14ac:dyDescent="0.25">
      <c r="A3421" s="257">
        <v>3425</v>
      </c>
      <c r="B3421" s="267">
        <v>3420</v>
      </c>
      <c r="C3421" s="268" t="s">
        <v>2975</v>
      </c>
      <c r="D3421" s="269">
        <v>42661</v>
      </c>
      <c r="E3421" s="270" t="s">
        <v>1002</v>
      </c>
      <c r="F3421" s="384">
        <v>11.7</v>
      </c>
      <c r="G3421" s="270">
        <v>690033956</v>
      </c>
    </row>
    <row r="3422" spans="1:7" x14ac:dyDescent="0.25">
      <c r="A3422" s="257">
        <v>3426</v>
      </c>
      <c r="B3422" s="267">
        <v>3421</v>
      </c>
      <c r="C3422" s="268" t="s">
        <v>3606</v>
      </c>
      <c r="D3422" s="269">
        <v>42662</v>
      </c>
      <c r="E3422" s="270" t="s">
        <v>944</v>
      </c>
      <c r="F3422" s="384">
        <v>23.5</v>
      </c>
      <c r="G3422" s="270">
        <v>100692491</v>
      </c>
    </row>
    <row r="3423" spans="1:7" x14ac:dyDescent="0.25">
      <c r="A3423" s="257">
        <v>3427</v>
      </c>
      <c r="B3423" s="267">
        <v>3422</v>
      </c>
      <c r="C3423" s="268" t="s">
        <v>3856</v>
      </c>
      <c r="D3423" s="269">
        <v>42662</v>
      </c>
      <c r="E3423" s="270" t="s">
        <v>1668</v>
      </c>
      <c r="F3423" s="384">
        <v>23.5</v>
      </c>
      <c r="G3423" s="270">
        <v>600049639</v>
      </c>
    </row>
    <row r="3424" spans="1:7" x14ac:dyDescent="0.25">
      <c r="A3424" s="257">
        <v>3428</v>
      </c>
      <c r="B3424" s="267">
        <v>3423</v>
      </c>
      <c r="C3424" s="268" t="s">
        <v>2104</v>
      </c>
      <c r="D3424" s="269">
        <v>42662</v>
      </c>
      <c r="E3424" s="270" t="s">
        <v>2736</v>
      </c>
      <c r="F3424" s="384">
        <v>25.2</v>
      </c>
      <c r="G3424" s="270">
        <v>691780951</v>
      </c>
    </row>
    <row r="3425" spans="1:7" x14ac:dyDescent="0.25">
      <c r="A3425" s="257">
        <v>3429</v>
      </c>
      <c r="B3425" s="267">
        <v>3424</v>
      </c>
      <c r="C3425" s="268" t="s">
        <v>1021</v>
      </c>
      <c r="D3425" s="269">
        <v>42662</v>
      </c>
      <c r="E3425" s="270" t="s">
        <v>320</v>
      </c>
      <c r="F3425" s="384">
        <v>51.6</v>
      </c>
      <c r="G3425" s="270">
        <v>690831296</v>
      </c>
    </row>
    <row r="3426" spans="1:7" x14ac:dyDescent="0.25">
      <c r="A3426" s="257">
        <v>3430</v>
      </c>
      <c r="B3426" s="267">
        <v>3425</v>
      </c>
      <c r="C3426" s="268" t="s">
        <v>3226</v>
      </c>
      <c r="D3426" s="269">
        <v>42662</v>
      </c>
      <c r="E3426" s="270" t="s">
        <v>1919</v>
      </c>
      <c r="F3426" s="384">
        <v>19</v>
      </c>
      <c r="G3426" s="270">
        <v>100179084</v>
      </c>
    </row>
    <row r="3427" spans="1:7" x14ac:dyDescent="0.25">
      <c r="A3427" s="257">
        <v>3431</v>
      </c>
      <c r="B3427" s="267">
        <v>3426</v>
      </c>
      <c r="C3427" s="268" t="s">
        <v>2380</v>
      </c>
      <c r="D3427" s="269">
        <v>42662</v>
      </c>
      <c r="E3427" s="270" t="s">
        <v>2379</v>
      </c>
      <c r="F3427" s="384">
        <v>21</v>
      </c>
      <c r="G3427" s="270">
        <v>190664298</v>
      </c>
    </row>
    <row r="3428" spans="1:7" x14ac:dyDescent="0.25">
      <c r="A3428" s="257">
        <v>3432</v>
      </c>
      <c r="B3428" s="267">
        <v>3427</v>
      </c>
      <c r="C3428" s="268" t="s">
        <v>1921</v>
      </c>
      <c r="D3428" s="269">
        <v>42662</v>
      </c>
      <c r="E3428" s="270" t="s">
        <v>1920</v>
      </c>
      <c r="F3428" s="384">
        <v>23.5</v>
      </c>
      <c r="G3428" s="270">
        <v>192318688</v>
      </c>
    </row>
    <row r="3429" spans="1:7" x14ac:dyDescent="0.25">
      <c r="A3429" s="257">
        <v>3433</v>
      </c>
      <c r="B3429" s="267">
        <v>3428</v>
      </c>
      <c r="C3429" s="268" t="s">
        <v>196</v>
      </c>
      <c r="D3429" s="269">
        <v>42663</v>
      </c>
      <c r="E3429" s="270" t="s">
        <v>2717</v>
      </c>
      <c r="F3429" s="384">
        <v>51.6</v>
      </c>
      <c r="G3429" s="270">
        <v>101538513</v>
      </c>
    </row>
    <row r="3430" spans="1:7" x14ac:dyDescent="0.25">
      <c r="A3430" s="257">
        <v>3434</v>
      </c>
      <c r="B3430" s="267">
        <v>3429</v>
      </c>
      <c r="C3430" s="268" t="s">
        <v>246</v>
      </c>
      <c r="D3430" s="269">
        <v>42664</v>
      </c>
      <c r="E3430" s="270" t="s">
        <v>1796</v>
      </c>
      <c r="F3430" s="384">
        <v>37.4</v>
      </c>
      <c r="G3430" s="270">
        <v>100872922</v>
      </c>
    </row>
    <row r="3431" spans="1:7" x14ac:dyDescent="0.25">
      <c r="A3431" s="257">
        <v>3435</v>
      </c>
      <c r="B3431" s="267">
        <v>3430</v>
      </c>
      <c r="C3431" s="268" t="s">
        <v>895</v>
      </c>
      <c r="D3431" s="269">
        <v>42664</v>
      </c>
      <c r="E3431" s="270" t="s">
        <v>2804</v>
      </c>
      <c r="F3431" s="384">
        <v>10.9</v>
      </c>
      <c r="G3431" s="270">
        <v>691433174</v>
      </c>
    </row>
    <row r="3432" spans="1:7" x14ac:dyDescent="0.25">
      <c r="A3432" s="257">
        <v>3436</v>
      </c>
      <c r="B3432" s="267">
        <v>3431</v>
      </c>
      <c r="C3432" s="268" t="s">
        <v>3500</v>
      </c>
      <c r="D3432" s="269">
        <v>42664</v>
      </c>
      <c r="E3432" s="270" t="s">
        <v>3499</v>
      </c>
      <c r="F3432" s="384">
        <v>51.6</v>
      </c>
      <c r="G3432" s="270">
        <v>191791149</v>
      </c>
    </row>
    <row r="3433" spans="1:7" x14ac:dyDescent="0.25">
      <c r="A3433" s="257">
        <v>3437</v>
      </c>
      <c r="B3433" s="267">
        <v>3432</v>
      </c>
      <c r="C3433" s="268" t="s">
        <v>3618</v>
      </c>
      <c r="D3433" s="269">
        <v>42664</v>
      </c>
      <c r="E3433" s="270" t="s">
        <v>163</v>
      </c>
      <c r="F3433" s="384">
        <v>7.2</v>
      </c>
      <c r="G3433" s="270">
        <v>100843354</v>
      </c>
    </row>
    <row r="3434" spans="1:7" x14ac:dyDescent="0.25">
      <c r="A3434" s="257">
        <v>3438</v>
      </c>
      <c r="B3434" s="267">
        <v>3433</v>
      </c>
      <c r="C3434" s="268" t="s">
        <v>895</v>
      </c>
      <c r="D3434" s="269">
        <v>42664</v>
      </c>
      <c r="E3434" s="270" t="s">
        <v>2804</v>
      </c>
      <c r="F3434" s="384">
        <v>7.4</v>
      </c>
      <c r="G3434" s="270">
        <v>691433174</v>
      </c>
    </row>
    <row r="3435" spans="1:7" x14ac:dyDescent="0.25">
      <c r="A3435" s="257">
        <v>3439</v>
      </c>
      <c r="B3435" s="267">
        <v>3434</v>
      </c>
      <c r="C3435" s="268" t="s">
        <v>414</v>
      </c>
      <c r="D3435" s="269">
        <v>42664</v>
      </c>
      <c r="E3435" s="270" t="s">
        <v>3629</v>
      </c>
      <c r="F3435" s="384">
        <v>8</v>
      </c>
      <c r="G3435" s="270">
        <v>100286955</v>
      </c>
    </row>
    <row r="3436" spans="1:7" x14ac:dyDescent="0.25">
      <c r="A3436" s="257">
        <v>3440</v>
      </c>
      <c r="B3436" s="267">
        <v>3435</v>
      </c>
      <c r="C3436" s="268" t="s">
        <v>3500</v>
      </c>
      <c r="D3436" s="269">
        <v>42665</v>
      </c>
      <c r="E3436" s="270" t="s">
        <v>3499</v>
      </c>
      <c r="F3436" s="384">
        <v>19.100000000000001</v>
      </c>
      <c r="G3436" s="270">
        <v>191791149</v>
      </c>
    </row>
    <row r="3437" spans="1:7" x14ac:dyDescent="0.25">
      <c r="A3437" s="257">
        <v>3441</v>
      </c>
      <c r="B3437" s="267">
        <v>3436</v>
      </c>
      <c r="C3437" s="268" t="s">
        <v>3544</v>
      </c>
      <c r="D3437" s="269">
        <v>42667</v>
      </c>
      <c r="E3437" s="270" t="s">
        <v>2707</v>
      </c>
      <c r="F3437" s="384">
        <v>77.900000000000006</v>
      </c>
      <c r="G3437" s="270">
        <v>100667855</v>
      </c>
    </row>
    <row r="3438" spans="1:7" x14ac:dyDescent="0.25">
      <c r="A3438" s="257">
        <v>3442</v>
      </c>
      <c r="B3438" s="267">
        <v>3437</v>
      </c>
      <c r="C3438" s="268" t="s">
        <v>910</v>
      </c>
      <c r="D3438" s="269">
        <v>42667</v>
      </c>
      <c r="E3438" s="270" t="s">
        <v>1656</v>
      </c>
      <c r="F3438" s="384">
        <v>19</v>
      </c>
      <c r="G3438" s="270">
        <v>101439397</v>
      </c>
    </row>
    <row r="3439" spans="1:7" x14ac:dyDescent="0.25">
      <c r="A3439" s="257">
        <v>3443</v>
      </c>
      <c r="B3439" s="267">
        <v>3438</v>
      </c>
      <c r="C3439" s="268" t="s">
        <v>29</v>
      </c>
      <c r="D3439" s="269">
        <v>42667</v>
      </c>
      <c r="E3439" s="270" t="s">
        <v>28</v>
      </c>
      <c r="F3439" s="384">
        <v>23.5</v>
      </c>
      <c r="G3439" s="270">
        <v>691592238</v>
      </c>
    </row>
    <row r="3440" spans="1:7" x14ac:dyDescent="0.25">
      <c r="A3440" s="257">
        <v>3444</v>
      </c>
      <c r="B3440" s="267">
        <v>3439</v>
      </c>
      <c r="C3440" s="268" t="s">
        <v>2143</v>
      </c>
      <c r="D3440" s="269">
        <v>42667</v>
      </c>
      <c r="E3440" s="270" t="s">
        <v>1927</v>
      </c>
      <c r="F3440" s="384">
        <v>51.6</v>
      </c>
      <c r="G3440" s="270">
        <v>190032958</v>
      </c>
    </row>
    <row r="3441" spans="1:7" x14ac:dyDescent="0.25">
      <c r="A3441" s="257">
        <v>3445</v>
      </c>
      <c r="B3441" s="267">
        <v>3440</v>
      </c>
      <c r="C3441" s="268" t="s">
        <v>30</v>
      </c>
      <c r="D3441" s="269">
        <v>42667</v>
      </c>
      <c r="E3441" s="270" t="s">
        <v>27</v>
      </c>
      <c r="F3441" s="384">
        <v>7.4</v>
      </c>
      <c r="G3441" s="270">
        <v>190646243</v>
      </c>
    </row>
    <row r="3442" spans="1:7" x14ac:dyDescent="0.25">
      <c r="A3442" s="257">
        <v>3446</v>
      </c>
      <c r="B3442" s="267">
        <v>3441</v>
      </c>
      <c r="C3442" s="268" t="s">
        <v>502</v>
      </c>
      <c r="D3442" s="269">
        <v>42667</v>
      </c>
      <c r="E3442" s="270" t="s">
        <v>2364</v>
      </c>
      <c r="F3442" s="384">
        <v>154.80000000000001</v>
      </c>
      <c r="G3442" s="270">
        <v>100779309</v>
      </c>
    </row>
    <row r="3443" spans="1:7" x14ac:dyDescent="0.25">
      <c r="A3443" s="257">
        <v>3447</v>
      </c>
      <c r="B3443" s="267">
        <v>3442</v>
      </c>
      <c r="C3443" s="268" t="s">
        <v>1826</v>
      </c>
      <c r="D3443" s="269">
        <v>42667</v>
      </c>
      <c r="E3443" s="270" t="s">
        <v>2424</v>
      </c>
      <c r="F3443" s="384">
        <v>51.6</v>
      </c>
      <c r="G3443" s="270">
        <v>101326441</v>
      </c>
    </row>
    <row r="3444" spans="1:7" x14ac:dyDescent="0.25">
      <c r="A3444" s="257">
        <v>3448</v>
      </c>
      <c r="B3444" s="267">
        <v>3443</v>
      </c>
      <c r="C3444" s="268" t="s">
        <v>1826</v>
      </c>
      <c r="D3444" s="269">
        <v>42667</v>
      </c>
      <c r="E3444" s="270" t="s">
        <v>2424</v>
      </c>
      <c r="F3444" s="384">
        <v>42.3</v>
      </c>
      <c r="G3444" s="270">
        <v>101326441</v>
      </c>
    </row>
    <row r="3445" spans="1:7" x14ac:dyDescent="0.25">
      <c r="A3445" s="257">
        <v>3449</v>
      </c>
      <c r="B3445" s="267">
        <v>3444</v>
      </c>
      <c r="C3445" s="268" t="s">
        <v>2036</v>
      </c>
      <c r="D3445" s="269">
        <v>42668</v>
      </c>
      <c r="E3445" s="270" t="s">
        <v>3594</v>
      </c>
      <c r="F3445" s="384">
        <v>51.6</v>
      </c>
      <c r="G3445" s="270">
        <v>190882802</v>
      </c>
    </row>
    <row r="3446" spans="1:7" x14ac:dyDescent="0.25">
      <c r="A3446" s="257">
        <v>3450</v>
      </c>
      <c r="B3446" s="267">
        <v>3445</v>
      </c>
      <c r="C3446" s="268" t="s">
        <v>1949</v>
      </c>
      <c r="D3446" s="269">
        <v>42668</v>
      </c>
      <c r="E3446" s="270" t="s">
        <v>1702</v>
      </c>
      <c r="F3446" s="384">
        <v>28.4</v>
      </c>
      <c r="G3446" s="270">
        <v>100315395</v>
      </c>
    </row>
    <row r="3447" spans="1:7" x14ac:dyDescent="0.25">
      <c r="A3447" s="257">
        <v>3451</v>
      </c>
      <c r="B3447" s="267">
        <v>3446</v>
      </c>
      <c r="C3447" s="268" t="s">
        <v>910</v>
      </c>
      <c r="D3447" s="269">
        <v>42668</v>
      </c>
      <c r="E3447" s="270" t="s">
        <v>1656</v>
      </c>
      <c r="F3447" s="384">
        <v>4.3</v>
      </c>
      <c r="G3447" s="270">
        <v>101439397</v>
      </c>
    </row>
    <row r="3448" spans="1:7" x14ac:dyDescent="0.25">
      <c r="A3448" s="257">
        <v>3452</v>
      </c>
      <c r="B3448" s="267">
        <v>3447</v>
      </c>
      <c r="C3448" s="268" t="s">
        <v>32</v>
      </c>
      <c r="D3448" s="269">
        <v>42668</v>
      </c>
      <c r="E3448" s="270" t="s">
        <v>31</v>
      </c>
      <c r="F3448" s="384">
        <v>23.5</v>
      </c>
      <c r="G3448" s="270">
        <v>192522720</v>
      </c>
    </row>
    <row r="3449" spans="1:7" x14ac:dyDescent="0.25">
      <c r="A3449" s="257">
        <v>3453</v>
      </c>
      <c r="B3449" s="267">
        <v>3448</v>
      </c>
      <c r="C3449" s="268" t="s">
        <v>1128</v>
      </c>
      <c r="D3449" s="269">
        <v>42668</v>
      </c>
      <c r="E3449" s="270" t="s">
        <v>3142</v>
      </c>
      <c r="F3449" s="384">
        <v>23.5</v>
      </c>
      <c r="G3449" s="270">
        <v>190341035</v>
      </c>
    </row>
    <row r="3450" spans="1:7" x14ac:dyDescent="0.25">
      <c r="A3450" s="257">
        <v>3454</v>
      </c>
      <c r="B3450" s="267">
        <v>3449</v>
      </c>
      <c r="C3450" s="268" t="s">
        <v>978</v>
      </c>
      <c r="D3450" s="269">
        <v>42668</v>
      </c>
      <c r="E3450" s="270" t="s">
        <v>847</v>
      </c>
      <c r="F3450" s="384">
        <v>150</v>
      </c>
      <c r="G3450" s="270">
        <v>190853326</v>
      </c>
    </row>
    <row r="3451" spans="1:7" x14ac:dyDescent="0.25">
      <c r="A3451" s="257">
        <v>3455</v>
      </c>
      <c r="B3451" s="267">
        <v>3450</v>
      </c>
      <c r="C3451" s="268" t="s">
        <v>3111</v>
      </c>
      <c r="D3451" s="269">
        <v>42668</v>
      </c>
      <c r="E3451" s="270" t="s">
        <v>1948</v>
      </c>
      <c r="F3451" s="384">
        <v>23.5</v>
      </c>
      <c r="G3451" s="270">
        <v>808000755</v>
      </c>
    </row>
    <row r="3452" spans="1:7" x14ac:dyDescent="0.25">
      <c r="A3452" s="257">
        <v>3456</v>
      </c>
      <c r="B3452" s="267">
        <v>3451</v>
      </c>
      <c r="C3452" s="268" t="s">
        <v>3111</v>
      </c>
      <c r="D3452" s="269">
        <v>42668</v>
      </c>
      <c r="E3452" s="270" t="s">
        <v>1948</v>
      </c>
      <c r="F3452" s="384">
        <v>25.2</v>
      </c>
      <c r="G3452" s="270">
        <v>808000755</v>
      </c>
    </row>
    <row r="3453" spans="1:7" x14ac:dyDescent="0.25">
      <c r="A3453" s="257">
        <v>3457</v>
      </c>
      <c r="B3453" s="267">
        <v>3452</v>
      </c>
      <c r="C3453" s="268" t="s">
        <v>846</v>
      </c>
      <c r="D3453" s="269">
        <v>42668</v>
      </c>
      <c r="E3453" s="270" t="s">
        <v>500</v>
      </c>
      <c r="F3453" s="384">
        <v>18.399999999999999</v>
      </c>
      <c r="G3453" s="270">
        <v>690631984</v>
      </c>
    </row>
    <row r="3454" spans="1:7" x14ac:dyDescent="0.25">
      <c r="A3454" s="257">
        <v>3458</v>
      </c>
      <c r="B3454" s="267">
        <v>3453</v>
      </c>
      <c r="C3454" s="268" t="s">
        <v>34</v>
      </c>
      <c r="D3454" s="269">
        <v>42669</v>
      </c>
      <c r="E3454" s="270" t="s">
        <v>33</v>
      </c>
      <c r="F3454" s="384">
        <v>23.5</v>
      </c>
      <c r="G3454" s="270">
        <v>100964653</v>
      </c>
    </row>
    <row r="3455" spans="1:7" x14ac:dyDescent="0.25">
      <c r="A3455" s="257">
        <v>3459</v>
      </c>
      <c r="B3455" s="267">
        <v>3454</v>
      </c>
      <c r="C3455" s="268" t="s">
        <v>1786</v>
      </c>
      <c r="D3455" s="269">
        <v>42669</v>
      </c>
      <c r="E3455" s="270" t="s">
        <v>2401</v>
      </c>
      <c r="F3455" s="384">
        <v>33.200000000000003</v>
      </c>
      <c r="G3455" s="270">
        <v>691509251</v>
      </c>
    </row>
    <row r="3456" spans="1:7" x14ac:dyDescent="0.25">
      <c r="A3456" s="257">
        <v>3460</v>
      </c>
      <c r="B3456" s="267">
        <v>3455</v>
      </c>
      <c r="C3456" s="268" t="s">
        <v>3773</v>
      </c>
      <c r="D3456" s="269">
        <v>42669</v>
      </c>
      <c r="E3456" s="270" t="s">
        <v>2415</v>
      </c>
      <c r="F3456" s="384">
        <v>3.7</v>
      </c>
      <c r="G3456" s="270">
        <v>100315341</v>
      </c>
    </row>
    <row r="3457" spans="1:7" x14ac:dyDescent="0.25">
      <c r="A3457" s="257">
        <v>3461</v>
      </c>
      <c r="B3457" s="267">
        <v>3456</v>
      </c>
      <c r="C3457" s="268" t="s">
        <v>3133</v>
      </c>
      <c r="D3457" s="269">
        <v>42669</v>
      </c>
      <c r="E3457" s="270" t="s">
        <v>3587</v>
      </c>
      <c r="F3457" s="384">
        <v>113.6</v>
      </c>
      <c r="G3457" s="270">
        <v>101254783</v>
      </c>
    </row>
    <row r="3458" spans="1:7" x14ac:dyDescent="0.25">
      <c r="A3458" s="257">
        <v>3462</v>
      </c>
      <c r="B3458" s="267">
        <v>3457</v>
      </c>
      <c r="C3458" s="268" t="s">
        <v>3748</v>
      </c>
      <c r="D3458" s="269">
        <v>42669</v>
      </c>
      <c r="E3458" s="270" t="s">
        <v>1788</v>
      </c>
      <c r="F3458" s="384">
        <v>154.80000000000001</v>
      </c>
      <c r="G3458" s="270">
        <v>800001327</v>
      </c>
    </row>
    <row r="3459" spans="1:7" x14ac:dyDescent="0.25">
      <c r="A3459" s="257">
        <v>3463</v>
      </c>
      <c r="B3459" s="267">
        <v>3458</v>
      </c>
      <c r="C3459" s="268" t="s">
        <v>1836</v>
      </c>
      <c r="D3459" s="269">
        <v>42669</v>
      </c>
      <c r="E3459" s="270" t="s">
        <v>2624</v>
      </c>
      <c r="F3459" s="384">
        <v>51.6</v>
      </c>
      <c r="G3459" s="270">
        <v>600004086</v>
      </c>
    </row>
    <row r="3460" spans="1:7" x14ac:dyDescent="0.25">
      <c r="A3460" s="257">
        <v>3464</v>
      </c>
      <c r="B3460" s="267">
        <v>3459</v>
      </c>
      <c r="C3460" s="268" t="s">
        <v>2702</v>
      </c>
      <c r="D3460" s="269">
        <v>42669</v>
      </c>
      <c r="E3460" s="270" t="s">
        <v>2701</v>
      </c>
      <c r="F3460" s="384">
        <v>51.6</v>
      </c>
      <c r="G3460" s="270">
        <v>190464389</v>
      </c>
    </row>
    <row r="3461" spans="1:7" x14ac:dyDescent="0.25">
      <c r="A3461" s="257">
        <v>3465</v>
      </c>
      <c r="B3461" s="267">
        <v>3460</v>
      </c>
      <c r="C3461" s="268" t="s">
        <v>1679</v>
      </c>
      <c r="D3461" s="269">
        <v>42669</v>
      </c>
      <c r="E3461" s="270" t="s">
        <v>1680</v>
      </c>
      <c r="F3461" s="384">
        <v>23.5</v>
      </c>
      <c r="G3461" s="270">
        <v>190757196</v>
      </c>
    </row>
    <row r="3462" spans="1:7" x14ac:dyDescent="0.25">
      <c r="A3462" s="257">
        <v>3466</v>
      </c>
      <c r="B3462" s="267">
        <v>3461</v>
      </c>
      <c r="C3462" s="268" t="s">
        <v>895</v>
      </c>
      <c r="D3462" s="269">
        <v>42670</v>
      </c>
      <c r="E3462" s="270" t="s">
        <v>2804</v>
      </c>
      <c r="F3462" s="384">
        <v>7.4</v>
      </c>
      <c r="G3462" s="270">
        <v>691433174</v>
      </c>
    </row>
    <row r="3463" spans="1:7" x14ac:dyDescent="0.25">
      <c r="A3463" s="257">
        <v>3467</v>
      </c>
      <c r="B3463" s="267">
        <v>3462</v>
      </c>
      <c r="C3463" s="268" t="s">
        <v>2951</v>
      </c>
      <c r="D3463" s="269">
        <v>42670</v>
      </c>
      <c r="E3463" s="270" t="s">
        <v>3857</v>
      </c>
      <c r="F3463" s="384">
        <v>33.200000000000003</v>
      </c>
      <c r="G3463" s="270">
        <v>691131928</v>
      </c>
    </row>
    <row r="3464" spans="1:7" x14ac:dyDescent="0.25">
      <c r="A3464" s="257">
        <v>3468</v>
      </c>
      <c r="B3464" s="267">
        <v>3463</v>
      </c>
      <c r="C3464" s="268" t="s">
        <v>2838</v>
      </c>
      <c r="D3464" s="269">
        <v>42674</v>
      </c>
      <c r="E3464" s="270" t="s">
        <v>1828</v>
      </c>
      <c r="F3464" s="384">
        <v>23.5</v>
      </c>
      <c r="G3464" s="270">
        <v>100687805</v>
      </c>
    </row>
    <row r="3465" spans="1:7" x14ac:dyDescent="0.25">
      <c r="A3465" s="257">
        <v>3469</v>
      </c>
      <c r="B3465" s="267">
        <v>3464</v>
      </c>
      <c r="C3465" s="268" t="s">
        <v>519</v>
      </c>
      <c r="D3465" s="269">
        <v>42674</v>
      </c>
      <c r="E3465" s="270" t="s">
        <v>2668</v>
      </c>
      <c r="F3465" s="384">
        <v>47</v>
      </c>
      <c r="G3465" s="270">
        <v>191428080</v>
      </c>
    </row>
    <row r="3466" spans="1:7" x14ac:dyDescent="0.25">
      <c r="A3466" s="257">
        <v>3470</v>
      </c>
      <c r="B3466" s="267">
        <v>3465</v>
      </c>
      <c r="C3466" s="268" t="s">
        <v>2038</v>
      </c>
      <c r="D3466" s="269">
        <v>42674</v>
      </c>
      <c r="E3466" s="270" t="s">
        <v>2037</v>
      </c>
      <c r="F3466" s="384">
        <v>7.4</v>
      </c>
      <c r="G3466" s="270">
        <v>690576472</v>
      </c>
    </row>
    <row r="3467" spans="1:7" x14ac:dyDescent="0.25">
      <c r="A3467" s="257">
        <v>3471</v>
      </c>
      <c r="B3467" s="267">
        <v>3466</v>
      </c>
      <c r="C3467" s="268" t="s">
        <v>2036</v>
      </c>
      <c r="D3467" s="269">
        <v>42678</v>
      </c>
      <c r="E3467" s="270" t="s">
        <v>3594</v>
      </c>
      <c r="F3467" s="384">
        <v>51.6</v>
      </c>
      <c r="G3467" s="270">
        <v>190882802</v>
      </c>
    </row>
    <row r="3468" spans="1:7" x14ac:dyDescent="0.25">
      <c r="A3468" s="257">
        <v>3472</v>
      </c>
      <c r="B3468" s="267">
        <v>3467</v>
      </c>
      <c r="C3468" s="268" t="s">
        <v>895</v>
      </c>
      <c r="D3468" s="269">
        <v>42678</v>
      </c>
      <c r="E3468" s="270" t="s">
        <v>2804</v>
      </c>
      <c r="F3468" s="384">
        <v>51.6</v>
      </c>
      <c r="G3468" s="270">
        <v>691433174</v>
      </c>
    </row>
    <row r="3469" spans="1:7" x14ac:dyDescent="0.25">
      <c r="A3469" s="257">
        <v>3473</v>
      </c>
      <c r="B3469" s="267">
        <v>3468</v>
      </c>
      <c r="C3469" s="268" t="s">
        <v>3501</v>
      </c>
      <c r="D3469" s="269">
        <v>42678</v>
      </c>
      <c r="E3469" s="270" t="s">
        <v>2411</v>
      </c>
      <c r="F3469" s="384">
        <v>33.200000000000003</v>
      </c>
      <c r="G3469" s="270">
        <v>100349860</v>
      </c>
    </row>
    <row r="3470" spans="1:7" x14ac:dyDescent="0.25">
      <c r="A3470" s="257">
        <v>3474</v>
      </c>
      <c r="B3470" s="267">
        <v>3469</v>
      </c>
      <c r="C3470" s="268" t="s">
        <v>2377</v>
      </c>
      <c r="D3470" s="269">
        <v>42678</v>
      </c>
      <c r="E3470" s="270" t="s">
        <v>226</v>
      </c>
      <c r="F3470" s="384">
        <v>70.5</v>
      </c>
      <c r="G3470" s="270">
        <v>190654467</v>
      </c>
    </row>
    <row r="3471" spans="1:7" x14ac:dyDescent="0.25">
      <c r="A3471" s="257">
        <v>3475</v>
      </c>
      <c r="B3471" s="267">
        <v>3470</v>
      </c>
      <c r="C3471" s="268" t="s">
        <v>2975</v>
      </c>
      <c r="D3471" s="269">
        <v>42678</v>
      </c>
      <c r="E3471" s="270" t="s">
        <v>1002</v>
      </c>
      <c r="F3471" s="384">
        <v>51.6</v>
      </c>
      <c r="G3471" s="270">
        <v>690033956</v>
      </c>
    </row>
    <row r="3472" spans="1:7" x14ac:dyDescent="0.25">
      <c r="A3472" s="257">
        <v>3476</v>
      </c>
      <c r="B3472" s="267">
        <v>3471</v>
      </c>
      <c r="C3472" s="268" t="s">
        <v>846</v>
      </c>
      <c r="D3472" s="269">
        <v>42678</v>
      </c>
      <c r="E3472" s="270" t="s">
        <v>500</v>
      </c>
      <c r="F3472" s="384">
        <v>33.200000000000003</v>
      </c>
      <c r="G3472" s="270">
        <v>690631984</v>
      </c>
    </row>
    <row r="3473" spans="1:7" x14ac:dyDescent="0.25">
      <c r="A3473" s="257">
        <v>3477</v>
      </c>
      <c r="B3473" s="267">
        <v>3472</v>
      </c>
      <c r="C3473" s="268" t="s">
        <v>910</v>
      </c>
      <c r="D3473" s="269">
        <v>42678</v>
      </c>
      <c r="E3473" s="270" t="s">
        <v>1656</v>
      </c>
      <c r="F3473" s="384">
        <v>33.200000000000003</v>
      </c>
      <c r="G3473" s="270">
        <v>101439397</v>
      </c>
    </row>
    <row r="3474" spans="1:7" x14ac:dyDescent="0.25">
      <c r="A3474" s="257">
        <v>3478</v>
      </c>
      <c r="B3474" s="267">
        <v>3473</v>
      </c>
      <c r="C3474" s="268" t="s">
        <v>414</v>
      </c>
      <c r="D3474" s="269">
        <v>42678</v>
      </c>
      <c r="E3474" s="270" t="s">
        <v>3629</v>
      </c>
      <c r="F3474" s="384">
        <v>22</v>
      </c>
      <c r="G3474" s="270">
        <v>100286955</v>
      </c>
    </row>
    <row r="3475" spans="1:7" x14ac:dyDescent="0.25">
      <c r="A3475" s="257">
        <v>3479</v>
      </c>
      <c r="B3475" s="267">
        <v>3474</v>
      </c>
      <c r="C3475" s="268" t="s">
        <v>997</v>
      </c>
      <c r="D3475" s="269">
        <v>42682</v>
      </c>
      <c r="E3475" s="270" t="s">
        <v>306</v>
      </c>
      <c r="F3475" s="384">
        <v>19.5</v>
      </c>
      <c r="G3475" s="270">
        <v>191312110</v>
      </c>
    </row>
    <row r="3476" spans="1:7" x14ac:dyDescent="0.25">
      <c r="A3476" s="257">
        <v>3480</v>
      </c>
      <c r="B3476" s="267">
        <v>3475</v>
      </c>
      <c r="C3476" s="268" t="s">
        <v>3298</v>
      </c>
      <c r="D3476" s="269">
        <v>42682</v>
      </c>
      <c r="E3476" s="270" t="s">
        <v>980</v>
      </c>
      <c r="F3476" s="384">
        <v>28.4</v>
      </c>
      <c r="G3476" s="270">
        <v>100015784</v>
      </c>
    </row>
    <row r="3477" spans="1:7" x14ac:dyDescent="0.25">
      <c r="A3477" s="257">
        <v>3481</v>
      </c>
      <c r="B3477" s="267">
        <v>3476</v>
      </c>
      <c r="C3477" s="268" t="s">
        <v>3554</v>
      </c>
      <c r="D3477" s="269">
        <v>42682</v>
      </c>
      <c r="E3477" s="270" t="s">
        <v>3291</v>
      </c>
      <c r="F3477" s="384">
        <v>35.6</v>
      </c>
      <c r="G3477" s="270">
        <v>100054851</v>
      </c>
    </row>
    <row r="3478" spans="1:7" x14ac:dyDescent="0.25">
      <c r="A3478" s="257">
        <v>3482</v>
      </c>
      <c r="B3478" s="267">
        <v>3477</v>
      </c>
      <c r="C3478" s="268" t="s">
        <v>3520</v>
      </c>
      <c r="D3478" s="269">
        <v>42682</v>
      </c>
      <c r="E3478" s="270" t="s">
        <v>911</v>
      </c>
      <c r="F3478" s="384">
        <v>33.200000000000003</v>
      </c>
      <c r="G3478" s="270">
        <v>191224163</v>
      </c>
    </row>
    <row r="3479" spans="1:7" x14ac:dyDescent="0.25">
      <c r="A3479" s="257">
        <v>3483</v>
      </c>
      <c r="B3479" s="267">
        <v>3478</v>
      </c>
      <c r="C3479" s="268" t="s">
        <v>1128</v>
      </c>
      <c r="D3479" s="269">
        <v>42682</v>
      </c>
      <c r="E3479" s="270" t="s">
        <v>956</v>
      </c>
      <c r="F3479" s="384">
        <v>25.2</v>
      </c>
      <c r="G3479" s="270">
        <v>190341033</v>
      </c>
    </row>
    <row r="3480" spans="1:7" x14ac:dyDescent="0.25">
      <c r="A3480" s="257">
        <v>3484</v>
      </c>
      <c r="B3480" s="267">
        <v>3479</v>
      </c>
      <c r="C3480" s="268" t="s">
        <v>2105</v>
      </c>
      <c r="D3480" s="269">
        <v>42682</v>
      </c>
      <c r="E3480" s="270" t="s">
        <v>3744</v>
      </c>
      <c r="F3480" s="384">
        <v>23.5</v>
      </c>
      <c r="G3480" s="270">
        <v>100512805</v>
      </c>
    </row>
    <row r="3481" spans="1:7" x14ac:dyDescent="0.25">
      <c r="A3481" s="257">
        <v>3485</v>
      </c>
      <c r="B3481" s="267">
        <v>3480</v>
      </c>
      <c r="C3481" s="268" t="s">
        <v>36</v>
      </c>
      <c r="D3481" s="269">
        <v>42682</v>
      </c>
      <c r="E3481" s="270" t="s">
        <v>35</v>
      </c>
      <c r="F3481" s="384">
        <v>33.200000000000003</v>
      </c>
      <c r="G3481" s="270">
        <v>690665107</v>
      </c>
    </row>
    <row r="3482" spans="1:7" x14ac:dyDescent="0.25">
      <c r="A3482" s="257">
        <v>3486</v>
      </c>
      <c r="B3482" s="267">
        <v>3481</v>
      </c>
      <c r="C3482" s="268" t="s">
        <v>37</v>
      </c>
      <c r="D3482" s="269">
        <v>42682</v>
      </c>
      <c r="E3482" s="270" t="s">
        <v>38</v>
      </c>
      <c r="F3482" s="384">
        <v>28.4</v>
      </c>
      <c r="G3482" s="270">
        <v>190706387</v>
      </c>
    </row>
    <row r="3483" spans="1:7" x14ac:dyDescent="0.25">
      <c r="A3483" s="257">
        <v>3487</v>
      </c>
      <c r="B3483" s="267">
        <v>3482</v>
      </c>
      <c r="C3483" s="268" t="s">
        <v>910</v>
      </c>
      <c r="D3483" s="269">
        <v>42683</v>
      </c>
      <c r="E3483" s="270" t="s">
        <v>1656</v>
      </c>
      <c r="F3483" s="384">
        <v>7.4</v>
      </c>
      <c r="G3483" s="270">
        <v>101439397</v>
      </c>
    </row>
    <row r="3484" spans="1:7" x14ac:dyDescent="0.25">
      <c r="A3484" s="257">
        <v>3488</v>
      </c>
      <c r="B3484" s="267">
        <v>3483</v>
      </c>
      <c r="C3484" s="268" t="s">
        <v>680</v>
      </c>
      <c r="D3484" s="269">
        <v>42683</v>
      </c>
      <c r="E3484" s="270" t="s">
        <v>3598</v>
      </c>
      <c r="F3484" s="384">
        <v>51.6</v>
      </c>
      <c r="G3484" s="270">
        <v>190221603</v>
      </c>
    </row>
    <row r="3485" spans="1:7" x14ac:dyDescent="0.25">
      <c r="A3485" s="257">
        <v>3489</v>
      </c>
      <c r="B3485" s="267">
        <v>3484</v>
      </c>
      <c r="C3485" s="268" t="s">
        <v>3102</v>
      </c>
      <c r="D3485" s="269">
        <v>42683</v>
      </c>
      <c r="E3485" s="270" t="s">
        <v>2825</v>
      </c>
      <c r="F3485" s="384">
        <v>51.6</v>
      </c>
      <c r="G3485" s="270">
        <v>500011238</v>
      </c>
    </row>
    <row r="3486" spans="1:7" x14ac:dyDescent="0.25">
      <c r="A3486" s="257">
        <v>3490</v>
      </c>
      <c r="B3486" s="267">
        <v>3485</v>
      </c>
      <c r="C3486" s="268" t="s">
        <v>1941</v>
      </c>
      <c r="D3486" s="269">
        <v>42683</v>
      </c>
      <c r="E3486" s="270" t="s">
        <v>2871</v>
      </c>
      <c r="F3486" s="384">
        <v>10.199999999999999</v>
      </c>
      <c r="G3486" s="270">
        <v>101015738</v>
      </c>
    </row>
    <row r="3487" spans="1:7" x14ac:dyDescent="0.25">
      <c r="A3487" s="257">
        <v>3491</v>
      </c>
      <c r="B3487" s="267">
        <v>3486</v>
      </c>
      <c r="C3487" s="268" t="s">
        <v>395</v>
      </c>
      <c r="D3487" s="269">
        <v>42683</v>
      </c>
      <c r="E3487" s="270" t="s">
        <v>310</v>
      </c>
      <c r="F3487" s="384">
        <v>23.5</v>
      </c>
      <c r="G3487" s="270">
        <v>101116094</v>
      </c>
    </row>
    <row r="3488" spans="1:7" x14ac:dyDescent="0.25">
      <c r="A3488" s="257">
        <v>3492</v>
      </c>
      <c r="B3488" s="267">
        <v>3487</v>
      </c>
      <c r="C3488" s="268" t="s">
        <v>3511</v>
      </c>
      <c r="D3488" s="269">
        <v>42683</v>
      </c>
      <c r="E3488" s="270" t="s">
        <v>2619</v>
      </c>
      <c r="F3488" s="384">
        <v>19</v>
      </c>
      <c r="G3488" s="270">
        <v>190321121</v>
      </c>
    </row>
    <row r="3489" spans="1:7" x14ac:dyDescent="0.25">
      <c r="A3489" s="257">
        <v>3493</v>
      </c>
      <c r="B3489" s="267">
        <v>3488</v>
      </c>
      <c r="C3489" s="268" t="s">
        <v>870</v>
      </c>
      <c r="D3489" s="269">
        <v>42683</v>
      </c>
      <c r="E3489" s="270" t="s">
        <v>428</v>
      </c>
      <c r="F3489" s="384">
        <v>19</v>
      </c>
      <c r="G3489" s="270">
        <v>100783448</v>
      </c>
    </row>
    <row r="3490" spans="1:7" x14ac:dyDescent="0.25">
      <c r="A3490" s="257">
        <v>3494</v>
      </c>
      <c r="B3490" s="267">
        <v>3489</v>
      </c>
      <c r="C3490" s="268" t="s">
        <v>3245</v>
      </c>
      <c r="D3490" s="269">
        <v>42683</v>
      </c>
      <c r="E3490" s="270" t="s">
        <v>1702</v>
      </c>
      <c r="F3490" s="384">
        <v>20.6</v>
      </c>
      <c r="G3490" s="270">
        <v>100315395</v>
      </c>
    </row>
    <row r="3491" spans="1:7" x14ac:dyDescent="0.25">
      <c r="A3491" s="257">
        <v>3495</v>
      </c>
      <c r="B3491" s="267">
        <v>3490</v>
      </c>
      <c r="C3491" s="268" t="s">
        <v>2108</v>
      </c>
      <c r="D3491" s="269">
        <v>42683</v>
      </c>
      <c r="E3491" s="270" t="s">
        <v>2107</v>
      </c>
      <c r="F3491" s="384">
        <v>28.4</v>
      </c>
      <c r="G3491" s="270">
        <v>691531787</v>
      </c>
    </row>
    <row r="3492" spans="1:7" x14ac:dyDescent="0.25">
      <c r="A3492" s="257">
        <v>3496</v>
      </c>
      <c r="B3492" s="267">
        <v>3491</v>
      </c>
      <c r="C3492" s="268" t="s">
        <v>3314</v>
      </c>
      <c r="D3492" s="269">
        <v>42690</v>
      </c>
      <c r="E3492" s="270" t="s">
        <v>3313</v>
      </c>
      <c r="F3492" s="384">
        <v>19</v>
      </c>
      <c r="G3492" s="270">
        <v>190833029</v>
      </c>
    </row>
    <row r="3493" spans="1:7" x14ac:dyDescent="0.25">
      <c r="A3493" s="257">
        <v>3497</v>
      </c>
      <c r="B3493" s="267">
        <v>3492</v>
      </c>
      <c r="C3493" s="268" t="s">
        <v>190</v>
      </c>
      <c r="D3493" s="269">
        <v>42690</v>
      </c>
      <c r="E3493" s="270" t="s">
        <v>188</v>
      </c>
      <c r="F3493" s="384">
        <v>33.200000000000003</v>
      </c>
      <c r="G3493" s="270">
        <v>190270596</v>
      </c>
    </row>
    <row r="3494" spans="1:7" x14ac:dyDescent="0.25">
      <c r="A3494" s="257">
        <v>3498</v>
      </c>
      <c r="B3494" s="267">
        <v>3493</v>
      </c>
      <c r="C3494" s="268" t="s">
        <v>1120</v>
      </c>
      <c r="D3494" s="269">
        <v>42690</v>
      </c>
      <c r="E3494" s="270" t="s">
        <v>493</v>
      </c>
      <c r="F3494" s="384">
        <v>136.4</v>
      </c>
      <c r="G3494" s="270">
        <v>191727606</v>
      </c>
    </row>
    <row r="3495" spans="1:7" x14ac:dyDescent="0.25">
      <c r="A3495" s="257">
        <v>3499</v>
      </c>
      <c r="B3495" s="267">
        <v>3494</v>
      </c>
      <c r="C3495" s="268" t="s">
        <v>246</v>
      </c>
      <c r="D3495" s="269">
        <v>42690</v>
      </c>
      <c r="E3495" s="270" t="s">
        <v>1796</v>
      </c>
      <c r="F3495" s="384">
        <v>7.4</v>
      </c>
      <c r="G3495" s="270">
        <v>100872922</v>
      </c>
    </row>
    <row r="3496" spans="1:7" x14ac:dyDescent="0.25">
      <c r="A3496" s="257">
        <v>3500</v>
      </c>
      <c r="B3496" s="267">
        <v>3495</v>
      </c>
      <c r="C3496" s="268" t="s">
        <v>196</v>
      </c>
      <c r="D3496" s="269">
        <v>42690</v>
      </c>
      <c r="E3496" s="270" t="s">
        <v>2717</v>
      </c>
      <c r="F3496" s="384">
        <v>51.6</v>
      </c>
      <c r="G3496" s="270">
        <v>101538513</v>
      </c>
    </row>
    <row r="3497" spans="1:7" x14ac:dyDescent="0.25">
      <c r="A3497" s="257">
        <v>3501</v>
      </c>
      <c r="B3497" s="267">
        <v>3496</v>
      </c>
      <c r="C3497" s="268" t="s">
        <v>1926</v>
      </c>
      <c r="D3497" s="269">
        <v>42691</v>
      </c>
      <c r="E3497" s="270" t="s">
        <v>2888</v>
      </c>
      <c r="F3497" s="384">
        <v>33.200000000000003</v>
      </c>
      <c r="G3497" s="270">
        <v>691131810</v>
      </c>
    </row>
    <row r="3498" spans="1:7" x14ac:dyDescent="0.25">
      <c r="A3498" s="257">
        <v>3502</v>
      </c>
      <c r="B3498" s="267">
        <v>3497</v>
      </c>
      <c r="C3498" s="268" t="s">
        <v>886</v>
      </c>
      <c r="D3498" s="269">
        <v>42691</v>
      </c>
      <c r="E3498" s="270" t="s">
        <v>1607</v>
      </c>
      <c r="F3498" s="384">
        <v>51.6</v>
      </c>
      <c r="G3498" s="270">
        <v>690643672</v>
      </c>
    </row>
    <row r="3499" spans="1:7" x14ac:dyDescent="0.25">
      <c r="A3499" s="257">
        <v>3503</v>
      </c>
      <c r="B3499" s="267">
        <v>3498</v>
      </c>
      <c r="C3499" s="268" t="s">
        <v>3096</v>
      </c>
      <c r="D3499" s="269">
        <v>42691</v>
      </c>
      <c r="E3499" s="270" t="s">
        <v>2728</v>
      </c>
      <c r="F3499" s="384">
        <v>7.2</v>
      </c>
      <c r="G3499" s="270">
        <v>800013574</v>
      </c>
    </row>
    <row r="3500" spans="1:7" x14ac:dyDescent="0.25">
      <c r="A3500" s="257">
        <v>3504</v>
      </c>
      <c r="B3500" s="267">
        <v>3499</v>
      </c>
      <c r="C3500" s="268" t="s">
        <v>2095</v>
      </c>
      <c r="D3500" s="269">
        <v>42691</v>
      </c>
      <c r="E3500" s="270" t="s">
        <v>2859</v>
      </c>
      <c r="F3500" s="384">
        <v>123.10000000000001</v>
      </c>
      <c r="G3500" s="270">
        <v>100261801</v>
      </c>
    </row>
    <row r="3501" spans="1:7" x14ac:dyDescent="0.25">
      <c r="A3501" s="257">
        <v>3505</v>
      </c>
      <c r="B3501" s="267">
        <v>3500</v>
      </c>
      <c r="C3501" s="268" t="s">
        <v>2616</v>
      </c>
      <c r="D3501" s="269">
        <v>42691</v>
      </c>
      <c r="E3501" s="270" t="s">
        <v>3623</v>
      </c>
      <c r="F3501" s="384">
        <v>19.5</v>
      </c>
      <c r="G3501" s="270">
        <v>100265026</v>
      </c>
    </row>
    <row r="3502" spans="1:7" x14ac:dyDescent="0.25">
      <c r="A3502" s="257">
        <v>3506</v>
      </c>
      <c r="B3502" s="267">
        <v>3501</v>
      </c>
      <c r="C3502" s="268" t="s">
        <v>2405</v>
      </c>
      <c r="D3502" s="269">
        <v>42695</v>
      </c>
      <c r="E3502" s="270" t="s">
        <v>1944</v>
      </c>
      <c r="F3502" s="384">
        <v>28.4</v>
      </c>
      <c r="G3502" s="270">
        <v>100345799</v>
      </c>
    </row>
    <row r="3503" spans="1:7" x14ac:dyDescent="0.25">
      <c r="A3503" s="257">
        <v>3507</v>
      </c>
      <c r="B3503" s="267">
        <v>3502</v>
      </c>
      <c r="C3503" s="268" t="s">
        <v>196</v>
      </c>
      <c r="D3503" s="269">
        <v>42695</v>
      </c>
      <c r="E3503" s="270" t="s">
        <v>2717</v>
      </c>
      <c r="F3503" s="384">
        <v>154.80000000000001</v>
      </c>
      <c r="G3503" s="270">
        <v>101538513</v>
      </c>
    </row>
    <row r="3504" spans="1:7" x14ac:dyDescent="0.25">
      <c r="A3504" s="257">
        <v>3508</v>
      </c>
      <c r="B3504" s="267">
        <v>3503</v>
      </c>
      <c r="C3504" s="268" t="s">
        <v>2823</v>
      </c>
      <c r="D3504" s="269">
        <v>42695</v>
      </c>
      <c r="E3504" s="270" t="s">
        <v>218</v>
      </c>
      <c r="F3504" s="384">
        <v>33.200000000000003</v>
      </c>
      <c r="G3504" s="270">
        <v>690618852</v>
      </c>
    </row>
    <row r="3505" spans="1:7" x14ac:dyDescent="0.25">
      <c r="A3505" s="257">
        <v>3509</v>
      </c>
      <c r="B3505" s="267">
        <v>3504</v>
      </c>
      <c r="C3505" s="268" t="s">
        <v>1836</v>
      </c>
      <c r="D3505" s="269">
        <v>42695</v>
      </c>
      <c r="E3505" s="270" t="s">
        <v>2624</v>
      </c>
      <c r="F3505" s="384">
        <v>25.2</v>
      </c>
      <c r="G3505" s="270">
        <v>600004086</v>
      </c>
    </row>
    <row r="3506" spans="1:7" x14ac:dyDescent="0.25">
      <c r="A3506" s="257">
        <v>3510</v>
      </c>
      <c r="B3506" s="267">
        <v>3505</v>
      </c>
      <c r="C3506" s="268" t="s">
        <v>2823</v>
      </c>
      <c r="D3506" s="269">
        <v>42695</v>
      </c>
      <c r="E3506" s="270" t="s">
        <v>218</v>
      </c>
      <c r="F3506" s="384">
        <v>8</v>
      </c>
      <c r="G3506" s="270">
        <v>690618852</v>
      </c>
    </row>
    <row r="3507" spans="1:7" x14ac:dyDescent="0.25">
      <c r="A3507" s="257">
        <v>3511</v>
      </c>
      <c r="B3507" s="267">
        <v>3506</v>
      </c>
      <c r="C3507" s="268" t="s">
        <v>3241</v>
      </c>
      <c r="D3507" s="269">
        <v>42695</v>
      </c>
      <c r="E3507" s="270" t="s">
        <v>3842</v>
      </c>
      <c r="F3507" s="384">
        <v>202.8</v>
      </c>
      <c r="G3507" s="270">
        <v>600124705</v>
      </c>
    </row>
    <row r="3508" spans="1:7" x14ac:dyDescent="0.25">
      <c r="A3508" s="257">
        <v>3512</v>
      </c>
      <c r="B3508" s="267">
        <v>3507</v>
      </c>
      <c r="C3508" s="268" t="s">
        <v>3315</v>
      </c>
      <c r="D3508" s="269">
        <v>42695</v>
      </c>
      <c r="E3508" s="270" t="s">
        <v>3316</v>
      </c>
      <c r="F3508" s="384">
        <v>19.5</v>
      </c>
      <c r="G3508" s="270">
        <v>808000584</v>
      </c>
    </row>
    <row r="3509" spans="1:7" x14ac:dyDescent="0.25">
      <c r="A3509" s="257">
        <v>3513</v>
      </c>
      <c r="B3509" s="267">
        <v>3508</v>
      </c>
      <c r="C3509" s="268" t="s">
        <v>36</v>
      </c>
      <c r="D3509" s="269">
        <v>42695</v>
      </c>
      <c r="E3509" s="270" t="s">
        <v>35</v>
      </c>
      <c r="F3509" s="384">
        <v>176.8</v>
      </c>
      <c r="G3509" s="270">
        <v>690665107</v>
      </c>
    </row>
    <row r="3510" spans="1:7" x14ac:dyDescent="0.25">
      <c r="A3510" s="257">
        <v>3514</v>
      </c>
      <c r="B3510" s="267">
        <v>3509</v>
      </c>
      <c r="C3510" s="268" t="s">
        <v>494</v>
      </c>
      <c r="D3510" s="269">
        <v>42698</v>
      </c>
      <c r="E3510" s="270" t="s">
        <v>339</v>
      </c>
      <c r="F3510" s="384">
        <v>18.399999999999999</v>
      </c>
      <c r="G3510" s="270">
        <v>690629013</v>
      </c>
    </row>
    <row r="3511" spans="1:7" x14ac:dyDescent="0.25">
      <c r="A3511" s="257">
        <v>3515</v>
      </c>
      <c r="B3511" s="267">
        <v>3510</v>
      </c>
      <c r="C3511" s="268" t="s">
        <v>3309</v>
      </c>
      <c r="D3511" s="269">
        <v>42698</v>
      </c>
      <c r="E3511" s="270" t="s">
        <v>1692</v>
      </c>
      <c r="F3511" s="384">
        <v>23.5</v>
      </c>
      <c r="G3511" s="270">
        <v>600007575</v>
      </c>
    </row>
    <row r="3512" spans="1:7" x14ac:dyDescent="0.25">
      <c r="A3512" s="257">
        <v>3516</v>
      </c>
      <c r="B3512" s="267">
        <v>3511</v>
      </c>
      <c r="C3512" s="268" t="s">
        <v>246</v>
      </c>
      <c r="D3512" s="269">
        <v>42698</v>
      </c>
      <c r="E3512" s="270" t="s">
        <v>1796</v>
      </c>
      <c r="F3512" s="384">
        <v>18.399999999999999</v>
      </c>
      <c r="G3512" s="270">
        <v>100872922</v>
      </c>
    </row>
    <row r="3513" spans="1:7" x14ac:dyDescent="0.25">
      <c r="A3513" s="257">
        <v>3517</v>
      </c>
      <c r="B3513" s="267">
        <v>3512</v>
      </c>
      <c r="C3513" s="268" t="s">
        <v>3307</v>
      </c>
      <c r="D3513" s="269">
        <v>42698</v>
      </c>
      <c r="E3513" s="270" t="s">
        <v>432</v>
      </c>
      <c r="F3513" s="384">
        <v>103.2</v>
      </c>
      <c r="G3513" s="270">
        <v>0</v>
      </c>
    </row>
    <row r="3514" spans="1:7" x14ac:dyDescent="0.25">
      <c r="A3514" s="257">
        <v>3518</v>
      </c>
      <c r="B3514" s="267">
        <v>3513</v>
      </c>
      <c r="C3514" s="268" t="s">
        <v>4222</v>
      </c>
      <c r="D3514" s="269">
        <v>42698</v>
      </c>
      <c r="E3514" s="270" t="s">
        <v>1825</v>
      </c>
      <c r="F3514" s="384">
        <v>28.4</v>
      </c>
      <c r="G3514" s="270">
        <v>190922876</v>
      </c>
    </row>
    <row r="3515" spans="1:7" x14ac:dyDescent="0.25">
      <c r="A3515" s="257">
        <v>3519</v>
      </c>
      <c r="B3515" s="267">
        <v>3514</v>
      </c>
      <c r="C3515" s="268" t="s">
        <v>36</v>
      </c>
      <c r="D3515" s="269">
        <v>42698</v>
      </c>
      <c r="E3515" s="270" t="s">
        <v>35</v>
      </c>
      <c r="F3515" s="384">
        <v>8</v>
      </c>
      <c r="G3515" s="270">
        <v>690665107</v>
      </c>
    </row>
    <row r="3516" spans="1:7" x14ac:dyDescent="0.25">
      <c r="A3516" s="257">
        <v>3520</v>
      </c>
      <c r="B3516" s="267">
        <v>3515</v>
      </c>
      <c r="C3516" s="268" t="s">
        <v>2687</v>
      </c>
      <c r="D3516" s="269">
        <v>42699</v>
      </c>
      <c r="E3516" s="270" t="s">
        <v>2775</v>
      </c>
      <c r="F3516" s="384">
        <v>18.399999999999999</v>
      </c>
      <c r="G3516" s="270">
        <v>691301525</v>
      </c>
    </row>
    <row r="3517" spans="1:7" x14ac:dyDescent="0.25">
      <c r="A3517" s="257">
        <v>3521</v>
      </c>
      <c r="B3517" s="267">
        <v>3516</v>
      </c>
      <c r="C3517" s="268" t="s">
        <v>435</v>
      </c>
      <c r="D3517" s="269">
        <v>42702</v>
      </c>
      <c r="E3517" s="270" t="s">
        <v>434</v>
      </c>
      <c r="F3517" s="384">
        <v>33.200000000000003</v>
      </c>
      <c r="G3517" s="270">
        <v>192203410</v>
      </c>
    </row>
    <row r="3518" spans="1:7" x14ac:dyDescent="0.25">
      <c r="A3518" s="257">
        <v>3522</v>
      </c>
      <c r="B3518" s="267">
        <v>3517</v>
      </c>
      <c r="C3518" s="268" t="s">
        <v>2121</v>
      </c>
      <c r="D3518" s="269">
        <v>42702</v>
      </c>
      <c r="E3518" s="270" t="s">
        <v>2120</v>
      </c>
      <c r="F3518" s="384">
        <v>32.6</v>
      </c>
      <c r="G3518" s="270">
        <v>190729933</v>
      </c>
    </row>
    <row r="3519" spans="1:7" x14ac:dyDescent="0.25">
      <c r="A3519" s="257">
        <v>3523</v>
      </c>
      <c r="B3519" s="267">
        <v>3518</v>
      </c>
      <c r="C3519" s="268" t="s">
        <v>3746</v>
      </c>
      <c r="D3519" s="269">
        <v>42702</v>
      </c>
      <c r="E3519" s="270" t="s">
        <v>3297</v>
      </c>
      <c r="F3519" s="384">
        <v>33.200000000000003</v>
      </c>
      <c r="G3519" s="270">
        <v>691539471</v>
      </c>
    </row>
    <row r="3520" spans="1:7" x14ac:dyDescent="0.25">
      <c r="A3520" s="257">
        <v>3524</v>
      </c>
      <c r="B3520" s="267">
        <v>3519</v>
      </c>
      <c r="C3520" s="268" t="s">
        <v>190</v>
      </c>
      <c r="D3520" s="269">
        <v>42703</v>
      </c>
      <c r="E3520" s="270" t="s">
        <v>188</v>
      </c>
      <c r="F3520" s="384">
        <v>33.200000000000003</v>
      </c>
      <c r="G3520" s="270">
        <v>190270596</v>
      </c>
    </row>
    <row r="3521" spans="1:7" x14ac:dyDescent="0.25">
      <c r="A3521" s="257">
        <v>3525</v>
      </c>
      <c r="B3521" s="267">
        <v>3520</v>
      </c>
      <c r="C3521" s="268" t="s">
        <v>3534</v>
      </c>
      <c r="D3521" s="269">
        <v>42703</v>
      </c>
      <c r="E3521" s="270" t="s">
        <v>380</v>
      </c>
      <c r="F3521" s="384">
        <v>19.5</v>
      </c>
      <c r="G3521" s="270">
        <v>191597159</v>
      </c>
    </row>
    <row r="3522" spans="1:7" x14ac:dyDescent="0.25">
      <c r="A3522" s="257">
        <v>3526</v>
      </c>
      <c r="B3522" s="267">
        <v>3521</v>
      </c>
      <c r="C3522" s="268" t="s">
        <v>1674</v>
      </c>
      <c r="D3522" s="269">
        <v>42703</v>
      </c>
      <c r="E3522" s="270" t="s">
        <v>2077</v>
      </c>
      <c r="F3522" s="384">
        <v>71.2</v>
      </c>
      <c r="G3522" s="270">
        <v>100124836</v>
      </c>
    </row>
    <row r="3523" spans="1:7" x14ac:dyDescent="0.25">
      <c r="A3523" s="257">
        <v>3527</v>
      </c>
      <c r="B3523" s="267">
        <v>3522</v>
      </c>
      <c r="C3523" s="268" t="s">
        <v>2123</v>
      </c>
      <c r="D3523" s="269">
        <v>42703</v>
      </c>
      <c r="E3523" s="270" t="s">
        <v>2122</v>
      </c>
      <c r="F3523" s="384">
        <v>199.20000000000002</v>
      </c>
      <c r="G3523" s="270">
        <v>690392454</v>
      </c>
    </row>
    <row r="3524" spans="1:7" x14ac:dyDescent="0.25">
      <c r="A3524" s="257">
        <v>3528</v>
      </c>
      <c r="B3524" s="267">
        <v>3523</v>
      </c>
      <c r="C3524" s="268" t="s">
        <v>386</v>
      </c>
      <c r="D3524" s="269">
        <v>42703</v>
      </c>
      <c r="E3524" s="270" t="s">
        <v>1951</v>
      </c>
      <c r="F3524" s="384">
        <v>103.2</v>
      </c>
      <c r="G3524" s="270">
        <v>400424686</v>
      </c>
    </row>
    <row r="3525" spans="1:7" x14ac:dyDescent="0.25">
      <c r="A3525" s="257">
        <v>3529</v>
      </c>
      <c r="B3525" s="267">
        <v>3524</v>
      </c>
      <c r="C3525" s="268" t="s">
        <v>2125</v>
      </c>
      <c r="D3525" s="269">
        <v>42703</v>
      </c>
      <c r="E3525" s="270" t="s">
        <v>2124</v>
      </c>
      <c r="F3525" s="384">
        <v>84.800000000000011</v>
      </c>
      <c r="G3525" s="270">
        <v>191294457</v>
      </c>
    </row>
    <row r="3526" spans="1:7" x14ac:dyDescent="0.25">
      <c r="A3526" s="257">
        <v>3530</v>
      </c>
      <c r="B3526" s="267">
        <v>3525</v>
      </c>
      <c r="C3526" s="268" t="s">
        <v>1057</v>
      </c>
      <c r="D3526" s="269">
        <v>42703</v>
      </c>
      <c r="E3526" s="270" t="s">
        <v>3092</v>
      </c>
      <c r="F3526" s="384">
        <v>23.5</v>
      </c>
      <c r="G3526" s="270">
        <v>100779791</v>
      </c>
    </row>
    <row r="3527" spans="1:7" x14ac:dyDescent="0.25">
      <c r="A3527" s="257">
        <v>3531</v>
      </c>
      <c r="B3527" s="267">
        <v>3526</v>
      </c>
      <c r="C3527" s="268" t="s">
        <v>1806</v>
      </c>
      <c r="D3527" s="269">
        <v>42703</v>
      </c>
      <c r="E3527" s="270" t="s">
        <v>2370</v>
      </c>
      <c r="F3527" s="384">
        <v>56.8</v>
      </c>
      <c r="G3527" s="270">
        <v>100315382</v>
      </c>
    </row>
    <row r="3528" spans="1:7" x14ac:dyDescent="0.25">
      <c r="A3528" s="257">
        <v>3532</v>
      </c>
      <c r="B3528" s="267">
        <v>3527</v>
      </c>
      <c r="C3528" s="268" t="s">
        <v>1911</v>
      </c>
      <c r="D3528" s="269">
        <v>42703</v>
      </c>
      <c r="E3528" s="270" t="s">
        <v>2818</v>
      </c>
      <c r="F3528" s="384">
        <v>103.2</v>
      </c>
      <c r="G3528" s="270">
        <v>192039296</v>
      </c>
    </row>
    <row r="3529" spans="1:7" x14ac:dyDescent="0.25">
      <c r="A3529" s="257">
        <v>3533</v>
      </c>
      <c r="B3529" s="267">
        <v>3528</v>
      </c>
      <c r="C3529" s="268" t="s">
        <v>3269</v>
      </c>
      <c r="D3529" s="269">
        <v>42703</v>
      </c>
      <c r="E3529" s="270" t="s">
        <v>4</v>
      </c>
      <c r="F3529" s="384">
        <v>33.200000000000003</v>
      </c>
      <c r="G3529" s="270">
        <v>690836601</v>
      </c>
    </row>
    <row r="3530" spans="1:7" x14ac:dyDescent="0.25">
      <c r="A3530" s="257">
        <v>3534</v>
      </c>
      <c r="B3530" s="267">
        <v>3529</v>
      </c>
      <c r="C3530" s="268" t="s">
        <v>334</v>
      </c>
      <c r="D3530" s="269">
        <v>42703</v>
      </c>
      <c r="E3530" s="270" t="s">
        <v>1115</v>
      </c>
      <c r="F3530" s="384">
        <v>18.399999999999999</v>
      </c>
      <c r="G3530" s="270">
        <v>101392173</v>
      </c>
    </row>
    <row r="3531" spans="1:7" x14ac:dyDescent="0.25">
      <c r="A3531" s="257">
        <v>3535</v>
      </c>
      <c r="B3531" s="267">
        <v>3530</v>
      </c>
      <c r="C3531" s="268" t="s">
        <v>2380</v>
      </c>
      <c r="D3531" s="269">
        <v>42706</v>
      </c>
      <c r="E3531" s="270" t="s">
        <v>2379</v>
      </c>
      <c r="F3531" s="384">
        <v>50.4</v>
      </c>
      <c r="G3531" s="270">
        <v>190664298</v>
      </c>
    </row>
    <row r="3532" spans="1:7" x14ac:dyDescent="0.25">
      <c r="A3532" s="257">
        <v>3536</v>
      </c>
      <c r="B3532" s="267">
        <v>3531</v>
      </c>
      <c r="C3532" s="268" t="s">
        <v>2127</v>
      </c>
      <c r="D3532" s="269">
        <v>42706</v>
      </c>
      <c r="E3532" s="270" t="s">
        <v>2126</v>
      </c>
      <c r="F3532" s="384">
        <v>51.6</v>
      </c>
      <c r="G3532" s="270">
        <v>691585740</v>
      </c>
    </row>
    <row r="3533" spans="1:7" x14ac:dyDescent="0.25">
      <c r="A3533" s="257">
        <v>3537</v>
      </c>
      <c r="B3533" s="267">
        <v>3532</v>
      </c>
      <c r="C3533" s="268" t="s">
        <v>2129</v>
      </c>
      <c r="D3533" s="269">
        <v>42710</v>
      </c>
      <c r="E3533" s="270" t="s">
        <v>2128</v>
      </c>
      <c r="F3533" s="384">
        <v>3.7</v>
      </c>
      <c r="G3533" s="270">
        <v>101497699</v>
      </c>
    </row>
    <row r="3534" spans="1:7" x14ac:dyDescent="0.25">
      <c r="A3534" s="257">
        <v>3538</v>
      </c>
      <c r="B3534" s="267">
        <v>3533</v>
      </c>
      <c r="C3534" s="268" t="s">
        <v>56</v>
      </c>
      <c r="D3534" s="269">
        <v>42710</v>
      </c>
      <c r="E3534" s="270" t="s">
        <v>2141</v>
      </c>
      <c r="F3534" s="384">
        <v>28.4</v>
      </c>
      <c r="G3534" s="270">
        <v>100824385</v>
      </c>
    </row>
    <row r="3535" spans="1:7" x14ac:dyDescent="0.25">
      <c r="A3535" s="257">
        <v>3539</v>
      </c>
      <c r="B3535" s="267">
        <v>3534</v>
      </c>
      <c r="C3535" s="268" t="s">
        <v>47</v>
      </c>
      <c r="D3535" s="269">
        <v>42710</v>
      </c>
      <c r="E3535" s="270" t="s">
        <v>3745</v>
      </c>
      <c r="F3535" s="384">
        <v>23.5</v>
      </c>
      <c r="G3535" s="270">
        <v>191604529</v>
      </c>
    </row>
    <row r="3536" spans="1:7" x14ac:dyDescent="0.25">
      <c r="A3536" s="257">
        <v>3540</v>
      </c>
      <c r="B3536" s="267">
        <v>3535</v>
      </c>
      <c r="C3536" s="268" t="s">
        <v>2963</v>
      </c>
      <c r="D3536" s="269">
        <v>42710</v>
      </c>
      <c r="E3536" s="270" t="s">
        <v>220</v>
      </c>
      <c r="F3536" s="384">
        <v>241.4</v>
      </c>
      <c r="G3536" s="270">
        <v>100230496</v>
      </c>
    </row>
    <row r="3537" spans="1:7" x14ac:dyDescent="0.25">
      <c r="A3537" s="257">
        <v>3541</v>
      </c>
      <c r="B3537" s="267">
        <v>3536</v>
      </c>
      <c r="C3537" s="268" t="s">
        <v>2090</v>
      </c>
      <c r="D3537" s="269">
        <v>42710</v>
      </c>
      <c r="E3537" s="270" t="s">
        <v>2089</v>
      </c>
      <c r="F3537" s="384">
        <v>14.8</v>
      </c>
      <c r="G3537" s="270">
        <v>191487455</v>
      </c>
    </row>
    <row r="3538" spans="1:7" x14ac:dyDescent="0.25">
      <c r="A3538" s="257">
        <v>3542</v>
      </c>
      <c r="B3538" s="267">
        <v>3537</v>
      </c>
      <c r="C3538" s="268" t="s">
        <v>2131</v>
      </c>
      <c r="D3538" s="269">
        <v>42710</v>
      </c>
      <c r="E3538" s="270" t="s">
        <v>2130</v>
      </c>
      <c r="F3538" s="384">
        <v>56.8</v>
      </c>
      <c r="G3538" s="270">
        <v>690429862</v>
      </c>
    </row>
    <row r="3539" spans="1:7" x14ac:dyDescent="0.25">
      <c r="A3539" s="257">
        <v>3543</v>
      </c>
      <c r="B3539" s="267">
        <v>3538</v>
      </c>
      <c r="C3539" s="268" t="s">
        <v>2751</v>
      </c>
      <c r="D3539" s="269">
        <v>42711</v>
      </c>
      <c r="E3539" s="270" t="s">
        <v>449</v>
      </c>
      <c r="F3539" s="384">
        <v>36.799999999999997</v>
      </c>
      <c r="G3539" s="270">
        <v>100025732</v>
      </c>
    </row>
    <row r="3540" spans="1:7" x14ac:dyDescent="0.25">
      <c r="A3540" s="257">
        <v>3544</v>
      </c>
      <c r="B3540" s="267">
        <v>3539</v>
      </c>
      <c r="C3540" s="268" t="s">
        <v>433</v>
      </c>
      <c r="D3540" s="269">
        <v>42711</v>
      </c>
      <c r="E3540" s="270" t="s">
        <v>2132</v>
      </c>
      <c r="F3540" s="384">
        <v>103.2</v>
      </c>
      <c r="G3540" s="270">
        <v>10042907</v>
      </c>
    </row>
    <row r="3541" spans="1:7" x14ac:dyDescent="0.25">
      <c r="A3541" s="257">
        <v>3545</v>
      </c>
      <c r="B3541" s="267">
        <v>3540</v>
      </c>
      <c r="C3541" s="268" t="s">
        <v>1117</v>
      </c>
      <c r="D3541" s="269">
        <v>42711</v>
      </c>
      <c r="E3541" s="270" t="s">
        <v>2034</v>
      </c>
      <c r="F3541" s="384">
        <v>19</v>
      </c>
      <c r="G3541" s="270">
        <v>101477759</v>
      </c>
    </row>
    <row r="3542" spans="1:7" x14ac:dyDescent="0.25">
      <c r="A3542" s="257">
        <v>3546</v>
      </c>
      <c r="B3542" s="267">
        <v>3541</v>
      </c>
      <c r="C3542" s="268" t="s">
        <v>1659</v>
      </c>
      <c r="D3542" s="269">
        <v>42711</v>
      </c>
      <c r="E3542" s="270" t="s">
        <v>344</v>
      </c>
      <c r="F3542" s="384">
        <v>28.4</v>
      </c>
      <c r="G3542" s="270">
        <v>601062727</v>
      </c>
    </row>
    <row r="3543" spans="1:7" x14ac:dyDescent="0.25">
      <c r="A3543" s="257">
        <v>3547</v>
      </c>
      <c r="B3543" s="267">
        <v>3542</v>
      </c>
      <c r="C3543" s="268" t="s">
        <v>1941</v>
      </c>
      <c r="D3543" s="269">
        <v>42711</v>
      </c>
      <c r="E3543" s="270" t="s">
        <v>2871</v>
      </c>
      <c r="F3543" s="384">
        <v>232.40000000000003</v>
      </c>
      <c r="G3543" s="270">
        <v>101015738</v>
      </c>
    </row>
    <row r="3544" spans="1:7" x14ac:dyDescent="0.25">
      <c r="A3544" s="257">
        <v>3548</v>
      </c>
      <c r="B3544" s="267">
        <v>3543</v>
      </c>
      <c r="C3544" s="268" t="s">
        <v>1124</v>
      </c>
      <c r="D3544" s="269">
        <v>42711</v>
      </c>
      <c r="E3544" s="270" t="s">
        <v>226</v>
      </c>
      <c r="F3544" s="384">
        <v>94</v>
      </c>
      <c r="G3544" s="270">
        <v>190654467</v>
      </c>
    </row>
    <row r="3545" spans="1:7" x14ac:dyDescent="0.25">
      <c r="A3545" s="257">
        <v>3549</v>
      </c>
      <c r="B3545" s="267">
        <v>3544</v>
      </c>
      <c r="C3545" s="268" t="s">
        <v>3513</v>
      </c>
      <c r="D3545" s="269">
        <v>42711</v>
      </c>
      <c r="E3545" s="270" t="s">
        <v>824</v>
      </c>
      <c r="F3545" s="384">
        <v>51.6</v>
      </c>
      <c r="G3545" s="270">
        <v>100154581</v>
      </c>
    </row>
    <row r="3546" spans="1:7" x14ac:dyDescent="0.25">
      <c r="A3546" s="257">
        <v>3550</v>
      </c>
      <c r="B3546" s="267">
        <v>3545</v>
      </c>
      <c r="C3546" s="268" t="s">
        <v>1528</v>
      </c>
      <c r="D3546" s="269">
        <v>42718</v>
      </c>
      <c r="E3546" s="270" t="s">
        <v>228</v>
      </c>
      <c r="F3546" s="384">
        <v>19</v>
      </c>
      <c r="G3546" s="270">
        <v>100122726</v>
      </c>
    </row>
    <row r="3547" spans="1:7" x14ac:dyDescent="0.25">
      <c r="A3547" s="257">
        <v>3551</v>
      </c>
      <c r="B3547" s="267">
        <v>3546</v>
      </c>
      <c r="C3547" s="268" t="s">
        <v>2829</v>
      </c>
      <c r="D3547" s="269">
        <v>42718</v>
      </c>
      <c r="E3547" s="270" t="s">
        <v>70</v>
      </c>
      <c r="F3547" s="384">
        <v>23.5</v>
      </c>
      <c r="G3547" s="270">
        <v>600048566</v>
      </c>
    </row>
    <row r="3548" spans="1:7" x14ac:dyDescent="0.25">
      <c r="A3548" s="257">
        <v>3552</v>
      </c>
      <c r="B3548" s="267">
        <v>3547</v>
      </c>
      <c r="C3548" s="268" t="s">
        <v>2829</v>
      </c>
      <c r="D3548" s="269">
        <v>42718</v>
      </c>
      <c r="E3548" s="270" t="s">
        <v>70</v>
      </c>
      <c r="F3548" s="384">
        <v>33.200000000000003</v>
      </c>
      <c r="G3548" s="270">
        <v>600048566</v>
      </c>
    </row>
    <row r="3549" spans="1:7" x14ac:dyDescent="0.25">
      <c r="A3549" s="257">
        <v>3553</v>
      </c>
      <c r="B3549" s="267">
        <v>3548</v>
      </c>
      <c r="C3549" s="268" t="s">
        <v>2134</v>
      </c>
      <c r="D3549" s="269">
        <v>42718</v>
      </c>
      <c r="E3549" s="270" t="s">
        <v>2133</v>
      </c>
      <c r="F3549" s="384">
        <v>23.5</v>
      </c>
      <c r="G3549" s="270">
        <v>190637924</v>
      </c>
    </row>
    <row r="3550" spans="1:7" x14ac:dyDescent="0.25">
      <c r="A3550" s="257">
        <v>3554</v>
      </c>
      <c r="B3550" s="267">
        <v>3549</v>
      </c>
      <c r="C3550" s="268" t="s">
        <v>3837</v>
      </c>
      <c r="D3550" s="269">
        <v>42718</v>
      </c>
      <c r="E3550" s="270" t="s">
        <v>4228</v>
      </c>
      <c r="F3550" s="384">
        <v>38</v>
      </c>
      <c r="G3550" s="270">
        <v>191683833</v>
      </c>
    </row>
    <row r="3551" spans="1:7" x14ac:dyDescent="0.25">
      <c r="A3551" s="257">
        <v>3555</v>
      </c>
      <c r="B3551" s="267">
        <v>3550</v>
      </c>
      <c r="C3551" s="268" t="s">
        <v>1117</v>
      </c>
      <c r="D3551" s="269">
        <v>42718</v>
      </c>
      <c r="E3551" s="270" t="s">
        <v>2034</v>
      </c>
      <c r="F3551" s="384">
        <v>11.7</v>
      </c>
      <c r="G3551" s="270">
        <v>101477759</v>
      </c>
    </row>
    <row r="3552" spans="1:7" x14ac:dyDescent="0.25">
      <c r="A3552" s="257">
        <v>3556</v>
      </c>
      <c r="B3552" s="267">
        <v>3551</v>
      </c>
      <c r="C3552" s="268" t="s">
        <v>1800</v>
      </c>
      <c r="D3552" s="269">
        <v>42718</v>
      </c>
      <c r="E3552" s="270" t="s">
        <v>3510</v>
      </c>
      <c r="F3552" s="384">
        <v>23.5</v>
      </c>
      <c r="G3552" s="270">
        <v>100978847</v>
      </c>
    </row>
    <row r="3553" spans="1:7" x14ac:dyDescent="0.25">
      <c r="A3553" s="257">
        <v>3557</v>
      </c>
      <c r="B3553" s="267">
        <v>3552</v>
      </c>
      <c r="C3553" s="268" t="s">
        <v>3612</v>
      </c>
      <c r="D3553" s="269">
        <v>42718</v>
      </c>
      <c r="E3553" s="270" t="s">
        <v>2710</v>
      </c>
      <c r="F3553" s="384">
        <v>3.7</v>
      </c>
      <c r="G3553" s="270">
        <v>690643552</v>
      </c>
    </row>
    <row r="3554" spans="1:7" x14ac:dyDescent="0.25">
      <c r="A3554" s="257">
        <v>3558</v>
      </c>
      <c r="B3554" s="267">
        <v>3553</v>
      </c>
      <c r="C3554" s="268" t="s">
        <v>307</v>
      </c>
      <c r="D3554" s="269">
        <v>42718</v>
      </c>
      <c r="E3554" s="270" t="s">
        <v>2094</v>
      </c>
      <c r="F3554" s="384">
        <v>25.2</v>
      </c>
      <c r="G3554" s="270">
        <v>691406576</v>
      </c>
    </row>
    <row r="3555" spans="1:7" x14ac:dyDescent="0.25">
      <c r="A3555" s="257">
        <v>3559</v>
      </c>
      <c r="B3555" s="267">
        <v>3554</v>
      </c>
      <c r="C3555" s="268" t="s">
        <v>307</v>
      </c>
      <c r="D3555" s="269">
        <v>42718</v>
      </c>
      <c r="E3555" s="270" t="s">
        <v>2094</v>
      </c>
      <c r="F3555" s="384">
        <v>35.6</v>
      </c>
      <c r="G3555" s="270">
        <v>691406576</v>
      </c>
    </row>
    <row r="3556" spans="1:7" x14ac:dyDescent="0.25">
      <c r="A3556" s="257">
        <v>3560</v>
      </c>
      <c r="B3556" s="267">
        <v>3555</v>
      </c>
      <c r="C3556" s="268" t="s">
        <v>2444</v>
      </c>
      <c r="D3556" s="269">
        <v>42719</v>
      </c>
      <c r="E3556" s="270" t="s">
        <v>2594</v>
      </c>
      <c r="F3556" s="384">
        <v>47.4</v>
      </c>
      <c r="G3556" s="270">
        <v>100008077</v>
      </c>
    </row>
    <row r="3557" spans="1:7" x14ac:dyDescent="0.25">
      <c r="A3557" s="257">
        <v>3561</v>
      </c>
      <c r="B3557" s="267">
        <v>3556</v>
      </c>
      <c r="C3557" s="268" t="s">
        <v>246</v>
      </c>
      <c r="D3557" s="269">
        <v>42719</v>
      </c>
      <c r="E3557" s="270" t="s">
        <v>1796</v>
      </c>
      <c r="F3557" s="384">
        <v>33.200000000000003</v>
      </c>
      <c r="G3557" s="270">
        <v>100872922</v>
      </c>
    </row>
    <row r="3558" spans="1:7" x14ac:dyDescent="0.25">
      <c r="A3558" s="257">
        <v>3562</v>
      </c>
      <c r="B3558" s="267">
        <v>3557</v>
      </c>
      <c r="C3558" s="268" t="s">
        <v>886</v>
      </c>
      <c r="D3558" s="269">
        <v>42719</v>
      </c>
      <c r="E3558" s="270" t="s">
        <v>1607</v>
      </c>
      <c r="F3558" s="384">
        <v>18.399999999999999</v>
      </c>
      <c r="G3558" s="270">
        <v>690643672</v>
      </c>
    </row>
    <row r="3559" spans="1:7" x14ac:dyDescent="0.25">
      <c r="A3559" s="257">
        <v>3563</v>
      </c>
      <c r="B3559" s="267">
        <v>3558</v>
      </c>
      <c r="C3559" s="268" t="s">
        <v>2136</v>
      </c>
      <c r="D3559" s="269">
        <v>42719</v>
      </c>
      <c r="E3559" s="270" t="s">
        <v>2135</v>
      </c>
      <c r="F3559" s="384">
        <v>19.5</v>
      </c>
      <c r="G3559" s="270">
        <v>690301890</v>
      </c>
    </row>
    <row r="3560" spans="1:7" x14ac:dyDescent="0.25">
      <c r="A3560" s="257">
        <v>3564</v>
      </c>
      <c r="B3560" s="267">
        <v>3559</v>
      </c>
      <c r="C3560" s="268" t="s">
        <v>3852</v>
      </c>
      <c r="D3560" s="269">
        <v>42719</v>
      </c>
      <c r="E3560" s="270" t="s">
        <v>187</v>
      </c>
      <c r="F3560" s="384">
        <v>21</v>
      </c>
      <c r="G3560" s="270">
        <v>191112163</v>
      </c>
    </row>
    <row r="3561" spans="1:7" x14ac:dyDescent="0.25">
      <c r="A3561" s="257">
        <v>3565</v>
      </c>
      <c r="B3561" s="267">
        <v>3560</v>
      </c>
      <c r="C3561" s="268" t="s">
        <v>2138</v>
      </c>
      <c r="D3561" s="269">
        <v>42719</v>
      </c>
      <c r="E3561" s="270" t="s">
        <v>2137</v>
      </c>
      <c r="F3561" s="384">
        <v>23.5</v>
      </c>
      <c r="G3561" s="270">
        <v>800009527</v>
      </c>
    </row>
    <row r="3562" spans="1:7" x14ac:dyDescent="0.25">
      <c r="A3562" s="257">
        <v>3566</v>
      </c>
      <c r="B3562" s="267">
        <v>3561</v>
      </c>
      <c r="C3562" s="268" t="s">
        <v>246</v>
      </c>
      <c r="D3562" s="269">
        <v>42723</v>
      </c>
      <c r="E3562" s="270" t="s">
        <v>1796</v>
      </c>
      <c r="F3562" s="384">
        <v>18.399999999999999</v>
      </c>
      <c r="G3562" s="270">
        <v>100872922</v>
      </c>
    </row>
    <row r="3563" spans="1:7" x14ac:dyDescent="0.25">
      <c r="A3563" s="257">
        <v>3567</v>
      </c>
      <c r="B3563" s="267">
        <v>3562</v>
      </c>
      <c r="C3563" s="268" t="s">
        <v>4234</v>
      </c>
      <c r="D3563" s="269">
        <v>42723</v>
      </c>
      <c r="E3563" s="270" t="s">
        <v>340</v>
      </c>
      <c r="F3563" s="384">
        <v>18.399999999999999</v>
      </c>
      <c r="G3563" s="270">
        <v>190444477</v>
      </c>
    </row>
    <row r="3564" spans="1:7" x14ac:dyDescent="0.25">
      <c r="A3564" s="257">
        <v>3568</v>
      </c>
      <c r="B3564" s="267">
        <v>3563</v>
      </c>
      <c r="C3564" s="268" t="s">
        <v>3544</v>
      </c>
      <c r="D3564" s="269">
        <v>42723</v>
      </c>
      <c r="E3564" s="270" t="s">
        <v>2707</v>
      </c>
      <c r="F3564" s="384">
        <v>23.5</v>
      </c>
      <c r="G3564" s="270">
        <v>100667855</v>
      </c>
    </row>
    <row r="3565" spans="1:7" x14ac:dyDescent="0.25">
      <c r="A3565" s="257">
        <v>3569</v>
      </c>
      <c r="B3565" s="267">
        <v>3564</v>
      </c>
      <c r="C3565" s="268" t="s">
        <v>2828</v>
      </c>
      <c r="D3565" s="269">
        <v>42723</v>
      </c>
      <c r="E3565" s="270" t="s">
        <v>892</v>
      </c>
      <c r="F3565" s="384">
        <v>70.5</v>
      </c>
      <c r="G3565" s="270">
        <v>100390954</v>
      </c>
    </row>
    <row r="3566" spans="1:7" x14ac:dyDescent="0.25">
      <c r="A3566" s="257">
        <v>3570</v>
      </c>
      <c r="B3566" s="267">
        <v>3565</v>
      </c>
      <c r="C3566" s="268" t="s">
        <v>1636</v>
      </c>
      <c r="D3566" s="269">
        <v>42723</v>
      </c>
      <c r="E3566" s="270" t="s">
        <v>3743</v>
      </c>
      <c r="F3566" s="384">
        <v>23.5</v>
      </c>
      <c r="G3566" s="270">
        <v>690026172</v>
      </c>
    </row>
    <row r="3567" spans="1:7" x14ac:dyDescent="0.25">
      <c r="A3567" s="257">
        <v>3571</v>
      </c>
      <c r="B3567" s="267">
        <v>3566</v>
      </c>
      <c r="C3567" s="268" t="s">
        <v>2140</v>
      </c>
      <c r="D3567" s="269">
        <v>42723</v>
      </c>
      <c r="E3567" s="270" t="s">
        <v>2139</v>
      </c>
      <c r="F3567" s="384">
        <v>51.6</v>
      </c>
      <c r="G3567" s="270">
        <v>590086401</v>
      </c>
    </row>
    <row r="3568" spans="1:7" x14ac:dyDescent="0.25">
      <c r="A3568" s="257">
        <v>3572</v>
      </c>
      <c r="B3568" s="267">
        <v>3567</v>
      </c>
      <c r="C3568" s="268" t="s">
        <v>3111</v>
      </c>
      <c r="D3568" s="269">
        <v>42723</v>
      </c>
      <c r="E3568" s="270" t="s">
        <v>1948</v>
      </c>
      <c r="F3568" s="384">
        <v>43</v>
      </c>
      <c r="G3568" s="270">
        <v>808000755</v>
      </c>
    </row>
    <row r="3569" spans="1:7" x14ac:dyDescent="0.25">
      <c r="A3569" s="257">
        <v>3573</v>
      </c>
      <c r="B3569" s="267">
        <v>3568</v>
      </c>
      <c r="C3569" s="268" t="s">
        <v>1800</v>
      </c>
      <c r="D3569" s="269">
        <v>42726</v>
      </c>
      <c r="E3569" s="270" t="s">
        <v>3510</v>
      </c>
      <c r="F3569" s="384">
        <v>11.100000000000001</v>
      </c>
      <c r="G3569" s="270">
        <v>100978847</v>
      </c>
    </row>
    <row r="3570" spans="1:7" x14ac:dyDescent="0.25">
      <c r="A3570" s="257">
        <v>3574</v>
      </c>
      <c r="B3570" s="267">
        <v>3569</v>
      </c>
      <c r="C3570" s="268" t="s">
        <v>494</v>
      </c>
      <c r="D3570" s="269">
        <v>42726</v>
      </c>
      <c r="E3570" s="270" t="s">
        <v>339</v>
      </c>
      <c r="F3570" s="384">
        <v>7.4</v>
      </c>
      <c r="G3570" s="270">
        <v>690629013</v>
      </c>
    </row>
    <row r="3571" spans="1:7" x14ac:dyDescent="0.25">
      <c r="A3571" s="257">
        <v>3575</v>
      </c>
      <c r="B3571" s="267">
        <v>3570</v>
      </c>
      <c r="C3571" s="268" t="s">
        <v>371</v>
      </c>
      <c r="D3571" s="269">
        <v>42726</v>
      </c>
      <c r="E3571" s="270" t="s">
        <v>370</v>
      </c>
      <c r="F3571" s="384">
        <v>33.200000000000003</v>
      </c>
      <c r="G3571" s="270">
        <v>101293399</v>
      </c>
    </row>
    <row r="3572" spans="1:7" x14ac:dyDescent="0.25">
      <c r="A3572" s="257">
        <v>3576</v>
      </c>
      <c r="B3572" s="267">
        <v>3571</v>
      </c>
      <c r="C3572" s="268" t="s">
        <v>2746</v>
      </c>
      <c r="D3572" s="269">
        <v>42726</v>
      </c>
      <c r="E3572" s="270" t="s">
        <v>2745</v>
      </c>
      <c r="F3572" s="384">
        <v>23.5</v>
      </c>
      <c r="G3572" s="270">
        <v>691359594</v>
      </c>
    </row>
    <row r="3573" spans="1:7" x14ac:dyDescent="0.25">
      <c r="A3573" s="257">
        <v>3577</v>
      </c>
      <c r="B3573" s="267">
        <v>3572</v>
      </c>
      <c r="C3573" s="268" t="s">
        <v>823</v>
      </c>
      <c r="D3573" s="269">
        <v>42733</v>
      </c>
      <c r="E3573" s="270" t="s">
        <v>3600</v>
      </c>
      <c r="F3573" s="384">
        <v>33.200000000000003</v>
      </c>
      <c r="G3573" s="270">
        <v>690628627</v>
      </c>
    </row>
    <row r="3574" spans="1:7" x14ac:dyDescent="0.25">
      <c r="A3574" s="257">
        <v>3578</v>
      </c>
      <c r="B3574" s="267">
        <v>3573</v>
      </c>
      <c r="C3574" s="268" t="s">
        <v>44</v>
      </c>
      <c r="D3574" s="269">
        <v>42733</v>
      </c>
      <c r="E3574" s="270" t="s">
        <v>43</v>
      </c>
      <c r="F3574" s="384">
        <v>28.4</v>
      </c>
      <c r="G3574" s="270">
        <v>192498037</v>
      </c>
    </row>
    <row r="3575" spans="1:7" x14ac:dyDescent="0.25">
      <c r="A3575" s="257">
        <v>3579</v>
      </c>
      <c r="B3575" s="267">
        <v>3574</v>
      </c>
      <c r="C3575" s="268" t="s">
        <v>128</v>
      </c>
      <c r="D3575" s="269">
        <v>42733</v>
      </c>
      <c r="E3575" s="270" t="s">
        <v>3259</v>
      </c>
      <c r="F3575" s="384">
        <v>28.4</v>
      </c>
      <c r="G3575" s="270">
        <v>190904186</v>
      </c>
    </row>
    <row r="3576" spans="1:7" x14ac:dyDescent="0.25">
      <c r="A3576" s="257">
        <v>3580</v>
      </c>
      <c r="B3576" s="267">
        <v>3575</v>
      </c>
      <c r="C3576" s="268" t="s">
        <v>823</v>
      </c>
      <c r="D3576" s="269">
        <v>42733</v>
      </c>
      <c r="E3576" s="270" t="s">
        <v>3600</v>
      </c>
      <c r="F3576" s="384">
        <v>18.399999999999999</v>
      </c>
      <c r="G3576" s="270">
        <v>690628627</v>
      </c>
    </row>
    <row r="3577" spans="1:7" x14ac:dyDescent="0.25">
      <c r="A3577" s="257">
        <v>3581</v>
      </c>
      <c r="B3577" s="267">
        <v>3576</v>
      </c>
      <c r="C3577" s="268" t="s">
        <v>46</v>
      </c>
      <c r="D3577" s="269">
        <v>42733</v>
      </c>
      <c r="E3577" s="270" t="s">
        <v>45</v>
      </c>
      <c r="F3577" s="384">
        <v>33.200000000000003</v>
      </c>
      <c r="G3577" s="270">
        <v>690716549</v>
      </c>
    </row>
    <row r="3578" spans="1:7" x14ac:dyDescent="0.25">
      <c r="A3578" s="257">
        <v>3582</v>
      </c>
      <c r="B3578" s="267">
        <v>3577</v>
      </c>
      <c r="C3578" s="268" t="s">
        <v>1928</v>
      </c>
      <c r="D3578" s="269">
        <v>42733</v>
      </c>
      <c r="E3578" s="270" t="s">
        <v>2801</v>
      </c>
      <c r="F3578" s="384">
        <v>99.600000000000009</v>
      </c>
      <c r="G3578" s="270">
        <v>190334745</v>
      </c>
    </row>
    <row r="3579" spans="1:7" x14ac:dyDescent="0.25">
      <c r="A3579" s="257">
        <v>3583</v>
      </c>
      <c r="B3579" s="267">
        <v>3578</v>
      </c>
      <c r="C3579" s="268" t="s">
        <v>42</v>
      </c>
      <c r="D3579" s="269">
        <v>42734</v>
      </c>
      <c r="E3579" s="270" t="s">
        <v>41</v>
      </c>
      <c r="F3579" s="384">
        <v>33.200000000000003</v>
      </c>
      <c r="G3579" s="270">
        <v>101143325</v>
      </c>
    </row>
    <row r="3580" spans="1:7" x14ac:dyDescent="0.25">
      <c r="A3580" s="257">
        <v>3584</v>
      </c>
      <c r="B3580" s="267">
        <v>3579</v>
      </c>
      <c r="C3580" s="268" t="s">
        <v>40</v>
      </c>
      <c r="D3580" s="269">
        <v>42734</v>
      </c>
      <c r="E3580" s="270" t="s">
        <v>39</v>
      </c>
      <c r="F3580" s="384">
        <v>51.6</v>
      </c>
      <c r="G3580" s="270">
        <v>691428702</v>
      </c>
    </row>
    <row r="3581" spans="1:7" x14ac:dyDescent="0.25">
      <c r="A3581" s="257">
        <v>3585</v>
      </c>
      <c r="B3581" s="267">
        <v>3580</v>
      </c>
      <c r="C3581" s="268" t="s">
        <v>1655</v>
      </c>
      <c r="D3581" s="269">
        <v>42734</v>
      </c>
      <c r="E3581" s="270" t="s">
        <v>3838</v>
      </c>
      <c r="F3581" s="384">
        <v>3.7</v>
      </c>
      <c r="G3581" s="270">
        <v>191075936</v>
      </c>
    </row>
    <row r="3582" spans="1:7" x14ac:dyDescent="0.25">
      <c r="A3582" s="257">
        <v>3586</v>
      </c>
      <c r="B3582" s="267">
        <v>3581</v>
      </c>
      <c r="C3582" s="268" t="s">
        <v>3513</v>
      </c>
      <c r="D3582" s="269">
        <v>42737</v>
      </c>
      <c r="E3582" s="270" t="s">
        <v>824</v>
      </c>
      <c r="F3582" s="384">
        <v>51.6</v>
      </c>
      <c r="G3582" s="270">
        <v>100154581</v>
      </c>
    </row>
    <row r="3583" spans="1:7" x14ac:dyDescent="0.25">
      <c r="A3583" s="257">
        <v>3587</v>
      </c>
      <c r="B3583" s="267">
        <v>3582</v>
      </c>
      <c r="C3583" s="268" t="s">
        <v>54</v>
      </c>
      <c r="D3583" s="269">
        <v>42738</v>
      </c>
      <c r="E3583" s="270" t="s">
        <v>2801</v>
      </c>
      <c r="F3583" s="384">
        <v>33.200000000000003</v>
      </c>
      <c r="G3583" s="270">
        <v>190334745</v>
      </c>
    </row>
    <row r="3584" spans="1:7" x14ac:dyDescent="0.25">
      <c r="A3584" s="257">
        <v>3588</v>
      </c>
      <c r="B3584" s="267">
        <v>3583</v>
      </c>
      <c r="C3584" s="268" t="s">
        <v>2714</v>
      </c>
      <c r="D3584" s="269">
        <v>42738</v>
      </c>
      <c r="E3584" s="270" t="s">
        <v>2717</v>
      </c>
      <c r="F3584" s="384">
        <v>28.4</v>
      </c>
      <c r="G3584" s="270">
        <v>101538513</v>
      </c>
    </row>
    <row r="3585" spans="1:7" x14ac:dyDescent="0.25">
      <c r="A3585" s="257">
        <v>3589</v>
      </c>
      <c r="B3585" s="267">
        <v>3584</v>
      </c>
      <c r="C3585" s="268" t="s">
        <v>159</v>
      </c>
      <c r="D3585" s="269">
        <v>42738</v>
      </c>
      <c r="E3585" s="270" t="s">
        <v>2897</v>
      </c>
      <c r="F3585" s="384">
        <v>7.4</v>
      </c>
      <c r="G3585" s="270">
        <v>100154581</v>
      </c>
    </row>
    <row r="3586" spans="1:7" x14ac:dyDescent="0.25">
      <c r="A3586" s="257">
        <v>3590</v>
      </c>
      <c r="B3586" s="267">
        <v>3585</v>
      </c>
      <c r="C3586" s="268" t="s">
        <v>3133</v>
      </c>
      <c r="D3586" s="269">
        <v>42738</v>
      </c>
      <c r="E3586" s="270" t="s">
        <v>1948</v>
      </c>
      <c r="F3586" s="384">
        <v>19</v>
      </c>
      <c r="G3586" s="270">
        <v>808000755</v>
      </c>
    </row>
    <row r="3587" spans="1:7" x14ac:dyDescent="0.25">
      <c r="A3587" s="257">
        <v>3591</v>
      </c>
      <c r="B3587" s="267">
        <v>3586</v>
      </c>
      <c r="C3587" s="268" t="s">
        <v>3312</v>
      </c>
      <c r="D3587" s="269">
        <v>42738</v>
      </c>
      <c r="E3587" s="270" t="s">
        <v>2925</v>
      </c>
      <c r="F3587" s="384">
        <v>23.5</v>
      </c>
      <c r="G3587" s="270">
        <v>100098867</v>
      </c>
    </row>
    <row r="3588" spans="1:7" x14ac:dyDescent="0.25">
      <c r="A3588" s="257">
        <v>3592</v>
      </c>
      <c r="B3588" s="267">
        <v>3587</v>
      </c>
      <c r="C3588" s="268" t="s">
        <v>897</v>
      </c>
      <c r="D3588" s="269">
        <v>42738</v>
      </c>
      <c r="E3588" s="270" t="s">
        <v>493</v>
      </c>
      <c r="F3588" s="384">
        <v>36.799999999999997</v>
      </c>
      <c r="G3588" s="270">
        <v>191727606</v>
      </c>
    </row>
    <row r="3589" spans="1:7" x14ac:dyDescent="0.25">
      <c r="A3589" s="257">
        <v>3593</v>
      </c>
      <c r="B3589" s="267">
        <v>3588</v>
      </c>
      <c r="C3589" s="268" t="s">
        <v>900</v>
      </c>
      <c r="D3589" s="269">
        <v>42741</v>
      </c>
      <c r="E3589" s="270" t="s">
        <v>222</v>
      </c>
      <c r="F3589" s="384">
        <v>98.6</v>
      </c>
      <c r="G3589" s="270">
        <v>192468761</v>
      </c>
    </row>
    <row r="3590" spans="1:7" x14ac:dyDescent="0.25">
      <c r="A3590" s="257">
        <v>3594</v>
      </c>
      <c r="B3590" s="267">
        <v>3589</v>
      </c>
      <c r="C3590" s="268" t="s">
        <v>3533</v>
      </c>
      <c r="D3590" s="269">
        <v>42741</v>
      </c>
      <c r="E3590" s="270" t="s">
        <v>3635</v>
      </c>
      <c r="F3590" s="384">
        <v>468.8</v>
      </c>
      <c r="G3590" s="270">
        <v>100059044</v>
      </c>
    </row>
    <row r="3591" spans="1:7" x14ac:dyDescent="0.25">
      <c r="A3591" s="257">
        <v>3595</v>
      </c>
      <c r="B3591" s="267">
        <v>3590</v>
      </c>
      <c r="C3591" s="268" t="s">
        <v>1606</v>
      </c>
      <c r="D3591" s="269">
        <v>42741</v>
      </c>
      <c r="E3591" s="270" t="s">
        <v>847</v>
      </c>
      <c r="F3591" s="384">
        <v>36.799999999999997</v>
      </c>
      <c r="G3591" s="270">
        <v>190853326</v>
      </c>
    </row>
    <row r="3592" spans="1:7" x14ac:dyDescent="0.25">
      <c r="A3592" s="257">
        <v>3596</v>
      </c>
      <c r="B3592" s="267">
        <v>3591</v>
      </c>
      <c r="C3592" s="268" t="s">
        <v>3133</v>
      </c>
      <c r="D3592" s="269">
        <v>42741</v>
      </c>
      <c r="E3592" s="270" t="s">
        <v>1948</v>
      </c>
      <c r="F3592" s="384">
        <v>8</v>
      </c>
      <c r="G3592" s="270">
        <v>808000755</v>
      </c>
    </row>
    <row r="3593" spans="1:7" x14ac:dyDescent="0.25">
      <c r="A3593" s="257">
        <v>3597</v>
      </c>
      <c r="B3593" s="267">
        <v>3592</v>
      </c>
      <c r="C3593" s="268" t="s">
        <v>149</v>
      </c>
      <c r="D3593" s="269">
        <v>42745</v>
      </c>
      <c r="E3593" s="270" t="s">
        <v>3587</v>
      </c>
      <c r="F3593" s="384">
        <v>51.9</v>
      </c>
      <c r="G3593" s="270">
        <v>101254783</v>
      </c>
    </row>
    <row r="3594" spans="1:7" x14ac:dyDescent="0.25">
      <c r="A3594" s="257">
        <v>3598</v>
      </c>
      <c r="B3594" s="267">
        <v>3593</v>
      </c>
      <c r="C3594" s="268" t="s">
        <v>1055</v>
      </c>
      <c r="D3594" s="269">
        <v>42745</v>
      </c>
      <c r="E3594" s="270" t="s">
        <v>1163</v>
      </c>
      <c r="F3594" s="384">
        <v>51.6</v>
      </c>
      <c r="G3594" s="270">
        <v>191360926</v>
      </c>
    </row>
    <row r="3595" spans="1:7" x14ac:dyDescent="0.25">
      <c r="A3595" s="257">
        <v>3599</v>
      </c>
      <c r="B3595" s="267">
        <v>3594</v>
      </c>
      <c r="C3595" s="268" t="s">
        <v>4213</v>
      </c>
      <c r="D3595" s="269">
        <v>42745</v>
      </c>
      <c r="E3595" s="270" t="s">
        <v>1641</v>
      </c>
      <c r="F3595" s="384">
        <v>170</v>
      </c>
      <c r="G3595" s="270">
        <v>100135464</v>
      </c>
    </row>
    <row r="3596" spans="1:7" x14ac:dyDescent="0.25">
      <c r="A3596" s="257">
        <v>3600</v>
      </c>
      <c r="B3596" s="267">
        <v>3595</v>
      </c>
      <c r="C3596" s="268" t="s">
        <v>230</v>
      </c>
      <c r="D3596" s="269">
        <v>42745</v>
      </c>
      <c r="E3596" s="270" t="s">
        <v>3291</v>
      </c>
      <c r="F3596" s="384">
        <v>19.5</v>
      </c>
      <c r="G3596" s="270">
        <v>100054851</v>
      </c>
    </row>
    <row r="3597" spans="1:7" x14ac:dyDescent="0.25">
      <c r="A3597" s="257">
        <v>3601</v>
      </c>
      <c r="B3597" s="267">
        <v>3596</v>
      </c>
      <c r="C3597" s="268" t="s">
        <v>1128</v>
      </c>
      <c r="D3597" s="269">
        <v>42745</v>
      </c>
      <c r="E3597" s="270" t="s">
        <v>2871</v>
      </c>
      <c r="F3597" s="384">
        <v>301.70000000000005</v>
      </c>
      <c r="G3597" s="270">
        <v>101015738</v>
      </c>
    </row>
    <row r="3598" spans="1:7" x14ac:dyDescent="0.25">
      <c r="A3598" s="257">
        <v>3602</v>
      </c>
      <c r="B3598" s="267">
        <v>3597</v>
      </c>
      <c r="C3598" s="268" t="s">
        <v>3326</v>
      </c>
      <c r="D3598" s="269">
        <v>42745</v>
      </c>
      <c r="E3598" s="270" t="s">
        <v>1684</v>
      </c>
      <c r="F3598" s="384">
        <v>33.200000000000003</v>
      </c>
      <c r="G3598" s="270">
        <v>100819821</v>
      </c>
    </row>
    <row r="3599" spans="1:7" x14ac:dyDescent="0.25">
      <c r="A3599" s="257">
        <v>3603</v>
      </c>
      <c r="B3599" s="267">
        <v>3598</v>
      </c>
      <c r="C3599" s="268" t="s">
        <v>2377</v>
      </c>
      <c r="D3599" s="269">
        <v>42745</v>
      </c>
      <c r="E3599" s="270" t="s">
        <v>41</v>
      </c>
      <c r="F3599" s="384">
        <v>11.7</v>
      </c>
      <c r="G3599" s="270">
        <v>101143325</v>
      </c>
    </row>
    <row r="3600" spans="1:7" x14ac:dyDescent="0.25">
      <c r="A3600" s="257">
        <v>3604</v>
      </c>
      <c r="B3600" s="267">
        <v>3599</v>
      </c>
      <c r="C3600" s="268" t="s">
        <v>3103</v>
      </c>
      <c r="D3600" s="269">
        <v>42746</v>
      </c>
      <c r="E3600" s="270" t="s">
        <v>164</v>
      </c>
      <c r="F3600" s="384">
        <v>23.5</v>
      </c>
      <c r="G3600" s="270">
        <v>100534485</v>
      </c>
    </row>
    <row r="3601" spans="1:7" x14ac:dyDescent="0.25">
      <c r="A3601" s="257">
        <v>3605</v>
      </c>
      <c r="B3601" s="267">
        <v>3600</v>
      </c>
      <c r="C3601" s="268" t="s">
        <v>1117</v>
      </c>
      <c r="D3601" s="269">
        <v>42746</v>
      </c>
      <c r="E3601" s="270" t="s">
        <v>1796</v>
      </c>
      <c r="F3601" s="384">
        <v>33.200000000000003</v>
      </c>
      <c r="G3601" s="270">
        <v>100872922</v>
      </c>
    </row>
    <row r="3602" spans="1:7" x14ac:dyDescent="0.25">
      <c r="A3602" s="257">
        <v>3606</v>
      </c>
      <c r="B3602" s="267">
        <v>3601</v>
      </c>
      <c r="C3602" s="268" t="s">
        <v>266</v>
      </c>
      <c r="D3602" s="269">
        <v>42746</v>
      </c>
      <c r="E3602" s="270" t="s">
        <v>2370</v>
      </c>
      <c r="F3602" s="384">
        <v>11.100000000000001</v>
      </c>
      <c r="G3602" s="270">
        <v>100315382</v>
      </c>
    </row>
    <row r="3603" spans="1:7" x14ac:dyDescent="0.25">
      <c r="A3603" s="257">
        <v>3607</v>
      </c>
      <c r="B3603" s="267">
        <v>3602</v>
      </c>
      <c r="C3603" s="268" t="s">
        <v>2735</v>
      </c>
      <c r="D3603" s="269">
        <v>42746</v>
      </c>
      <c r="E3603" s="270" t="s">
        <v>1058</v>
      </c>
      <c r="F3603" s="384">
        <v>166</v>
      </c>
      <c r="G3603" s="270">
        <v>102384873</v>
      </c>
    </row>
    <row r="3604" spans="1:7" x14ac:dyDescent="0.25">
      <c r="A3604" s="257">
        <v>3608</v>
      </c>
      <c r="B3604" s="267">
        <v>3603</v>
      </c>
      <c r="C3604" s="268" t="s">
        <v>67</v>
      </c>
      <c r="D3604" s="269">
        <v>42746</v>
      </c>
      <c r="E3604" s="270" t="s">
        <v>1118</v>
      </c>
      <c r="F3604" s="384">
        <v>19</v>
      </c>
      <c r="G3604" s="270">
        <v>691601521</v>
      </c>
    </row>
    <row r="3605" spans="1:7" x14ac:dyDescent="0.25">
      <c r="A3605" s="257">
        <v>3609</v>
      </c>
      <c r="B3605" s="267">
        <v>3604</v>
      </c>
      <c r="C3605" s="268" t="s">
        <v>67</v>
      </c>
      <c r="D3605" s="269">
        <v>42746</v>
      </c>
      <c r="E3605" s="270" t="s">
        <v>1118</v>
      </c>
      <c r="F3605" s="384">
        <v>23.5</v>
      </c>
      <c r="G3605" s="270">
        <v>691601521</v>
      </c>
    </row>
    <row r="3606" spans="1:7" x14ac:dyDescent="0.25">
      <c r="A3606" s="257">
        <v>3610</v>
      </c>
      <c r="B3606" s="267">
        <v>3605</v>
      </c>
      <c r="C3606" s="268" t="s">
        <v>4215</v>
      </c>
      <c r="D3606" s="269">
        <v>42746</v>
      </c>
      <c r="E3606" s="270" t="s">
        <v>3558</v>
      </c>
      <c r="F3606" s="384">
        <v>160</v>
      </c>
      <c r="G3606" s="270">
        <v>601072665</v>
      </c>
    </row>
    <row r="3607" spans="1:7" x14ac:dyDescent="0.25">
      <c r="A3607" s="257">
        <v>3611</v>
      </c>
      <c r="B3607" s="267">
        <v>3606</v>
      </c>
      <c r="C3607" s="268" t="s">
        <v>3735</v>
      </c>
      <c r="D3607" s="269">
        <v>42746</v>
      </c>
      <c r="E3607" s="270" t="s">
        <v>1066</v>
      </c>
      <c r="F3607" s="384">
        <v>20</v>
      </c>
      <c r="G3607" s="270">
        <v>190309754</v>
      </c>
    </row>
    <row r="3608" spans="1:7" x14ac:dyDescent="0.25">
      <c r="A3608" s="257">
        <v>3612</v>
      </c>
      <c r="B3608" s="267">
        <v>3607</v>
      </c>
      <c r="C3608" s="268" t="s">
        <v>1949</v>
      </c>
      <c r="D3608" s="269">
        <v>42749</v>
      </c>
      <c r="E3608" s="270" t="s">
        <v>2666</v>
      </c>
      <c r="F3608" s="384">
        <v>332</v>
      </c>
      <c r="G3608" s="270">
        <v>691314513</v>
      </c>
    </row>
    <row r="3609" spans="1:7" x14ac:dyDescent="0.25">
      <c r="A3609" s="257">
        <v>3613</v>
      </c>
      <c r="B3609" s="267">
        <v>3608</v>
      </c>
      <c r="C3609" s="268" t="s">
        <v>3111</v>
      </c>
      <c r="D3609" s="269">
        <v>42753</v>
      </c>
      <c r="E3609" s="270" t="s">
        <v>3667</v>
      </c>
      <c r="F3609" s="384">
        <v>19.5</v>
      </c>
      <c r="G3609" s="270">
        <v>691433174</v>
      </c>
    </row>
    <row r="3610" spans="1:7" x14ac:dyDescent="0.25">
      <c r="A3610" s="257">
        <v>3614</v>
      </c>
      <c r="B3610" s="267">
        <v>3609</v>
      </c>
      <c r="C3610" s="268" t="s">
        <v>1055</v>
      </c>
      <c r="D3610" s="269">
        <v>42753</v>
      </c>
      <c r="E3610" s="270" t="s">
        <v>1163</v>
      </c>
      <c r="F3610" s="384">
        <v>7.4</v>
      </c>
      <c r="G3610" s="270">
        <v>191360926</v>
      </c>
    </row>
    <row r="3611" spans="1:7" x14ac:dyDescent="0.25">
      <c r="A3611" s="257">
        <v>3615</v>
      </c>
      <c r="B3611" s="267">
        <v>3610</v>
      </c>
      <c r="C3611" s="268" t="s">
        <v>3542</v>
      </c>
      <c r="D3611" s="269">
        <v>42753</v>
      </c>
      <c r="E3611" s="270" t="s">
        <v>2624</v>
      </c>
      <c r="F3611" s="384">
        <v>11.100000000000001</v>
      </c>
      <c r="G3611" s="270">
        <v>600004086</v>
      </c>
    </row>
    <row r="3612" spans="1:7" x14ac:dyDescent="0.25">
      <c r="A3612" s="257">
        <v>3616</v>
      </c>
      <c r="B3612" s="267">
        <v>3611</v>
      </c>
      <c r="C3612" s="268" t="s">
        <v>1826</v>
      </c>
      <c r="D3612" s="269">
        <v>42753</v>
      </c>
      <c r="E3612" s="270" t="s">
        <v>3129</v>
      </c>
      <c r="F3612" s="384">
        <v>19</v>
      </c>
      <c r="G3612" s="270">
        <v>690656275</v>
      </c>
    </row>
    <row r="3613" spans="1:7" x14ac:dyDescent="0.25">
      <c r="A3613" s="257">
        <v>3617</v>
      </c>
      <c r="B3613" s="267">
        <v>3612</v>
      </c>
      <c r="C3613" s="268" t="s">
        <v>3840</v>
      </c>
      <c r="D3613" s="269">
        <v>42753</v>
      </c>
      <c r="E3613" s="270" t="s">
        <v>2694</v>
      </c>
      <c r="F3613" s="384">
        <v>19</v>
      </c>
      <c r="G3613" s="270">
        <v>192386501</v>
      </c>
    </row>
    <row r="3614" spans="1:7" x14ac:dyDescent="0.25">
      <c r="A3614" s="257">
        <v>3618</v>
      </c>
      <c r="B3614" s="267">
        <v>3613</v>
      </c>
      <c r="C3614" s="268" t="s">
        <v>846</v>
      </c>
      <c r="D3614" s="269">
        <v>42753</v>
      </c>
      <c r="E3614" s="270" t="s">
        <v>3691</v>
      </c>
      <c r="F3614" s="384">
        <v>23.5</v>
      </c>
      <c r="G3614" s="270">
        <v>0</v>
      </c>
    </row>
    <row r="3615" spans="1:7" x14ac:dyDescent="0.25">
      <c r="A3615" s="257">
        <v>3619</v>
      </c>
      <c r="B3615" s="267">
        <v>3614</v>
      </c>
      <c r="C3615" s="268" t="s">
        <v>1117</v>
      </c>
      <c r="D3615" s="269">
        <v>42753</v>
      </c>
      <c r="E3615" s="270" t="s">
        <v>1796</v>
      </c>
      <c r="F3615" s="384">
        <v>11.100000000000001</v>
      </c>
      <c r="G3615" s="270">
        <v>100872922</v>
      </c>
    </row>
    <row r="3616" spans="1:7" x14ac:dyDescent="0.25">
      <c r="A3616" s="257">
        <v>3620</v>
      </c>
      <c r="B3616" s="267">
        <v>3615</v>
      </c>
      <c r="C3616" s="268" t="s">
        <v>3765</v>
      </c>
      <c r="D3616" s="269">
        <v>42753</v>
      </c>
      <c r="E3616" s="270" t="s">
        <v>3700</v>
      </c>
      <c r="F3616" s="384">
        <v>25.2</v>
      </c>
      <c r="G3616" s="270">
        <v>100721870</v>
      </c>
    </row>
    <row r="3617" spans="1:7" x14ac:dyDescent="0.25">
      <c r="A3617" s="257">
        <v>3621</v>
      </c>
      <c r="B3617" s="267">
        <v>3616</v>
      </c>
      <c r="C3617" s="268" t="s">
        <v>724</v>
      </c>
      <c r="D3617" s="269">
        <v>42753</v>
      </c>
      <c r="E3617" s="270" t="s">
        <v>214</v>
      </c>
      <c r="F3617" s="384">
        <v>51.6</v>
      </c>
      <c r="G3617" s="270">
        <v>691601322</v>
      </c>
    </row>
    <row r="3618" spans="1:7" x14ac:dyDescent="0.25">
      <c r="A3618" s="257">
        <v>3622</v>
      </c>
      <c r="B3618" s="267">
        <v>3617</v>
      </c>
      <c r="C3618" s="268" t="s">
        <v>347</v>
      </c>
      <c r="D3618" s="269">
        <v>42753</v>
      </c>
      <c r="E3618" s="270" t="s">
        <v>3705</v>
      </c>
      <c r="F3618" s="384">
        <v>70</v>
      </c>
      <c r="G3618" s="270">
        <v>191296008</v>
      </c>
    </row>
    <row r="3619" spans="1:7" x14ac:dyDescent="0.25">
      <c r="A3619" s="257">
        <v>3623</v>
      </c>
      <c r="B3619" s="267">
        <v>3618</v>
      </c>
      <c r="C3619" s="268" t="s">
        <v>1613</v>
      </c>
      <c r="D3619" s="269">
        <v>42753</v>
      </c>
      <c r="E3619" s="270" t="s">
        <v>2370</v>
      </c>
      <c r="F3619" s="384">
        <v>28.4</v>
      </c>
      <c r="G3619" s="270">
        <v>100315382</v>
      </c>
    </row>
    <row r="3620" spans="1:7" x14ac:dyDescent="0.25">
      <c r="A3620" s="257">
        <v>3624</v>
      </c>
      <c r="B3620" s="267">
        <v>3619</v>
      </c>
      <c r="C3620" s="268" t="s">
        <v>2687</v>
      </c>
      <c r="D3620" s="269">
        <v>42754</v>
      </c>
      <c r="E3620" s="270" t="s">
        <v>3282</v>
      </c>
      <c r="F3620" s="384">
        <v>33.200000000000003</v>
      </c>
      <c r="G3620" s="270">
        <v>191421443</v>
      </c>
    </row>
    <row r="3621" spans="1:7" x14ac:dyDescent="0.25">
      <c r="A3621" s="257">
        <v>3625</v>
      </c>
      <c r="B3621" s="267">
        <v>3620</v>
      </c>
      <c r="C3621" s="268" t="s">
        <v>517</v>
      </c>
      <c r="D3621" s="269">
        <v>42754</v>
      </c>
      <c r="E3621" s="270" t="s">
        <v>2139</v>
      </c>
      <c r="F3621" s="384">
        <v>51.6</v>
      </c>
      <c r="G3621" s="270">
        <v>590086401</v>
      </c>
    </row>
    <row r="3622" spans="1:7" x14ac:dyDescent="0.25">
      <c r="A3622" s="257">
        <v>3626</v>
      </c>
      <c r="B3622" s="267">
        <v>3621</v>
      </c>
      <c r="C3622" s="268" t="s">
        <v>3312</v>
      </c>
      <c r="D3622" s="269">
        <v>42754</v>
      </c>
      <c r="E3622" s="270" t="s">
        <v>2925</v>
      </c>
      <c r="F3622" s="384">
        <v>23.5</v>
      </c>
      <c r="G3622" s="270">
        <v>100098867</v>
      </c>
    </row>
    <row r="3623" spans="1:7" x14ac:dyDescent="0.25">
      <c r="A3623" s="257">
        <v>3627</v>
      </c>
      <c r="B3623" s="267">
        <v>3622</v>
      </c>
      <c r="C3623" s="268" t="s">
        <v>1834</v>
      </c>
      <c r="D3623" s="269">
        <v>42754</v>
      </c>
      <c r="E3623" s="270" t="s">
        <v>810</v>
      </c>
      <c r="F3623" s="384">
        <v>23.5</v>
      </c>
      <c r="G3623" s="270">
        <v>190761996</v>
      </c>
    </row>
    <row r="3624" spans="1:7" x14ac:dyDescent="0.25">
      <c r="A3624" s="257">
        <v>3628</v>
      </c>
      <c r="B3624" s="267">
        <v>3623</v>
      </c>
      <c r="C3624" s="268" t="s">
        <v>1853</v>
      </c>
      <c r="D3624" s="269">
        <v>42758</v>
      </c>
      <c r="E3624" s="270" t="s">
        <v>3381</v>
      </c>
      <c r="F3624" s="384">
        <v>35.6</v>
      </c>
      <c r="G3624" s="270">
        <v>100072811</v>
      </c>
    </row>
    <row r="3625" spans="1:7" x14ac:dyDescent="0.25">
      <c r="A3625" s="257">
        <v>3629</v>
      </c>
      <c r="B3625" s="267">
        <v>3624</v>
      </c>
      <c r="C3625" s="268" t="s">
        <v>3636</v>
      </c>
      <c r="D3625" s="269">
        <v>42758</v>
      </c>
      <c r="E3625" s="270" t="s">
        <v>2983</v>
      </c>
      <c r="F3625" s="384">
        <v>23.5</v>
      </c>
      <c r="G3625" s="270">
        <v>0</v>
      </c>
    </row>
    <row r="3626" spans="1:7" x14ac:dyDescent="0.25">
      <c r="A3626" s="257">
        <v>3630</v>
      </c>
      <c r="B3626" s="267">
        <v>3625</v>
      </c>
      <c r="C3626" s="268" t="s">
        <v>994</v>
      </c>
      <c r="D3626" s="269">
        <v>42758</v>
      </c>
      <c r="E3626" s="270" t="s">
        <v>2456</v>
      </c>
      <c r="F3626" s="384">
        <v>85.1</v>
      </c>
      <c r="G3626" s="270">
        <v>100039768</v>
      </c>
    </row>
    <row r="3627" spans="1:7" x14ac:dyDescent="0.25">
      <c r="A3627" s="257">
        <v>3631</v>
      </c>
      <c r="B3627" s="267">
        <v>3626</v>
      </c>
      <c r="C3627" s="268" t="s">
        <v>3309</v>
      </c>
      <c r="D3627" s="269">
        <v>42758</v>
      </c>
      <c r="E3627" s="270" t="s">
        <v>355</v>
      </c>
      <c r="F3627" s="384">
        <v>166</v>
      </c>
      <c r="G3627" s="270">
        <v>691792915</v>
      </c>
    </row>
    <row r="3628" spans="1:7" x14ac:dyDescent="0.25">
      <c r="A3628" s="257">
        <v>3632</v>
      </c>
      <c r="B3628" s="267">
        <v>3627</v>
      </c>
      <c r="C3628" s="268" t="s">
        <v>3308</v>
      </c>
      <c r="D3628" s="269">
        <v>42758</v>
      </c>
      <c r="E3628" s="270" t="s">
        <v>3000</v>
      </c>
      <c r="F3628" s="384">
        <v>19.5</v>
      </c>
      <c r="G3628" s="270">
        <v>190297367</v>
      </c>
    </row>
    <row r="3629" spans="1:7" x14ac:dyDescent="0.25">
      <c r="A3629" s="257">
        <v>3633</v>
      </c>
      <c r="B3629" s="267">
        <v>3628</v>
      </c>
      <c r="C3629" s="268" t="s">
        <v>149</v>
      </c>
      <c r="D3629" s="269">
        <v>42758</v>
      </c>
      <c r="E3629" s="270" t="s">
        <v>3587</v>
      </c>
      <c r="F3629" s="384">
        <v>75.099999999999994</v>
      </c>
      <c r="G3629" s="270">
        <v>101254783</v>
      </c>
    </row>
    <row r="3630" spans="1:7" x14ac:dyDescent="0.25">
      <c r="A3630" s="257">
        <v>3634</v>
      </c>
      <c r="B3630" s="267">
        <v>3629</v>
      </c>
      <c r="C3630" s="268" t="s">
        <v>175</v>
      </c>
      <c r="D3630" s="269">
        <v>42758</v>
      </c>
      <c r="E3630" s="270" t="s">
        <v>3146</v>
      </c>
      <c r="F3630" s="384">
        <v>19</v>
      </c>
      <c r="G3630" s="270">
        <v>191764221</v>
      </c>
    </row>
    <row r="3631" spans="1:7" x14ac:dyDescent="0.25">
      <c r="A3631" s="257">
        <v>3635</v>
      </c>
      <c r="B3631" s="267">
        <v>3630</v>
      </c>
      <c r="C3631" s="268" t="s">
        <v>2602</v>
      </c>
      <c r="D3631" s="269">
        <v>42758</v>
      </c>
      <c r="E3631" s="270" t="s">
        <v>3153</v>
      </c>
      <c r="F3631" s="384">
        <v>51.6</v>
      </c>
      <c r="G3631" s="270">
        <v>691134955</v>
      </c>
    </row>
    <row r="3632" spans="1:7" x14ac:dyDescent="0.25">
      <c r="A3632" s="257">
        <v>3636</v>
      </c>
      <c r="B3632" s="267">
        <v>3631</v>
      </c>
      <c r="C3632" s="268" t="s">
        <v>2957</v>
      </c>
      <c r="D3632" s="269">
        <v>42758</v>
      </c>
      <c r="E3632" s="270" t="s">
        <v>3164</v>
      </c>
      <c r="F3632" s="384">
        <v>51.6</v>
      </c>
      <c r="G3632" s="270">
        <v>808000584</v>
      </c>
    </row>
    <row r="3633" spans="1:7" x14ac:dyDescent="0.25">
      <c r="A3633" s="257">
        <v>3637</v>
      </c>
      <c r="B3633" s="267">
        <v>3632</v>
      </c>
      <c r="C3633" s="268" t="s">
        <v>1932</v>
      </c>
      <c r="D3633" s="269">
        <v>42758</v>
      </c>
      <c r="E3633" s="270" t="s">
        <v>3064</v>
      </c>
      <c r="F3633" s="384">
        <v>23.5</v>
      </c>
      <c r="G3633" s="270">
        <v>191695519</v>
      </c>
    </row>
    <row r="3634" spans="1:7" x14ac:dyDescent="0.25">
      <c r="A3634" s="257">
        <v>3638</v>
      </c>
      <c r="B3634" s="267">
        <v>3633</v>
      </c>
      <c r="C3634" s="268" t="s">
        <v>2828</v>
      </c>
      <c r="D3634" s="269">
        <v>42761</v>
      </c>
      <c r="E3634" s="270" t="s">
        <v>2736</v>
      </c>
      <c r="F3634" s="384">
        <v>33.200000000000003</v>
      </c>
      <c r="G3634" s="270">
        <v>691780951</v>
      </c>
    </row>
    <row r="3635" spans="1:7" x14ac:dyDescent="0.25">
      <c r="A3635" s="257">
        <v>3639</v>
      </c>
      <c r="B3635" s="267">
        <v>3634</v>
      </c>
      <c r="C3635" s="268" t="s">
        <v>870</v>
      </c>
      <c r="D3635" s="269">
        <v>42761</v>
      </c>
      <c r="E3635" s="270" t="s">
        <v>43</v>
      </c>
      <c r="F3635" s="384">
        <v>3.7</v>
      </c>
      <c r="G3635" s="270">
        <v>192498037</v>
      </c>
    </row>
    <row r="3636" spans="1:7" x14ac:dyDescent="0.25">
      <c r="A3636" s="257">
        <v>3640</v>
      </c>
      <c r="B3636" s="267">
        <v>3635</v>
      </c>
      <c r="C3636" s="268" t="s">
        <v>1117</v>
      </c>
      <c r="D3636" s="269">
        <v>42762</v>
      </c>
      <c r="E3636" s="270" t="s">
        <v>1796</v>
      </c>
      <c r="F3636" s="384">
        <v>33.200000000000003</v>
      </c>
      <c r="G3636" s="270">
        <v>100872922</v>
      </c>
    </row>
    <row r="3637" spans="1:7" x14ac:dyDescent="0.25">
      <c r="A3637" s="257">
        <v>3641</v>
      </c>
      <c r="B3637" s="267">
        <v>3636</v>
      </c>
      <c r="C3637" s="268" t="s">
        <v>2437</v>
      </c>
      <c r="D3637" s="269">
        <v>42762</v>
      </c>
      <c r="E3637" s="270" t="s">
        <v>3092</v>
      </c>
      <c r="F3637" s="384">
        <v>23.5</v>
      </c>
      <c r="G3637" s="270">
        <v>100779791</v>
      </c>
    </row>
    <row r="3638" spans="1:7" x14ac:dyDescent="0.25">
      <c r="A3638" s="257">
        <v>3642</v>
      </c>
      <c r="B3638" s="267">
        <v>3637</v>
      </c>
      <c r="C3638" s="268" t="s">
        <v>1808</v>
      </c>
      <c r="D3638" s="269">
        <v>42762</v>
      </c>
      <c r="E3638" s="270" t="s">
        <v>2570</v>
      </c>
      <c r="F3638" s="384">
        <v>19</v>
      </c>
      <c r="G3638" s="270">
        <v>100835687</v>
      </c>
    </row>
    <row r="3639" spans="1:7" x14ac:dyDescent="0.25">
      <c r="A3639" s="257">
        <v>3643</v>
      </c>
      <c r="B3639" s="267">
        <v>3638</v>
      </c>
      <c r="C3639" s="268" t="s">
        <v>3298</v>
      </c>
      <c r="D3639" s="269">
        <v>42762</v>
      </c>
      <c r="E3639" s="270" t="s">
        <v>4192</v>
      </c>
      <c r="F3639" s="384">
        <v>47</v>
      </c>
      <c r="G3639" s="270">
        <v>190063577</v>
      </c>
    </row>
    <row r="3640" spans="1:7" x14ac:dyDescent="0.25">
      <c r="A3640" s="257">
        <v>3644</v>
      </c>
      <c r="B3640" s="267">
        <v>3639</v>
      </c>
      <c r="C3640" s="268" t="s">
        <v>3326</v>
      </c>
      <c r="D3640" s="269">
        <v>42762</v>
      </c>
      <c r="E3640" s="270" t="s">
        <v>1684</v>
      </c>
      <c r="F3640" s="384">
        <v>142</v>
      </c>
      <c r="G3640" s="270">
        <v>100819821</v>
      </c>
    </row>
    <row r="3641" spans="1:7" x14ac:dyDescent="0.25">
      <c r="A3641" s="257">
        <v>3645</v>
      </c>
      <c r="B3641" s="267">
        <v>3640</v>
      </c>
      <c r="C3641" s="268" t="s">
        <v>3209</v>
      </c>
      <c r="D3641" s="269">
        <v>42762</v>
      </c>
      <c r="E3641" s="270" t="s">
        <v>132</v>
      </c>
      <c r="F3641" s="384">
        <v>57</v>
      </c>
      <c r="G3641" s="270">
        <v>600011872</v>
      </c>
    </row>
    <row r="3642" spans="1:7" x14ac:dyDescent="0.25">
      <c r="A3642" s="257">
        <v>3646</v>
      </c>
      <c r="B3642" s="267">
        <v>3641</v>
      </c>
      <c r="C3642" s="268" t="s">
        <v>3851</v>
      </c>
      <c r="D3642" s="269">
        <v>42762</v>
      </c>
      <c r="E3642" s="270" t="s">
        <v>3631</v>
      </c>
      <c r="F3642" s="384">
        <v>51.6</v>
      </c>
      <c r="G3642" s="270">
        <v>691380883</v>
      </c>
    </row>
    <row r="3643" spans="1:7" x14ac:dyDescent="0.25">
      <c r="A3643" s="257">
        <v>3647</v>
      </c>
      <c r="B3643" s="267">
        <v>3642</v>
      </c>
      <c r="C3643" s="268" t="s">
        <v>2622</v>
      </c>
      <c r="D3643" s="269">
        <v>42765</v>
      </c>
      <c r="E3643" s="270" t="s">
        <v>1807</v>
      </c>
      <c r="F3643" s="384">
        <v>25.2</v>
      </c>
      <c r="G3643" s="270">
        <v>101277625</v>
      </c>
    </row>
    <row r="3644" spans="1:7" x14ac:dyDescent="0.25">
      <c r="A3644" s="257">
        <v>3648</v>
      </c>
      <c r="B3644" s="267">
        <v>3643</v>
      </c>
      <c r="C3644" s="268" t="s">
        <v>2684</v>
      </c>
      <c r="D3644" s="269">
        <v>42765</v>
      </c>
      <c r="E3644" s="270" t="s">
        <v>4</v>
      </c>
      <c r="F3644" s="384">
        <v>33.200000000000003</v>
      </c>
      <c r="G3644" s="270">
        <v>690836601</v>
      </c>
    </row>
    <row r="3645" spans="1:7" x14ac:dyDescent="0.25">
      <c r="A3645" s="257">
        <v>3649</v>
      </c>
      <c r="B3645" s="267">
        <v>3644</v>
      </c>
      <c r="C3645" s="268" t="s">
        <v>996</v>
      </c>
      <c r="D3645" s="269">
        <v>42765</v>
      </c>
      <c r="E3645" s="270" t="s">
        <v>1929</v>
      </c>
      <c r="F3645" s="384">
        <v>8</v>
      </c>
      <c r="G3645" s="270">
        <v>200551259</v>
      </c>
    </row>
    <row r="3646" spans="1:7" x14ac:dyDescent="0.25">
      <c r="A3646" s="257">
        <v>3650</v>
      </c>
      <c r="B3646" s="267">
        <v>3645</v>
      </c>
      <c r="C3646" s="268" t="s">
        <v>833</v>
      </c>
      <c r="D3646" s="269">
        <v>42765</v>
      </c>
      <c r="E3646" s="270" t="s">
        <v>2701</v>
      </c>
      <c r="F3646" s="384">
        <v>33.200000000000003</v>
      </c>
      <c r="G3646" s="270">
        <v>190464389</v>
      </c>
    </row>
    <row r="3647" spans="1:7" x14ac:dyDescent="0.25">
      <c r="A3647" s="257">
        <v>3651</v>
      </c>
      <c r="B3647" s="267">
        <v>3646</v>
      </c>
      <c r="C3647" s="268" t="s">
        <v>3846</v>
      </c>
      <c r="D3647" s="269">
        <v>42765</v>
      </c>
      <c r="E3647" s="270" t="s">
        <v>450</v>
      </c>
      <c r="F3647" s="384">
        <v>51.6</v>
      </c>
      <c r="G3647" s="270">
        <v>100468996</v>
      </c>
    </row>
    <row r="3648" spans="1:7" x14ac:dyDescent="0.25">
      <c r="A3648" s="257">
        <v>3652</v>
      </c>
      <c r="B3648" s="267">
        <v>3647</v>
      </c>
      <c r="C3648" s="268" t="s">
        <v>3309</v>
      </c>
      <c r="D3648" s="269">
        <v>42765</v>
      </c>
      <c r="E3648" s="270" t="s">
        <v>355</v>
      </c>
      <c r="F3648" s="384">
        <v>11.7</v>
      </c>
      <c r="G3648" s="270">
        <v>691792915</v>
      </c>
    </row>
    <row r="3649" spans="1:7" x14ac:dyDescent="0.25">
      <c r="A3649" s="257">
        <v>3653</v>
      </c>
      <c r="B3649" s="267">
        <v>3648</v>
      </c>
      <c r="C3649" s="268" t="s">
        <v>1826</v>
      </c>
      <c r="D3649" s="269">
        <v>42765</v>
      </c>
      <c r="E3649" s="270" t="s">
        <v>3129</v>
      </c>
      <c r="F3649" s="384">
        <v>23.5</v>
      </c>
      <c r="G3649" s="270">
        <v>690656275</v>
      </c>
    </row>
    <row r="3650" spans="1:7" x14ac:dyDescent="0.25">
      <c r="A3650" s="257">
        <v>3654</v>
      </c>
      <c r="B3650" s="267">
        <v>3649</v>
      </c>
      <c r="C3650" s="268" t="s">
        <v>1949</v>
      </c>
      <c r="D3650" s="269">
        <v>42765</v>
      </c>
      <c r="E3650" s="270" t="s">
        <v>2666</v>
      </c>
      <c r="F3650" s="384">
        <v>18.399999999999999</v>
      </c>
      <c r="G3650" s="270">
        <v>691314513</v>
      </c>
    </row>
    <row r="3651" spans="1:7" x14ac:dyDescent="0.25">
      <c r="A3651" s="257">
        <v>3655</v>
      </c>
      <c r="B3651" s="267">
        <v>3650</v>
      </c>
      <c r="C3651" s="268" t="s">
        <v>3309</v>
      </c>
      <c r="D3651" s="269">
        <v>42766</v>
      </c>
      <c r="E3651" s="270" t="s">
        <v>355</v>
      </c>
      <c r="F3651" s="384">
        <v>4.3</v>
      </c>
      <c r="G3651" s="270">
        <v>691792915</v>
      </c>
    </row>
    <row r="3652" spans="1:7" x14ac:dyDescent="0.25">
      <c r="A3652" s="257">
        <v>3656</v>
      </c>
      <c r="B3652" s="267">
        <v>3651</v>
      </c>
      <c r="C3652" s="268" t="s">
        <v>2444</v>
      </c>
      <c r="D3652" s="269">
        <v>42766</v>
      </c>
      <c r="E3652" s="270" t="s">
        <v>664</v>
      </c>
      <c r="F3652" s="384">
        <v>25.2</v>
      </c>
      <c r="G3652" s="270">
        <v>101080981</v>
      </c>
    </row>
    <row r="3653" spans="1:7" x14ac:dyDescent="0.25">
      <c r="A3653" s="257">
        <v>3657</v>
      </c>
      <c r="B3653" s="267">
        <v>3652</v>
      </c>
      <c r="C3653" s="268" t="s">
        <v>688</v>
      </c>
      <c r="D3653" s="269">
        <v>42766</v>
      </c>
      <c r="E3653" s="270" t="s">
        <v>3518</v>
      </c>
      <c r="F3653" s="384">
        <v>23.5</v>
      </c>
      <c r="G3653" s="270">
        <v>100092100</v>
      </c>
    </row>
    <row r="3654" spans="1:7" x14ac:dyDescent="0.25">
      <c r="A3654" s="257">
        <v>3658</v>
      </c>
      <c r="B3654" s="267">
        <v>3653</v>
      </c>
      <c r="C3654" s="268" t="s">
        <v>948</v>
      </c>
      <c r="D3654" s="269">
        <v>42766</v>
      </c>
      <c r="E3654" s="270" t="s">
        <v>481</v>
      </c>
      <c r="F3654" s="384">
        <v>23.5</v>
      </c>
      <c r="G3654" s="270">
        <v>190819447</v>
      </c>
    </row>
    <row r="3655" spans="1:7" x14ac:dyDescent="0.25">
      <c r="A3655" s="257">
        <v>3659</v>
      </c>
      <c r="B3655" s="267">
        <v>3654</v>
      </c>
      <c r="C3655" s="268" t="s">
        <v>2049</v>
      </c>
      <c r="D3655" s="269">
        <v>42766</v>
      </c>
      <c r="E3655" s="270" t="s">
        <v>3598</v>
      </c>
      <c r="F3655" s="384">
        <v>11.7</v>
      </c>
      <c r="G3655" s="270">
        <v>190221603</v>
      </c>
    </row>
    <row r="3656" spans="1:7" x14ac:dyDescent="0.25">
      <c r="A3656" s="257">
        <v>3660</v>
      </c>
      <c r="B3656" s="267">
        <v>3655</v>
      </c>
      <c r="C3656" s="268" t="s">
        <v>252</v>
      </c>
      <c r="D3656" s="269">
        <v>42769</v>
      </c>
      <c r="E3656" s="270" t="s">
        <v>326</v>
      </c>
      <c r="F3656" s="384">
        <v>66.400000000000006</v>
      </c>
      <c r="G3656" s="270">
        <v>200216443</v>
      </c>
    </row>
    <row r="3657" spans="1:7" x14ac:dyDescent="0.25">
      <c r="A3657" s="257">
        <v>3661</v>
      </c>
      <c r="B3657" s="267">
        <v>3656</v>
      </c>
      <c r="C3657" s="268" t="s">
        <v>1941</v>
      </c>
      <c r="D3657" s="269">
        <v>42769</v>
      </c>
      <c r="E3657" s="270" t="s">
        <v>1809</v>
      </c>
      <c r="F3657" s="384">
        <v>103.2</v>
      </c>
      <c r="G3657" s="270">
        <v>190907422</v>
      </c>
    </row>
    <row r="3658" spans="1:7" x14ac:dyDescent="0.25">
      <c r="A3658" s="257">
        <v>3662</v>
      </c>
      <c r="B3658" s="267">
        <v>3657</v>
      </c>
      <c r="C3658" s="268" t="s">
        <v>3215</v>
      </c>
      <c r="D3658" s="269">
        <v>42769</v>
      </c>
      <c r="E3658" s="270" t="s">
        <v>2775</v>
      </c>
      <c r="F3658" s="384">
        <v>51.6</v>
      </c>
      <c r="G3658" s="270">
        <v>691301525</v>
      </c>
    </row>
    <row r="3659" spans="1:7" x14ac:dyDescent="0.25">
      <c r="A3659" s="257">
        <v>3663</v>
      </c>
      <c r="B3659" s="267">
        <v>3658</v>
      </c>
      <c r="C3659" s="268" t="s">
        <v>365</v>
      </c>
      <c r="D3659" s="269">
        <v>42770</v>
      </c>
      <c r="E3659" s="270" t="s">
        <v>1744</v>
      </c>
      <c r="F3659" s="384">
        <v>23.5</v>
      </c>
      <c r="G3659" s="270">
        <v>191306367</v>
      </c>
    </row>
    <row r="3660" spans="1:7" x14ac:dyDescent="0.25">
      <c r="A3660" s="257">
        <v>3664</v>
      </c>
      <c r="B3660" s="267">
        <v>3659</v>
      </c>
      <c r="C3660" s="268" t="s">
        <v>3311</v>
      </c>
      <c r="D3660" s="269">
        <v>42770</v>
      </c>
      <c r="E3660" s="270" t="s">
        <v>873</v>
      </c>
      <c r="F3660" s="384">
        <v>7.2</v>
      </c>
      <c r="G3660" s="270">
        <v>691523415</v>
      </c>
    </row>
    <row r="3661" spans="1:7" x14ac:dyDescent="0.25">
      <c r="A3661" s="257">
        <v>3665</v>
      </c>
      <c r="B3661" s="267">
        <v>3660</v>
      </c>
      <c r="C3661" s="268" t="s">
        <v>1941</v>
      </c>
      <c r="D3661" s="269">
        <v>42770</v>
      </c>
      <c r="E3661" s="270" t="s">
        <v>1809</v>
      </c>
      <c r="F3661" s="384">
        <v>26.5</v>
      </c>
      <c r="G3661" s="270">
        <v>190907422</v>
      </c>
    </row>
    <row r="3662" spans="1:7" x14ac:dyDescent="0.25">
      <c r="A3662" s="257">
        <v>3666</v>
      </c>
      <c r="B3662" s="267">
        <v>3661</v>
      </c>
      <c r="C3662" s="268" t="s">
        <v>1941</v>
      </c>
      <c r="D3662" s="269">
        <v>42770</v>
      </c>
      <c r="E3662" s="270" t="s">
        <v>1809</v>
      </c>
      <c r="F3662" s="384">
        <v>26.9</v>
      </c>
      <c r="G3662" s="270">
        <v>190907422</v>
      </c>
    </row>
    <row r="3663" spans="1:7" x14ac:dyDescent="0.25">
      <c r="A3663" s="257">
        <v>3667</v>
      </c>
      <c r="B3663" s="267">
        <v>3662</v>
      </c>
      <c r="C3663" s="268" t="s">
        <v>3851</v>
      </c>
      <c r="D3663" s="269">
        <v>42770</v>
      </c>
      <c r="E3663" s="270" t="s">
        <v>3631</v>
      </c>
      <c r="F3663" s="384">
        <v>33.200000000000003</v>
      </c>
      <c r="G3663" s="270">
        <v>691380883</v>
      </c>
    </row>
    <row r="3664" spans="1:7" x14ac:dyDescent="0.25">
      <c r="A3664" s="257">
        <v>3668</v>
      </c>
      <c r="B3664" s="267">
        <v>3663</v>
      </c>
      <c r="C3664" s="268" t="s">
        <v>3739</v>
      </c>
      <c r="D3664" s="269">
        <v>42773</v>
      </c>
      <c r="E3664" s="270" t="s">
        <v>3850</v>
      </c>
      <c r="F3664" s="384">
        <v>3.7</v>
      </c>
      <c r="G3664" s="270">
        <v>800011635</v>
      </c>
    </row>
    <row r="3665" spans="1:7" x14ac:dyDescent="0.25">
      <c r="A3665" s="257">
        <v>3669</v>
      </c>
      <c r="B3665" s="267">
        <v>3664</v>
      </c>
      <c r="C3665" s="268" t="s">
        <v>373</v>
      </c>
      <c r="D3665" s="269">
        <v>42773</v>
      </c>
      <c r="E3665" s="270" t="s">
        <v>35</v>
      </c>
      <c r="F3665" s="384">
        <v>51.6</v>
      </c>
      <c r="G3665" s="270">
        <v>690665107</v>
      </c>
    </row>
    <row r="3666" spans="1:7" x14ac:dyDescent="0.25">
      <c r="A3666" s="257">
        <v>3670</v>
      </c>
      <c r="B3666" s="267">
        <v>3665</v>
      </c>
      <c r="C3666" s="268" t="s">
        <v>2709</v>
      </c>
      <c r="D3666" s="269">
        <v>42773</v>
      </c>
      <c r="E3666" s="270" t="s">
        <v>4143</v>
      </c>
      <c r="F3666" s="384">
        <v>18.399999999999999</v>
      </c>
      <c r="G3666" s="270">
        <v>191069636</v>
      </c>
    </row>
    <row r="3667" spans="1:7" x14ac:dyDescent="0.25">
      <c r="A3667" s="257">
        <v>3671</v>
      </c>
      <c r="B3667" s="267">
        <v>3666</v>
      </c>
      <c r="C3667" s="268" t="s">
        <v>4150</v>
      </c>
      <c r="D3667" s="269">
        <v>42774</v>
      </c>
      <c r="E3667" s="270" t="s">
        <v>455</v>
      </c>
      <c r="F3667" s="384">
        <v>103.2</v>
      </c>
      <c r="G3667" s="270">
        <v>190638152</v>
      </c>
    </row>
    <row r="3668" spans="1:7" x14ac:dyDescent="0.25">
      <c r="A3668" s="257">
        <v>3672</v>
      </c>
      <c r="B3668" s="267">
        <v>3667</v>
      </c>
      <c r="C3668" s="268" t="s">
        <v>1113</v>
      </c>
      <c r="D3668" s="269">
        <v>42774</v>
      </c>
      <c r="E3668" s="270" t="s">
        <v>2379</v>
      </c>
      <c r="F3668" s="384">
        <v>21</v>
      </c>
      <c r="G3668" s="270">
        <v>190664298</v>
      </c>
    </row>
    <row r="3669" spans="1:7" x14ac:dyDescent="0.25">
      <c r="A3669" s="257">
        <v>3673</v>
      </c>
      <c r="B3669" s="267">
        <v>3668</v>
      </c>
      <c r="C3669" s="268" t="s">
        <v>3100</v>
      </c>
      <c r="D3669" s="269">
        <v>42774</v>
      </c>
      <c r="E3669" s="270" t="s">
        <v>956</v>
      </c>
      <c r="F3669" s="384">
        <v>20</v>
      </c>
      <c r="G3669" s="270">
        <v>190341033</v>
      </c>
    </row>
    <row r="3670" spans="1:7" x14ac:dyDescent="0.25">
      <c r="A3670" s="257">
        <v>3674</v>
      </c>
      <c r="B3670" s="267">
        <v>3669</v>
      </c>
      <c r="C3670" s="268" t="s">
        <v>1</v>
      </c>
      <c r="D3670" s="269">
        <v>42777</v>
      </c>
      <c r="E3670" s="270" t="s">
        <v>1914</v>
      </c>
      <c r="F3670" s="384">
        <v>28.4</v>
      </c>
      <c r="G3670" s="270">
        <v>100168244</v>
      </c>
    </row>
    <row r="3671" spans="1:7" x14ac:dyDescent="0.25">
      <c r="A3671" s="257">
        <v>3675</v>
      </c>
      <c r="B3671" s="267">
        <v>3670</v>
      </c>
      <c r="C3671" s="268" t="s">
        <v>486</v>
      </c>
      <c r="D3671" s="269">
        <v>42777</v>
      </c>
      <c r="E3671" s="270" t="s">
        <v>500</v>
      </c>
      <c r="F3671" s="384">
        <v>4.3</v>
      </c>
      <c r="G3671" s="270">
        <v>690631984</v>
      </c>
    </row>
    <row r="3672" spans="1:7" x14ac:dyDescent="0.25">
      <c r="A3672" s="257">
        <v>3676</v>
      </c>
      <c r="B3672" s="267">
        <v>3671</v>
      </c>
      <c r="C3672" s="268" t="s">
        <v>3281</v>
      </c>
      <c r="D3672" s="269">
        <v>42778</v>
      </c>
      <c r="E3672" s="270" t="s">
        <v>1280</v>
      </c>
      <c r="F3672" s="384">
        <v>8</v>
      </c>
      <c r="G3672" s="270">
        <v>191759737</v>
      </c>
    </row>
    <row r="3673" spans="1:7" x14ac:dyDescent="0.25">
      <c r="A3673" s="257">
        <v>3677</v>
      </c>
      <c r="B3673" s="267">
        <v>3672</v>
      </c>
      <c r="C3673" s="268" t="s">
        <v>2650</v>
      </c>
      <c r="D3673" s="269">
        <v>42781</v>
      </c>
      <c r="E3673" s="270" t="s">
        <v>3321</v>
      </c>
      <c r="F3673" s="384">
        <v>51.6</v>
      </c>
      <c r="G3673" s="270">
        <v>490492602</v>
      </c>
    </row>
    <row r="3674" spans="1:7" x14ac:dyDescent="0.25">
      <c r="A3674" s="257">
        <v>3678</v>
      </c>
      <c r="B3674" s="267">
        <v>3673</v>
      </c>
      <c r="C3674" s="268" t="s">
        <v>1918</v>
      </c>
      <c r="D3674" s="269">
        <v>42781</v>
      </c>
      <c r="E3674" s="270" t="s">
        <v>3139</v>
      </c>
      <c r="F3674" s="384">
        <v>28.4</v>
      </c>
      <c r="G3674" s="270">
        <v>800003702</v>
      </c>
    </row>
    <row r="3675" spans="1:7" x14ac:dyDescent="0.25">
      <c r="A3675" s="257">
        <v>3679</v>
      </c>
      <c r="B3675" s="267">
        <v>3674</v>
      </c>
      <c r="C3675" s="268" t="s">
        <v>1918</v>
      </c>
      <c r="D3675" s="269">
        <v>42781</v>
      </c>
      <c r="E3675" s="270" t="s">
        <v>3139</v>
      </c>
      <c r="F3675" s="384">
        <v>28.4</v>
      </c>
      <c r="G3675" s="270">
        <v>800003702</v>
      </c>
    </row>
    <row r="3676" spans="1:7" x14ac:dyDescent="0.25">
      <c r="A3676" s="257">
        <v>3680</v>
      </c>
      <c r="B3676" s="267">
        <v>3675</v>
      </c>
      <c r="C3676" s="268" t="s">
        <v>3207</v>
      </c>
      <c r="D3676" s="269">
        <v>42781</v>
      </c>
      <c r="E3676" s="270" t="s">
        <v>3778</v>
      </c>
      <c r="F3676" s="384">
        <v>23.5</v>
      </c>
      <c r="G3676" s="270">
        <v>191486288</v>
      </c>
    </row>
    <row r="3677" spans="1:7" x14ac:dyDescent="0.25">
      <c r="A3677" s="257">
        <v>3681</v>
      </c>
      <c r="B3677" s="267">
        <v>3676</v>
      </c>
      <c r="C3677" s="268" t="s">
        <v>994</v>
      </c>
      <c r="D3677" s="269">
        <v>42781</v>
      </c>
      <c r="E3677" s="270" t="s">
        <v>2456</v>
      </c>
      <c r="F3677" s="384">
        <v>7.2</v>
      </c>
      <c r="G3677" s="270">
        <v>100039768</v>
      </c>
    </row>
    <row r="3678" spans="1:7" x14ac:dyDescent="0.25">
      <c r="A3678" s="257">
        <v>3682</v>
      </c>
      <c r="B3678" s="267">
        <v>3677</v>
      </c>
      <c r="C3678" s="268" t="s">
        <v>2765</v>
      </c>
      <c r="D3678" s="269">
        <v>42781</v>
      </c>
      <c r="E3678" s="270" t="s">
        <v>1927</v>
      </c>
      <c r="F3678" s="384">
        <v>54</v>
      </c>
      <c r="G3678" s="270">
        <v>190032958</v>
      </c>
    </row>
    <row r="3679" spans="1:7" x14ac:dyDescent="0.25">
      <c r="A3679" s="257">
        <v>3683</v>
      </c>
      <c r="B3679" s="267">
        <v>3678</v>
      </c>
      <c r="C3679" s="268" t="s">
        <v>190</v>
      </c>
      <c r="D3679" s="269">
        <v>42781</v>
      </c>
      <c r="E3679" s="270" t="s">
        <v>1951</v>
      </c>
      <c r="F3679" s="384">
        <v>8</v>
      </c>
      <c r="G3679" s="270">
        <v>400424686</v>
      </c>
    </row>
    <row r="3680" spans="1:7" x14ac:dyDescent="0.25">
      <c r="A3680" s="257">
        <v>3684</v>
      </c>
      <c r="B3680" s="267">
        <v>3679</v>
      </c>
      <c r="C3680" s="268" t="s">
        <v>1128</v>
      </c>
      <c r="D3680" s="269">
        <v>42781</v>
      </c>
      <c r="E3680" s="270" t="s">
        <v>2871</v>
      </c>
      <c r="F3680" s="384">
        <v>332</v>
      </c>
      <c r="G3680" s="270">
        <v>101015738</v>
      </c>
    </row>
    <row r="3681" spans="1:7" x14ac:dyDescent="0.25">
      <c r="A3681" s="257">
        <v>3685</v>
      </c>
      <c r="B3681" s="267">
        <v>3680</v>
      </c>
      <c r="C3681" s="268" t="s">
        <v>2165</v>
      </c>
      <c r="D3681" s="269">
        <v>42781</v>
      </c>
      <c r="E3681" s="270" t="s">
        <v>2161</v>
      </c>
      <c r="F3681" s="384">
        <v>66.400000000000006</v>
      </c>
      <c r="G3681" s="270">
        <v>190775753</v>
      </c>
    </row>
    <row r="3682" spans="1:7" x14ac:dyDescent="0.25">
      <c r="A3682" s="257">
        <v>3686</v>
      </c>
      <c r="B3682" s="267">
        <v>3681</v>
      </c>
      <c r="C3682" s="268" t="s">
        <v>3572</v>
      </c>
      <c r="D3682" s="269">
        <v>42782</v>
      </c>
      <c r="E3682" s="270" t="s">
        <v>911</v>
      </c>
      <c r="F3682" s="384">
        <v>33.200000000000003</v>
      </c>
      <c r="G3682" s="270">
        <v>191224163</v>
      </c>
    </row>
    <row r="3683" spans="1:7" x14ac:dyDescent="0.25">
      <c r="A3683" s="257">
        <v>3687</v>
      </c>
      <c r="B3683" s="267">
        <v>3682</v>
      </c>
      <c r="C3683" s="268" t="s">
        <v>2405</v>
      </c>
      <c r="D3683" s="269">
        <v>42782</v>
      </c>
      <c r="E3683" s="270" t="s">
        <v>3502</v>
      </c>
      <c r="F3683" s="384">
        <v>15.400000000000002</v>
      </c>
      <c r="G3683" s="270">
        <v>101581495</v>
      </c>
    </row>
    <row r="3684" spans="1:7" x14ac:dyDescent="0.25">
      <c r="A3684" s="257">
        <v>3688</v>
      </c>
      <c r="B3684" s="267">
        <v>3683</v>
      </c>
      <c r="C3684" s="268" t="s">
        <v>3083</v>
      </c>
      <c r="D3684" s="269">
        <v>42782</v>
      </c>
      <c r="E3684" s="270" t="s">
        <v>3069</v>
      </c>
      <c r="F3684" s="384">
        <v>19.5</v>
      </c>
      <c r="G3684" s="270">
        <v>100150599</v>
      </c>
    </row>
    <row r="3685" spans="1:7" x14ac:dyDescent="0.25">
      <c r="A3685" s="257">
        <v>3689</v>
      </c>
      <c r="B3685" s="267">
        <v>3684</v>
      </c>
      <c r="C3685" s="268" t="s">
        <v>387</v>
      </c>
      <c r="D3685" s="269">
        <v>42782</v>
      </c>
      <c r="E3685" s="270" t="s">
        <v>3629</v>
      </c>
      <c r="F3685" s="384">
        <v>18.399999999999999</v>
      </c>
      <c r="G3685" s="270">
        <v>100286955</v>
      </c>
    </row>
    <row r="3686" spans="1:7" x14ac:dyDescent="0.25">
      <c r="A3686" s="257">
        <v>3690</v>
      </c>
      <c r="B3686" s="267">
        <v>3685</v>
      </c>
      <c r="C3686" s="268" t="s">
        <v>1</v>
      </c>
      <c r="D3686" s="269">
        <v>42785</v>
      </c>
      <c r="E3686" s="270" t="s">
        <v>1914</v>
      </c>
      <c r="F3686" s="384">
        <v>4.3</v>
      </c>
      <c r="G3686" s="270">
        <v>100168244</v>
      </c>
    </row>
    <row r="3687" spans="1:7" x14ac:dyDescent="0.25">
      <c r="A3687" s="257">
        <v>3691</v>
      </c>
      <c r="B3687" s="267">
        <v>3686</v>
      </c>
      <c r="C3687" s="268" t="s">
        <v>342</v>
      </c>
      <c r="D3687" s="269">
        <v>42786</v>
      </c>
      <c r="E3687" s="270" t="s">
        <v>2744</v>
      </c>
      <c r="F3687" s="384">
        <v>3.7</v>
      </c>
      <c r="G3687" s="270">
        <v>691576283</v>
      </c>
    </row>
    <row r="3688" spans="1:7" x14ac:dyDescent="0.25">
      <c r="A3688" s="257">
        <v>3692</v>
      </c>
      <c r="B3688" s="267">
        <v>3687</v>
      </c>
      <c r="C3688" s="268" t="s">
        <v>3312</v>
      </c>
      <c r="D3688" s="269">
        <v>42786</v>
      </c>
      <c r="E3688" s="270" t="s">
        <v>2925</v>
      </c>
      <c r="F3688" s="384">
        <v>23.5</v>
      </c>
      <c r="G3688" s="270">
        <v>100098867</v>
      </c>
    </row>
    <row r="3689" spans="1:7" x14ac:dyDescent="0.25">
      <c r="A3689" s="257">
        <v>3693</v>
      </c>
      <c r="B3689" s="267">
        <v>3688</v>
      </c>
      <c r="C3689" s="268" t="s">
        <v>3839</v>
      </c>
      <c r="D3689" s="269">
        <v>42786</v>
      </c>
      <c r="E3689" s="270" t="s">
        <v>821</v>
      </c>
      <c r="F3689" s="384">
        <v>19</v>
      </c>
      <c r="G3689" s="270">
        <v>191288011</v>
      </c>
    </row>
    <row r="3690" spans="1:7" x14ac:dyDescent="0.25">
      <c r="A3690" s="257">
        <v>3694</v>
      </c>
      <c r="B3690" s="267">
        <v>3689</v>
      </c>
      <c r="C3690" s="268" t="s">
        <v>3239</v>
      </c>
      <c r="D3690" s="269">
        <v>42786</v>
      </c>
      <c r="E3690" s="270" t="s">
        <v>3341</v>
      </c>
      <c r="F3690" s="384">
        <v>48.6</v>
      </c>
      <c r="G3690" s="270">
        <v>690237156</v>
      </c>
    </row>
    <row r="3691" spans="1:7" x14ac:dyDescent="0.25">
      <c r="A3691" s="257">
        <v>3695</v>
      </c>
      <c r="B3691" s="267">
        <v>3690</v>
      </c>
      <c r="C3691" s="268" t="s">
        <v>1655</v>
      </c>
      <c r="D3691" s="269">
        <v>42789</v>
      </c>
      <c r="E3691" s="270" t="s">
        <v>349</v>
      </c>
      <c r="F3691" s="384">
        <v>4.3</v>
      </c>
      <c r="G3691" s="270">
        <v>690604750</v>
      </c>
    </row>
    <row r="3692" spans="1:7" x14ac:dyDescent="0.25">
      <c r="A3692" s="257">
        <v>3696</v>
      </c>
      <c r="B3692" s="267">
        <v>3691</v>
      </c>
      <c r="C3692" s="268" t="s">
        <v>2650</v>
      </c>
      <c r="D3692" s="269">
        <v>42789</v>
      </c>
      <c r="E3692" s="270" t="s">
        <v>3321</v>
      </c>
      <c r="F3692" s="384">
        <v>18.399999999999999</v>
      </c>
      <c r="G3692" s="270">
        <v>490492602</v>
      </c>
    </row>
    <row r="3693" spans="1:7" x14ac:dyDescent="0.25">
      <c r="A3693" s="257">
        <v>3697</v>
      </c>
      <c r="B3693" s="267">
        <v>3692</v>
      </c>
      <c r="C3693" s="268" t="s">
        <v>151</v>
      </c>
      <c r="D3693" s="269">
        <v>42789</v>
      </c>
      <c r="E3693" s="270" t="s">
        <v>2107</v>
      </c>
      <c r="F3693" s="384">
        <v>37.6</v>
      </c>
      <c r="G3693" s="270">
        <v>691531787</v>
      </c>
    </row>
    <row r="3694" spans="1:7" x14ac:dyDescent="0.25">
      <c r="A3694" s="257">
        <v>3698</v>
      </c>
      <c r="B3694" s="267">
        <v>3693</v>
      </c>
      <c r="C3694" s="268" t="s">
        <v>4215</v>
      </c>
      <c r="D3694" s="269">
        <v>42789</v>
      </c>
      <c r="E3694" s="270" t="s">
        <v>3558</v>
      </c>
      <c r="F3694" s="384">
        <v>27.900000000000002</v>
      </c>
      <c r="G3694" s="270">
        <v>601072665</v>
      </c>
    </row>
    <row r="3695" spans="1:7" x14ac:dyDescent="0.25">
      <c r="A3695" s="257">
        <v>3699</v>
      </c>
      <c r="B3695" s="267">
        <v>3694</v>
      </c>
      <c r="C3695" s="268" t="s">
        <v>1608</v>
      </c>
      <c r="D3695" s="269">
        <v>42789</v>
      </c>
      <c r="E3695" s="270" t="s">
        <v>2358</v>
      </c>
      <c r="F3695" s="384">
        <v>7.4</v>
      </c>
      <c r="G3695" s="270">
        <v>800008903</v>
      </c>
    </row>
    <row r="3696" spans="1:7" x14ac:dyDescent="0.25">
      <c r="A3696" s="257">
        <v>3700</v>
      </c>
      <c r="B3696" s="267">
        <v>3695</v>
      </c>
      <c r="C3696" s="268" t="s">
        <v>462</v>
      </c>
      <c r="D3696" s="269">
        <v>42790</v>
      </c>
      <c r="E3696" s="270" t="s">
        <v>239</v>
      </c>
      <c r="F3696" s="384">
        <v>103.2</v>
      </c>
      <c r="G3696" s="270">
        <v>101139097</v>
      </c>
    </row>
    <row r="3697" spans="1:7" x14ac:dyDescent="0.25">
      <c r="A3697" s="257">
        <v>3701</v>
      </c>
      <c r="B3697" s="267">
        <v>3696</v>
      </c>
      <c r="C3697" s="268" t="s">
        <v>1613</v>
      </c>
      <c r="D3697" s="269">
        <v>42793</v>
      </c>
      <c r="E3697" s="270" t="s">
        <v>3355</v>
      </c>
      <c r="F3697" s="384">
        <v>19</v>
      </c>
      <c r="G3697" s="270">
        <v>100345799</v>
      </c>
    </row>
    <row r="3698" spans="1:7" x14ac:dyDescent="0.25">
      <c r="A3698" s="257">
        <v>3702</v>
      </c>
      <c r="B3698" s="267">
        <v>3697</v>
      </c>
      <c r="C3698" s="268" t="s">
        <v>4215</v>
      </c>
      <c r="D3698" s="269">
        <v>42793</v>
      </c>
      <c r="E3698" s="270" t="s">
        <v>3558</v>
      </c>
      <c r="F3698" s="384">
        <v>11.7</v>
      </c>
      <c r="G3698" s="270">
        <v>601072665</v>
      </c>
    </row>
    <row r="3699" spans="1:7" x14ac:dyDescent="0.25">
      <c r="A3699" s="257">
        <v>3703</v>
      </c>
      <c r="B3699" s="267">
        <v>3698</v>
      </c>
      <c r="C3699" s="268" t="s">
        <v>1836</v>
      </c>
      <c r="D3699" s="269">
        <v>42793</v>
      </c>
      <c r="E3699" s="270" t="s">
        <v>2411</v>
      </c>
      <c r="F3699" s="384">
        <v>18.399999999999999</v>
      </c>
      <c r="G3699" s="270">
        <v>100349860</v>
      </c>
    </row>
    <row r="3700" spans="1:7" x14ac:dyDescent="0.25">
      <c r="A3700" s="257">
        <v>3704</v>
      </c>
      <c r="B3700" s="267">
        <v>3699</v>
      </c>
      <c r="C3700" s="268" t="s">
        <v>2784</v>
      </c>
      <c r="D3700" s="269">
        <v>42793</v>
      </c>
      <c r="E3700" s="270" t="s">
        <v>981</v>
      </c>
      <c r="F3700" s="384">
        <v>7.4</v>
      </c>
      <c r="G3700" s="270">
        <v>101366890</v>
      </c>
    </row>
    <row r="3701" spans="1:7" x14ac:dyDescent="0.25">
      <c r="A3701" s="257">
        <v>3705</v>
      </c>
      <c r="B3701" s="267">
        <v>3700</v>
      </c>
      <c r="C3701" s="268" t="s">
        <v>384</v>
      </c>
      <c r="D3701" s="269">
        <v>42793</v>
      </c>
      <c r="E3701" s="270" t="s">
        <v>3838</v>
      </c>
      <c r="F3701" s="384">
        <v>8</v>
      </c>
      <c r="G3701" s="270">
        <v>191075936</v>
      </c>
    </row>
    <row r="3702" spans="1:7" x14ac:dyDescent="0.25">
      <c r="A3702" s="257">
        <v>3706</v>
      </c>
      <c r="B3702" s="267">
        <v>3701</v>
      </c>
      <c r="C3702" s="268" t="s">
        <v>3310</v>
      </c>
      <c r="D3702" s="269">
        <v>42793</v>
      </c>
      <c r="E3702" s="270" t="s">
        <v>224</v>
      </c>
      <c r="F3702" s="384">
        <v>23.5</v>
      </c>
      <c r="G3702" s="270">
        <v>190304908</v>
      </c>
    </row>
    <row r="3703" spans="1:7" x14ac:dyDescent="0.25">
      <c r="A3703" s="257">
        <v>3707</v>
      </c>
      <c r="B3703" s="267">
        <v>3702</v>
      </c>
      <c r="C3703" s="268" t="s">
        <v>2706</v>
      </c>
      <c r="D3703" s="269">
        <v>42794</v>
      </c>
      <c r="E3703" s="270" t="s">
        <v>220</v>
      </c>
      <c r="F3703" s="384">
        <v>240.60000000000002</v>
      </c>
      <c r="G3703" s="270">
        <v>100230496</v>
      </c>
    </row>
    <row r="3704" spans="1:7" x14ac:dyDescent="0.25">
      <c r="A3704" s="257">
        <v>3708</v>
      </c>
      <c r="B3704" s="267">
        <v>3703</v>
      </c>
      <c r="C3704" s="268" t="s">
        <v>708</v>
      </c>
      <c r="D3704" s="269">
        <v>42794</v>
      </c>
      <c r="E3704" s="270" t="s">
        <v>767</v>
      </c>
      <c r="F3704" s="384">
        <v>21</v>
      </c>
      <c r="G3704" s="270">
        <v>190818729</v>
      </c>
    </row>
    <row r="3705" spans="1:7" x14ac:dyDescent="0.25">
      <c r="A3705" s="257">
        <v>3709</v>
      </c>
      <c r="B3705" s="267">
        <v>3704</v>
      </c>
      <c r="C3705" s="268" t="s">
        <v>2765</v>
      </c>
      <c r="D3705" s="269">
        <v>42794</v>
      </c>
      <c r="E3705" s="270" t="s">
        <v>1927</v>
      </c>
      <c r="F3705" s="384">
        <v>38.5</v>
      </c>
      <c r="G3705" s="270">
        <v>190032958</v>
      </c>
    </row>
    <row r="3706" spans="1:7" x14ac:dyDescent="0.25">
      <c r="A3706" s="257">
        <v>3710</v>
      </c>
      <c r="B3706" s="267">
        <v>3705</v>
      </c>
      <c r="C3706" s="268" t="s">
        <v>2765</v>
      </c>
      <c r="D3706" s="269">
        <v>42794</v>
      </c>
      <c r="E3706" s="270" t="s">
        <v>1927</v>
      </c>
      <c r="F3706" s="384">
        <v>51.6</v>
      </c>
      <c r="G3706" s="270">
        <v>190032958</v>
      </c>
    </row>
    <row r="3707" spans="1:7" x14ac:dyDescent="0.25">
      <c r="A3707" s="257">
        <v>3711</v>
      </c>
      <c r="B3707" s="267">
        <v>3706</v>
      </c>
      <c r="C3707" s="268" t="s">
        <v>241</v>
      </c>
      <c r="D3707" s="269">
        <v>42794</v>
      </c>
      <c r="E3707" s="270" t="s">
        <v>188</v>
      </c>
      <c r="F3707" s="384">
        <v>23.5</v>
      </c>
      <c r="G3707" s="270">
        <v>190270596</v>
      </c>
    </row>
    <row r="3708" spans="1:7" x14ac:dyDescent="0.25">
      <c r="A3708" s="257">
        <v>3712</v>
      </c>
      <c r="B3708" s="267">
        <v>3707</v>
      </c>
      <c r="C3708" s="268" t="s">
        <v>149</v>
      </c>
      <c r="D3708" s="269">
        <v>42794</v>
      </c>
      <c r="E3708" s="270" t="s">
        <v>3587</v>
      </c>
      <c r="F3708" s="384">
        <v>53.599999999999994</v>
      </c>
      <c r="G3708" s="270">
        <v>101254783</v>
      </c>
    </row>
    <row r="3709" spans="1:7" x14ac:dyDescent="0.25">
      <c r="A3709" s="257">
        <v>3713</v>
      </c>
      <c r="B3709" s="267">
        <v>3708</v>
      </c>
      <c r="C3709" s="268" t="s">
        <v>3507</v>
      </c>
      <c r="D3709" s="269">
        <v>42794</v>
      </c>
      <c r="E3709" s="270" t="s">
        <v>3220</v>
      </c>
      <c r="F3709" s="384">
        <v>23.5</v>
      </c>
      <c r="G3709" s="270">
        <v>101371967</v>
      </c>
    </row>
    <row r="3710" spans="1:7" x14ac:dyDescent="0.25">
      <c r="A3710" s="257">
        <v>3714</v>
      </c>
      <c r="B3710" s="267">
        <v>3709</v>
      </c>
      <c r="C3710" s="268" t="s">
        <v>3865</v>
      </c>
      <c r="D3710" s="269">
        <v>42796</v>
      </c>
      <c r="E3710" s="270" t="s">
        <v>3627</v>
      </c>
      <c r="F3710" s="384">
        <v>19.5</v>
      </c>
      <c r="G3710" s="270">
        <v>690027166</v>
      </c>
    </row>
    <row r="3711" spans="1:7" x14ac:dyDescent="0.25">
      <c r="A3711" s="257">
        <v>3715</v>
      </c>
      <c r="B3711" s="267">
        <v>3710</v>
      </c>
      <c r="C3711" s="268" t="s">
        <v>684</v>
      </c>
      <c r="D3711" s="269">
        <v>42797</v>
      </c>
      <c r="E3711" s="270" t="s">
        <v>1375</v>
      </c>
      <c r="F3711" s="384">
        <v>19</v>
      </c>
      <c r="G3711" s="270">
        <v>191131834</v>
      </c>
    </row>
    <row r="3712" spans="1:7" x14ac:dyDescent="0.25">
      <c r="A3712" s="257">
        <v>3716</v>
      </c>
      <c r="B3712" s="267">
        <v>3711</v>
      </c>
      <c r="C3712" s="268" t="s">
        <v>10</v>
      </c>
      <c r="D3712" s="269">
        <v>42797</v>
      </c>
      <c r="E3712" s="270" t="s">
        <v>1383</v>
      </c>
      <c r="F3712" s="384">
        <v>30.599999999999998</v>
      </c>
      <c r="G3712" s="270">
        <v>100129695</v>
      </c>
    </row>
    <row r="3713" spans="1:7" x14ac:dyDescent="0.25">
      <c r="A3713" s="257">
        <v>3717</v>
      </c>
      <c r="B3713" s="267">
        <v>3712</v>
      </c>
      <c r="C3713" s="268" t="s">
        <v>2036</v>
      </c>
      <c r="D3713" s="269">
        <v>42797</v>
      </c>
      <c r="E3713" s="270" t="s">
        <v>2034</v>
      </c>
      <c r="F3713" s="384">
        <v>23.5</v>
      </c>
      <c r="G3713" s="270">
        <v>101477759</v>
      </c>
    </row>
    <row r="3714" spans="1:7" x14ac:dyDescent="0.25">
      <c r="A3714" s="257">
        <v>3718</v>
      </c>
      <c r="B3714" s="267">
        <v>3713</v>
      </c>
      <c r="C3714" s="268" t="s">
        <v>1121</v>
      </c>
      <c r="D3714" s="269">
        <v>42797</v>
      </c>
      <c r="E3714" s="270" t="s">
        <v>209</v>
      </c>
      <c r="F3714" s="384">
        <v>23.5</v>
      </c>
      <c r="G3714" s="270">
        <v>191118996</v>
      </c>
    </row>
    <row r="3715" spans="1:7" x14ac:dyDescent="0.25">
      <c r="A3715" s="257">
        <v>3719</v>
      </c>
      <c r="B3715" s="267">
        <v>3714</v>
      </c>
      <c r="C3715" s="268" t="s">
        <v>2406</v>
      </c>
      <c r="D3715" s="269">
        <v>42797</v>
      </c>
      <c r="E3715" s="270" t="s">
        <v>3552</v>
      </c>
      <c r="F3715" s="384">
        <v>206.4</v>
      </c>
      <c r="G3715" s="270">
        <v>191569368</v>
      </c>
    </row>
    <row r="3716" spans="1:7" x14ac:dyDescent="0.25">
      <c r="A3716" s="257">
        <v>3720</v>
      </c>
      <c r="B3716" s="267">
        <v>3715</v>
      </c>
      <c r="C3716" s="268" t="s">
        <v>3132</v>
      </c>
      <c r="D3716" s="269">
        <v>42797</v>
      </c>
      <c r="E3716" s="270" t="s">
        <v>1393</v>
      </c>
      <c r="F3716" s="384">
        <v>25.2</v>
      </c>
      <c r="G3716" s="270">
        <v>101026338</v>
      </c>
    </row>
    <row r="3717" spans="1:7" x14ac:dyDescent="0.25">
      <c r="A3717" s="257">
        <v>3721</v>
      </c>
      <c r="B3717" s="267">
        <v>3716</v>
      </c>
      <c r="C3717" s="268" t="s">
        <v>8</v>
      </c>
      <c r="D3717" s="269">
        <v>42800</v>
      </c>
      <c r="E3717" s="270" t="s">
        <v>1394</v>
      </c>
      <c r="F3717" s="384">
        <v>19</v>
      </c>
      <c r="G3717" s="270">
        <v>691771928</v>
      </c>
    </row>
    <row r="3718" spans="1:7" x14ac:dyDescent="0.25">
      <c r="A3718" s="257">
        <v>3722</v>
      </c>
      <c r="B3718" s="267">
        <v>3717</v>
      </c>
      <c r="C3718" s="268" t="s">
        <v>3307</v>
      </c>
      <c r="D3718" s="269">
        <v>42800</v>
      </c>
      <c r="E3718" s="270" t="s">
        <v>1906</v>
      </c>
      <c r="F3718" s="384">
        <v>33.200000000000003</v>
      </c>
      <c r="G3718" s="270">
        <v>690250660</v>
      </c>
    </row>
    <row r="3719" spans="1:7" x14ac:dyDescent="0.25">
      <c r="A3719" s="257">
        <v>3723</v>
      </c>
      <c r="B3719" s="267">
        <v>3718</v>
      </c>
      <c r="C3719" s="268" t="s">
        <v>3307</v>
      </c>
      <c r="D3719" s="269">
        <v>42800</v>
      </c>
      <c r="E3719" s="270" t="s">
        <v>1906</v>
      </c>
      <c r="F3719" s="384">
        <v>4.3</v>
      </c>
      <c r="G3719" s="270">
        <v>690250660</v>
      </c>
    </row>
    <row r="3720" spans="1:7" x14ac:dyDescent="0.25">
      <c r="A3720" s="257">
        <v>3724</v>
      </c>
      <c r="B3720" s="267">
        <v>3719</v>
      </c>
      <c r="C3720" s="268" t="s">
        <v>3858</v>
      </c>
      <c r="D3720" s="269">
        <v>42801</v>
      </c>
      <c r="E3720" s="270" t="s">
        <v>1919</v>
      </c>
      <c r="F3720" s="384">
        <v>19</v>
      </c>
      <c r="G3720" s="270">
        <v>100179084</v>
      </c>
    </row>
    <row r="3721" spans="1:7" x14ac:dyDescent="0.25">
      <c r="A3721" s="257">
        <v>3725</v>
      </c>
      <c r="B3721" s="267">
        <v>3720</v>
      </c>
      <c r="C3721" s="268" t="s">
        <v>2835</v>
      </c>
      <c r="D3721" s="269">
        <v>42801</v>
      </c>
      <c r="E3721" s="270" t="s">
        <v>2826</v>
      </c>
      <c r="F3721" s="384">
        <v>33.200000000000003</v>
      </c>
      <c r="G3721" s="270">
        <v>101117856</v>
      </c>
    </row>
    <row r="3722" spans="1:7" x14ac:dyDescent="0.25">
      <c r="A3722" s="257">
        <v>3726</v>
      </c>
      <c r="B3722" s="267">
        <v>3721</v>
      </c>
      <c r="C3722" s="268" t="s">
        <v>2924</v>
      </c>
      <c r="D3722" s="269">
        <v>42801</v>
      </c>
      <c r="E3722" s="270" t="s">
        <v>2918</v>
      </c>
      <c r="F3722" s="384">
        <v>23.5</v>
      </c>
      <c r="G3722" s="270">
        <v>600433299</v>
      </c>
    </row>
    <row r="3723" spans="1:7" x14ac:dyDescent="0.25">
      <c r="A3723" s="257">
        <v>3727</v>
      </c>
      <c r="B3723" s="267">
        <v>3722</v>
      </c>
      <c r="C3723" s="268" t="s">
        <v>2618</v>
      </c>
      <c r="D3723" s="269">
        <v>42801</v>
      </c>
      <c r="E3723" s="270" t="s">
        <v>1412</v>
      </c>
      <c r="F3723" s="384">
        <v>19</v>
      </c>
      <c r="G3723" s="270">
        <v>191761646</v>
      </c>
    </row>
    <row r="3724" spans="1:7" x14ac:dyDescent="0.25">
      <c r="A3724" s="257">
        <v>3728</v>
      </c>
      <c r="B3724" s="267">
        <v>3723</v>
      </c>
      <c r="C3724" s="268" t="s">
        <v>3215</v>
      </c>
      <c r="D3724" s="269">
        <v>42803</v>
      </c>
      <c r="E3724" s="270" t="s">
        <v>2775</v>
      </c>
      <c r="F3724" s="384">
        <v>18.399999999999999</v>
      </c>
      <c r="G3724" s="270">
        <v>691301525</v>
      </c>
    </row>
    <row r="3725" spans="1:7" x14ac:dyDescent="0.25">
      <c r="A3725" s="257">
        <v>3729</v>
      </c>
      <c r="B3725" s="267">
        <v>3724</v>
      </c>
      <c r="C3725" s="268" t="s">
        <v>1698</v>
      </c>
      <c r="D3725" s="269">
        <v>42803</v>
      </c>
      <c r="E3725" s="270" t="s">
        <v>1419</v>
      </c>
      <c r="F3725" s="384">
        <v>19.5</v>
      </c>
      <c r="G3725" s="270">
        <v>192629271</v>
      </c>
    </row>
    <row r="3726" spans="1:7" x14ac:dyDescent="0.25">
      <c r="A3726" s="257">
        <v>3730</v>
      </c>
      <c r="B3726" s="267">
        <v>3725</v>
      </c>
      <c r="C3726" s="268" t="s">
        <v>2741</v>
      </c>
      <c r="D3726" s="269">
        <v>42803</v>
      </c>
      <c r="E3726" s="270" t="s">
        <v>141</v>
      </c>
      <c r="F3726" s="384">
        <v>19</v>
      </c>
      <c r="G3726" s="270">
        <v>600049547</v>
      </c>
    </row>
    <row r="3727" spans="1:7" x14ac:dyDescent="0.25">
      <c r="A3727" s="257">
        <v>3731</v>
      </c>
      <c r="B3727" s="267">
        <v>3726</v>
      </c>
      <c r="C3727" s="268" t="s">
        <v>420</v>
      </c>
      <c r="D3727" s="269">
        <v>42803</v>
      </c>
      <c r="E3727" s="270" t="s">
        <v>1424</v>
      </c>
      <c r="F3727" s="384">
        <v>23.5</v>
      </c>
      <c r="G3727" s="270">
        <v>190819978</v>
      </c>
    </row>
    <row r="3728" spans="1:7" x14ac:dyDescent="0.25">
      <c r="A3728" s="257">
        <v>3732</v>
      </c>
      <c r="B3728" s="267">
        <v>3727</v>
      </c>
      <c r="C3728" s="268" t="s">
        <v>2709</v>
      </c>
      <c r="D3728" s="269">
        <v>42803</v>
      </c>
      <c r="E3728" s="270" t="s">
        <v>4143</v>
      </c>
      <c r="F3728" s="384">
        <v>51.6</v>
      </c>
      <c r="G3728" s="270">
        <v>191069636</v>
      </c>
    </row>
    <row r="3729" spans="1:7" x14ac:dyDescent="0.25">
      <c r="A3729" s="257">
        <v>3733</v>
      </c>
      <c r="B3729" s="267">
        <v>3728</v>
      </c>
      <c r="C3729" s="268" t="s">
        <v>802</v>
      </c>
      <c r="D3729" s="269">
        <v>42803</v>
      </c>
      <c r="E3729" s="270" t="s">
        <v>733</v>
      </c>
      <c r="F3729" s="384">
        <v>20</v>
      </c>
      <c r="G3729" s="270">
        <v>190770035</v>
      </c>
    </row>
    <row r="3730" spans="1:7" x14ac:dyDescent="0.25">
      <c r="A3730" s="257">
        <v>3734</v>
      </c>
      <c r="B3730" s="267">
        <v>3729</v>
      </c>
      <c r="C3730" s="268" t="s">
        <v>2684</v>
      </c>
      <c r="D3730" s="269">
        <v>42804</v>
      </c>
      <c r="E3730" s="270" t="s">
        <v>4</v>
      </c>
      <c r="F3730" s="384">
        <v>18.399999999999999</v>
      </c>
      <c r="G3730" s="270">
        <v>690836601</v>
      </c>
    </row>
    <row r="3731" spans="1:7" x14ac:dyDescent="0.25">
      <c r="A3731" s="257">
        <v>3735</v>
      </c>
      <c r="B3731" s="267">
        <v>3730</v>
      </c>
      <c r="C3731" s="268" t="s">
        <v>1540</v>
      </c>
      <c r="D3731" s="269">
        <v>42804</v>
      </c>
      <c r="E3731" s="270" t="s">
        <v>2668</v>
      </c>
      <c r="F3731" s="384">
        <v>23.5</v>
      </c>
      <c r="G3731" s="270">
        <v>191428080</v>
      </c>
    </row>
    <row r="3732" spans="1:7" x14ac:dyDescent="0.25">
      <c r="A3732" s="257">
        <v>3736</v>
      </c>
      <c r="B3732" s="267">
        <v>3731</v>
      </c>
      <c r="C3732" s="268" t="s">
        <v>318</v>
      </c>
      <c r="D3732" s="269">
        <v>42804</v>
      </c>
      <c r="E3732" s="270" t="s">
        <v>421</v>
      </c>
      <c r="F3732" s="384">
        <v>51.6</v>
      </c>
      <c r="G3732" s="270">
        <v>808000701</v>
      </c>
    </row>
    <row r="3733" spans="1:7" x14ac:dyDescent="0.25">
      <c r="A3733" s="257">
        <v>3737</v>
      </c>
      <c r="B3733" s="267">
        <v>3732</v>
      </c>
      <c r="C3733" s="268" t="s">
        <v>3607</v>
      </c>
      <c r="D3733" s="269">
        <v>42804</v>
      </c>
      <c r="E3733" s="270" t="s">
        <v>1656</v>
      </c>
      <c r="F3733" s="384">
        <v>7.4</v>
      </c>
      <c r="G3733" s="270">
        <v>101439397</v>
      </c>
    </row>
    <row r="3734" spans="1:7" x14ac:dyDescent="0.25">
      <c r="A3734" s="257">
        <v>3738</v>
      </c>
      <c r="B3734" s="267">
        <v>3733</v>
      </c>
      <c r="C3734" s="268" t="s">
        <v>3211</v>
      </c>
      <c r="D3734" s="269">
        <v>42807</v>
      </c>
      <c r="E3734" s="270" t="s">
        <v>1438</v>
      </c>
      <c r="F3734" s="384">
        <v>25.2</v>
      </c>
      <c r="G3734" s="270">
        <v>101309873</v>
      </c>
    </row>
    <row r="3735" spans="1:7" x14ac:dyDescent="0.25">
      <c r="A3735" s="257">
        <v>3739</v>
      </c>
      <c r="B3735" s="267">
        <v>3734</v>
      </c>
      <c r="C3735" s="268" t="s">
        <v>230</v>
      </c>
      <c r="D3735" s="269">
        <v>42807</v>
      </c>
      <c r="E3735" s="270" t="s">
        <v>3291</v>
      </c>
      <c r="F3735" s="384">
        <v>21</v>
      </c>
      <c r="G3735" s="270">
        <v>100054851</v>
      </c>
    </row>
    <row r="3736" spans="1:7" x14ac:dyDescent="0.25">
      <c r="A3736" s="257">
        <v>3740</v>
      </c>
      <c r="B3736" s="267">
        <v>3735</v>
      </c>
      <c r="C3736" s="268" t="s">
        <v>1633</v>
      </c>
      <c r="D3736" s="269">
        <v>42807</v>
      </c>
      <c r="E3736" s="270" t="s">
        <v>1444</v>
      </c>
      <c r="F3736" s="384">
        <v>19</v>
      </c>
      <c r="G3736" s="270">
        <v>191426884</v>
      </c>
    </row>
    <row r="3737" spans="1:7" x14ac:dyDescent="0.25">
      <c r="A3737" s="257">
        <v>3741</v>
      </c>
      <c r="B3737" s="267">
        <v>3736</v>
      </c>
      <c r="C3737" s="268" t="s">
        <v>2864</v>
      </c>
      <c r="D3737" s="269">
        <v>42807</v>
      </c>
      <c r="E3737" s="270" t="s">
        <v>892</v>
      </c>
      <c r="F3737" s="384">
        <v>19.5</v>
      </c>
      <c r="G3737" s="270">
        <v>100390954</v>
      </c>
    </row>
    <row r="3738" spans="1:7" x14ac:dyDescent="0.25">
      <c r="A3738" s="257">
        <v>3742</v>
      </c>
      <c r="B3738" s="267">
        <v>3737</v>
      </c>
      <c r="C3738" s="268" t="s">
        <v>2377</v>
      </c>
      <c r="D3738" s="269">
        <v>42807</v>
      </c>
      <c r="E3738" s="270" t="s">
        <v>41</v>
      </c>
      <c r="F3738" s="384">
        <v>19</v>
      </c>
      <c r="G3738" s="270">
        <v>101143325</v>
      </c>
    </row>
    <row r="3739" spans="1:7" x14ac:dyDescent="0.25">
      <c r="A3739" s="257">
        <v>3743</v>
      </c>
      <c r="B3739" s="267">
        <v>3738</v>
      </c>
      <c r="C3739" s="268" t="s">
        <v>2360</v>
      </c>
      <c r="D3739" s="269">
        <v>42808</v>
      </c>
      <c r="E3739" s="270" t="s">
        <v>3099</v>
      </c>
      <c r="F3739" s="384">
        <v>28.4</v>
      </c>
      <c r="G3739" s="270">
        <v>690397548</v>
      </c>
    </row>
    <row r="3740" spans="1:7" x14ac:dyDescent="0.25">
      <c r="A3740" s="257">
        <v>3744</v>
      </c>
      <c r="B3740" s="267">
        <v>3739</v>
      </c>
      <c r="C3740" s="268" t="s">
        <v>1853</v>
      </c>
      <c r="D3740" s="269">
        <v>42808</v>
      </c>
      <c r="E3740" s="270" t="s">
        <v>3381</v>
      </c>
      <c r="F3740" s="384">
        <v>19</v>
      </c>
      <c r="G3740" s="270">
        <v>100072811</v>
      </c>
    </row>
    <row r="3741" spans="1:7" x14ac:dyDescent="0.25">
      <c r="A3741" s="257">
        <v>3745</v>
      </c>
      <c r="B3741" s="267">
        <v>3740</v>
      </c>
      <c r="C3741" s="268" t="s">
        <v>1798</v>
      </c>
      <c r="D3741" s="269">
        <v>42808</v>
      </c>
      <c r="E3741" s="270" t="s">
        <v>1471</v>
      </c>
      <c r="F3741" s="384">
        <v>132.80000000000001</v>
      </c>
      <c r="G3741" s="270">
        <v>100320382</v>
      </c>
    </row>
    <row r="3742" spans="1:7" x14ac:dyDescent="0.25">
      <c r="A3742" s="257">
        <v>3746</v>
      </c>
      <c r="B3742" s="267">
        <v>3741</v>
      </c>
      <c r="C3742" s="268" t="s">
        <v>1928</v>
      </c>
      <c r="D3742" s="269">
        <v>42808</v>
      </c>
      <c r="E3742" s="270" t="s">
        <v>3582</v>
      </c>
      <c r="F3742" s="384">
        <v>28.4</v>
      </c>
      <c r="G3742" s="270">
        <v>100338635</v>
      </c>
    </row>
    <row r="3743" spans="1:7" x14ac:dyDescent="0.25">
      <c r="A3743" s="257">
        <v>3747</v>
      </c>
      <c r="B3743" s="267">
        <v>3742</v>
      </c>
      <c r="C3743" s="268" t="s">
        <v>1806</v>
      </c>
      <c r="D3743" s="269">
        <v>42809</v>
      </c>
      <c r="E3743" s="270" t="s">
        <v>3605</v>
      </c>
      <c r="F3743" s="384">
        <v>19.5</v>
      </c>
      <c r="G3743" s="270">
        <v>190398861</v>
      </c>
    </row>
    <row r="3744" spans="1:7" x14ac:dyDescent="0.25">
      <c r="A3744" s="257">
        <v>3748</v>
      </c>
      <c r="B3744" s="267">
        <v>3743</v>
      </c>
      <c r="C3744" s="268" t="s">
        <v>1624</v>
      </c>
      <c r="D3744" s="269">
        <v>42809</v>
      </c>
      <c r="E3744" s="270" t="s">
        <v>893</v>
      </c>
      <c r="F3744" s="384">
        <v>51.6</v>
      </c>
      <c r="G3744" s="270">
        <v>691535129</v>
      </c>
    </row>
    <row r="3745" spans="1:7" x14ac:dyDescent="0.25">
      <c r="A3745" s="257">
        <v>3749</v>
      </c>
      <c r="B3745" s="267">
        <v>3744</v>
      </c>
      <c r="C3745" s="268" t="s">
        <v>3621</v>
      </c>
      <c r="D3745" s="269">
        <v>42809</v>
      </c>
      <c r="E3745" s="270" t="s">
        <v>1644</v>
      </c>
      <c r="F3745" s="384">
        <v>8</v>
      </c>
      <c r="G3745" s="270">
        <v>100315288</v>
      </c>
    </row>
    <row r="3746" spans="1:7" x14ac:dyDescent="0.25">
      <c r="A3746" s="257">
        <v>3750</v>
      </c>
      <c r="B3746" s="267">
        <v>3745</v>
      </c>
      <c r="C3746" s="268" t="s">
        <v>341</v>
      </c>
      <c r="D3746" s="269">
        <v>42809</v>
      </c>
      <c r="E3746" s="270" t="s">
        <v>815</v>
      </c>
      <c r="F3746" s="384">
        <v>51.6</v>
      </c>
      <c r="G3746" s="270">
        <v>100115154</v>
      </c>
    </row>
    <row r="3747" spans="1:7" x14ac:dyDescent="0.25">
      <c r="A3747" s="257">
        <v>3751</v>
      </c>
      <c r="B3747" s="267">
        <v>3746</v>
      </c>
      <c r="C3747" s="268" t="s">
        <v>3776</v>
      </c>
      <c r="D3747" s="269">
        <v>42809</v>
      </c>
      <c r="E3747" s="270" t="s">
        <v>1623</v>
      </c>
      <c r="F3747" s="384">
        <v>35.6</v>
      </c>
      <c r="G3747" s="270">
        <v>691422903</v>
      </c>
    </row>
    <row r="3748" spans="1:7" x14ac:dyDescent="0.25">
      <c r="A3748" s="257">
        <v>3752</v>
      </c>
      <c r="B3748" s="267">
        <v>3747</v>
      </c>
      <c r="C3748" s="268" t="s">
        <v>1819</v>
      </c>
      <c r="D3748" s="269">
        <v>42809</v>
      </c>
      <c r="E3748" s="270" t="s">
        <v>1499</v>
      </c>
      <c r="F3748" s="384">
        <v>51.6</v>
      </c>
      <c r="G3748" s="270">
        <v>190288096</v>
      </c>
    </row>
    <row r="3749" spans="1:7" x14ac:dyDescent="0.25">
      <c r="A3749" s="257">
        <v>3753</v>
      </c>
      <c r="B3749" s="267">
        <v>3748</v>
      </c>
      <c r="C3749" s="268" t="s">
        <v>2959</v>
      </c>
      <c r="D3749" s="269">
        <v>42809</v>
      </c>
      <c r="E3749" s="270" t="s">
        <v>1503</v>
      </c>
      <c r="F3749" s="384">
        <v>20</v>
      </c>
      <c r="G3749" s="270">
        <v>690655067</v>
      </c>
    </row>
    <row r="3750" spans="1:7" x14ac:dyDescent="0.25">
      <c r="A3750" s="257">
        <v>3754</v>
      </c>
      <c r="B3750" s="267">
        <v>3749</v>
      </c>
      <c r="C3750" s="268" t="s">
        <v>2049</v>
      </c>
      <c r="D3750" s="269">
        <v>42810</v>
      </c>
      <c r="E3750" s="270" t="s">
        <v>3598</v>
      </c>
      <c r="F3750" s="384">
        <v>51.6</v>
      </c>
      <c r="G3750" s="270">
        <v>190221603</v>
      </c>
    </row>
    <row r="3751" spans="1:7" x14ac:dyDescent="0.25">
      <c r="A3751" s="257">
        <v>3755</v>
      </c>
      <c r="B3751" s="267">
        <v>3750</v>
      </c>
      <c r="C3751" s="268" t="s">
        <v>2049</v>
      </c>
      <c r="D3751" s="269">
        <v>42810</v>
      </c>
      <c r="E3751" s="270" t="s">
        <v>3598</v>
      </c>
      <c r="F3751" s="384">
        <v>19</v>
      </c>
      <c r="G3751" s="270">
        <v>190221603</v>
      </c>
    </row>
    <row r="3752" spans="1:7" x14ac:dyDescent="0.25">
      <c r="A3752" s="257">
        <v>3756</v>
      </c>
      <c r="B3752" s="267">
        <v>3751</v>
      </c>
      <c r="C3752" s="268" t="s">
        <v>462</v>
      </c>
      <c r="D3752" s="269">
        <v>42810</v>
      </c>
      <c r="E3752" s="270" t="s">
        <v>239</v>
      </c>
      <c r="F3752" s="384">
        <v>51.6</v>
      </c>
      <c r="G3752" s="270">
        <v>101139097</v>
      </c>
    </row>
    <row r="3753" spans="1:7" x14ac:dyDescent="0.25">
      <c r="A3753" s="257">
        <v>3757</v>
      </c>
      <c r="B3753" s="267">
        <v>3752</v>
      </c>
      <c r="C3753" s="268" t="s">
        <v>4222</v>
      </c>
      <c r="D3753" s="269">
        <v>42810</v>
      </c>
      <c r="E3753" s="270" t="s">
        <v>70</v>
      </c>
      <c r="F3753" s="384">
        <v>1011.1999999999999</v>
      </c>
      <c r="G3753" s="270">
        <v>600048566</v>
      </c>
    </row>
    <row r="3754" spans="1:7" x14ac:dyDescent="0.25">
      <c r="A3754" s="257">
        <v>3758</v>
      </c>
      <c r="B3754" s="267">
        <v>3753</v>
      </c>
      <c r="C3754" s="268" t="s">
        <v>1117</v>
      </c>
      <c r="D3754" s="269">
        <v>42810</v>
      </c>
      <c r="E3754" s="270" t="s">
        <v>1796</v>
      </c>
      <c r="F3754" s="384">
        <v>51.6</v>
      </c>
      <c r="G3754" s="270">
        <v>100872922</v>
      </c>
    </row>
    <row r="3755" spans="1:7" x14ac:dyDescent="0.25">
      <c r="A3755" s="257">
        <v>3759</v>
      </c>
      <c r="B3755" s="267">
        <v>3754</v>
      </c>
      <c r="C3755" s="268" t="s">
        <v>1664</v>
      </c>
      <c r="D3755" s="269">
        <v>42810</v>
      </c>
      <c r="E3755" s="270" t="s">
        <v>2594</v>
      </c>
      <c r="F3755" s="384">
        <v>23.5</v>
      </c>
      <c r="G3755" s="270">
        <v>100008077</v>
      </c>
    </row>
    <row r="3756" spans="1:7" x14ac:dyDescent="0.25">
      <c r="A3756" s="257">
        <v>3760</v>
      </c>
      <c r="B3756" s="267">
        <v>3755</v>
      </c>
      <c r="C3756" s="268" t="s">
        <v>2828</v>
      </c>
      <c r="D3756" s="269">
        <v>42811</v>
      </c>
      <c r="E3756" s="270" t="s">
        <v>2736</v>
      </c>
      <c r="F3756" s="384">
        <v>61.6</v>
      </c>
      <c r="G3756" s="270">
        <v>691780951</v>
      </c>
    </row>
    <row r="3757" spans="1:7" x14ac:dyDescent="0.25">
      <c r="A3757" s="257">
        <v>3761</v>
      </c>
      <c r="B3757" s="267">
        <v>3756</v>
      </c>
      <c r="C3757" s="268" t="s">
        <v>387</v>
      </c>
      <c r="D3757" s="269">
        <v>42811</v>
      </c>
      <c r="E3757" s="270" t="s">
        <v>3629</v>
      </c>
      <c r="F3757" s="384">
        <v>7.4</v>
      </c>
      <c r="G3757" s="270">
        <v>100286955</v>
      </c>
    </row>
    <row r="3758" spans="1:7" x14ac:dyDescent="0.25">
      <c r="A3758" s="257">
        <v>3762</v>
      </c>
      <c r="B3758" s="267">
        <v>3757</v>
      </c>
      <c r="C3758" s="268" t="s">
        <v>2835</v>
      </c>
      <c r="D3758" s="269">
        <v>42811</v>
      </c>
      <c r="E3758" s="270" t="s">
        <v>2826</v>
      </c>
      <c r="F3758" s="384">
        <v>11.100000000000001</v>
      </c>
      <c r="G3758" s="270">
        <v>101117856</v>
      </c>
    </row>
    <row r="3759" spans="1:7" x14ac:dyDescent="0.25">
      <c r="A3759" s="257">
        <v>3763</v>
      </c>
      <c r="B3759" s="267">
        <v>3758</v>
      </c>
      <c r="C3759" s="268" t="s">
        <v>1540</v>
      </c>
      <c r="D3759" s="269">
        <v>42811</v>
      </c>
      <c r="E3759" s="270" t="s">
        <v>2668</v>
      </c>
      <c r="F3759" s="384">
        <v>23.5</v>
      </c>
      <c r="G3759" s="270">
        <v>191428080</v>
      </c>
    </row>
    <row r="3760" spans="1:7" x14ac:dyDescent="0.25">
      <c r="A3760" s="257">
        <v>3764</v>
      </c>
      <c r="B3760" s="267">
        <v>3759</v>
      </c>
      <c r="C3760" s="268" t="s">
        <v>387</v>
      </c>
      <c r="D3760" s="269">
        <v>42811</v>
      </c>
      <c r="E3760" s="270" t="s">
        <v>3629</v>
      </c>
      <c r="F3760" s="384">
        <v>7.4</v>
      </c>
      <c r="G3760" s="270">
        <v>100286955</v>
      </c>
    </row>
    <row r="3761" spans="1:7" x14ac:dyDescent="0.25">
      <c r="A3761" s="257">
        <v>3765</v>
      </c>
      <c r="B3761" s="267">
        <v>3760</v>
      </c>
      <c r="C3761" s="268" t="s">
        <v>2709</v>
      </c>
      <c r="D3761" s="269">
        <v>42812</v>
      </c>
      <c r="E3761" s="270" t="s">
        <v>4143</v>
      </c>
      <c r="F3761" s="384">
        <v>11.7</v>
      </c>
      <c r="G3761" s="270">
        <v>191069636</v>
      </c>
    </row>
    <row r="3762" spans="1:7" x14ac:dyDescent="0.25">
      <c r="A3762" s="257">
        <v>3766</v>
      </c>
      <c r="B3762" s="267">
        <v>3761</v>
      </c>
      <c r="C3762" s="268" t="s">
        <v>888</v>
      </c>
      <c r="D3762" s="269">
        <v>42816</v>
      </c>
      <c r="E3762" s="270" t="s">
        <v>1889</v>
      </c>
      <c r="F3762" s="384">
        <v>28.4</v>
      </c>
      <c r="G3762" s="270">
        <v>191750982</v>
      </c>
    </row>
    <row r="3763" spans="1:7" x14ac:dyDescent="0.25">
      <c r="A3763" s="257">
        <v>3767</v>
      </c>
      <c r="B3763" s="267">
        <v>3762</v>
      </c>
      <c r="C3763" s="268" t="s">
        <v>2362</v>
      </c>
      <c r="D3763" s="269">
        <v>42816</v>
      </c>
      <c r="E3763" s="270" t="s">
        <v>1890</v>
      </c>
      <c r="F3763" s="384">
        <v>23.5</v>
      </c>
      <c r="G3763" s="270">
        <v>100953229</v>
      </c>
    </row>
    <row r="3764" spans="1:7" x14ac:dyDescent="0.25">
      <c r="A3764" s="257">
        <v>3768</v>
      </c>
      <c r="B3764" s="267">
        <v>3763</v>
      </c>
      <c r="C3764" s="268" t="s">
        <v>451</v>
      </c>
      <c r="D3764" s="269">
        <v>42817</v>
      </c>
      <c r="E3764" s="270" t="s">
        <v>980</v>
      </c>
      <c r="F3764" s="384">
        <v>23.5</v>
      </c>
      <c r="G3764" s="270">
        <v>100015784</v>
      </c>
    </row>
    <row r="3765" spans="1:7" x14ac:dyDescent="0.25">
      <c r="A3765" s="257">
        <v>3769</v>
      </c>
      <c r="B3765" s="267">
        <v>3764</v>
      </c>
      <c r="C3765" s="268" t="s">
        <v>3298</v>
      </c>
      <c r="D3765" s="269">
        <v>42817</v>
      </c>
      <c r="E3765" s="270" t="s">
        <v>4192</v>
      </c>
      <c r="F3765" s="384">
        <v>56.8</v>
      </c>
      <c r="G3765" s="270">
        <v>190063577</v>
      </c>
    </row>
    <row r="3766" spans="1:7" x14ac:dyDescent="0.25">
      <c r="A3766" s="257">
        <v>3770</v>
      </c>
      <c r="B3766" s="267">
        <v>3765</v>
      </c>
      <c r="C3766" s="268" t="s">
        <v>462</v>
      </c>
      <c r="D3766" s="269">
        <v>42817</v>
      </c>
      <c r="E3766" s="270" t="s">
        <v>239</v>
      </c>
      <c r="F3766" s="384">
        <v>51.6</v>
      </c>
      <c r="G3766" s="270">
        <v>101139097</v>
      </c>
    </row>
    <row r="3767" spans="1:7" x14ac:dyDescent="0.25">
      <c r="A3767" s="257">
        <v>3771</v>
      </c>
      <c r="B3767" s="267">
        <v>3766</v>
      </c>
      <c r="C3767" s="268" t="s">
        <v>724</v>
      </c>
      <c r="D3767" s="269">
        <v>42817</v>
      </c>
      <c r="E3767" s="270" t="s">
        <v>214</v>
      </c>
      <c r="F3767" s="384">
        <v>3.5</v>
      </c>
      <c r="G3767" s="270">
        <v>691601322</v>
      </c>
    </row>
    <row r="3768" spans="1:7" x14ac:dyDescent="0.25">
      <c r="A3768" s="257">
        <v>3772</v>
      </c>
      <c r="B3768" s="267">
        <v>3767</v>
      </c>
      <c r="C3768" s="268" t="s">
        <v>2049</v>
      </c>
      <c r="D3768" s="269">
        <v>42817</v>
      </c>
      <c r="E3768" s="270" t="s">
        <v>3598</v>
      </c>
      <c r="F3768" s="384">
        <v>51.6</v>
      </c>
      <c r="G3768" s="270">
        <v>190221603</v>
      </c>
    </row>
    <row r="3769" spans="1:7" x14ac:dyDescent="0.25">
      <c r="A3769" s="257">
        <v>3773</v>
      </c>
      <c r="B3769" s="267">
        <v>3768</v>
      </c>
      <c r="C3769" s="268" t="s">
        <v>3302</v>
      </c>
      <c r="D3769" s="269">
        <v>42817</v>
      </c>
      <c r="E3769" s="270" t="s">
        <v>1879</v>
      </c>
      <c r="F3769" s="384">
        <v>11.5</v>
      </c>
      <c r="G3769" s="270">
        <v>291232873</v>
      </c>
    </row>
    <row r="3770" spans="1:7" x14ac:dyDescent="0.25">
      <c r="A3770" s="257">
        <v>3774</v>
      </c>
      <c r="B3770" s="267">
        <v>3769</v>
      </c>
      <c r="C3770" s="268" t="s">
        <v>3302</v>
      </c>
      <c r="D3770" s="269">
        <v>42817</v>
      </c>
      <c r="E3770" s="270" t="s">
        <v>1879</v>
      </c>
      <c r="F3770" s="384">
        <v>11.5</v>
      </c>
      <c r="G3770" s="270">
        <v>291232873</v>
      </c>
    </row>
    <row r="3771" spans="1:7" x14ac:dyDescent="0.25">
      <c r="A3771" s="257">
        <v>3775</v>
      </c>
      <c r="B3771" s="267">
        <v>3770</v>
      </c>
      <c r="C3771" s="268" t="s">
        <v>2162</v>
      </c>
      <c r="D3771" s="269">
        <v>42817</v>
      </c>
      <c r="E3771" s="270" t="s">
        <v>2851</v>
      </c>
      <c r="F3771" s="384">
        <v>18.399999999999999</v>
      </c>
      <c r="G3771" s="270">
        <v>691463537</v>
      </c>
    </row>
    <row r="3772" spans="1:7" x14ac:dyDescent="0.25">
      <c r="A3772" s="257">
        <v>3776</v>
      </c>
      <c r="B3772" s="267">
        <v>3771</v>
      </c>
      <c r="C3772" s="268" t="s">
        <v>190</v>
      </c>
      <c r="D3772" s="269">
        <v>42817</v>
      </c>
      <c r="E3772" s="270" t="s">
        <v>1951</v>
      </c>
      <c r="F3772" s="384">
        <v>35.6</v>
      </c>
      <c r="G3772" s="270">
        <v>400424686</v>
      </c>
    </row>
    <row r="3773" spans="1:7" x14ac:dyDescent="0.25">
      <c r="A3773" s="257">
        <v>3777</v>
      </c>
      <c r="B3773" s="267">
        <v>3772</v>
      </c>
      <c r="C3773" s="268" t="s">
        <v>1855</v>
      </c>
      <c r="D3773" s="269">
        <v>42821</v>
      </c>
      <c r="E3773" s="270" t="s">
        <v>1840</v>
      </c>
      <c r="F3773" s="384">
        <v>19.5</v>
      </c>
      <c r="G3773" s="270">
        <v>600068399</v>
      </c>
    </row>
    <row r="3774" spans="1:7" x14ac:dyDescent="0.25">
      <c r="A3774" s="257">
        <v>3778</v>
      </c>
      <c r="B3774" s="267">
        <v>3773</v>
      </c>
      <c r="C3774" s="268" t="s">
        <v>1775</v>
      </c>
      <c r="D3774" s="269">
        <v>42821</v>
      </c>
      <c r="E3774" s="270" t="s">
        <v>4183</v>
      </c>
      <c r="F3774" s="384">
        <v>51.6</v>
      </c>
      <c r="G3774" s="270">
        <v>691061027</v>
      </c>
    </row>
    <row r="3775" spans="1:7" x14ac:dyDescent="0.25">
      <c r="A3775" s="257">
        <v>3779</v>
      </c>
      <c r="B3775" s="267">
        <v>3774</v>
      </c>
      <c r="C3775" s="268" t="s">
        <v>3132</v>
      </c>
      <c r="D3775" s="269">
        <v>42821</v>
      </c>
      <c r="E3775" s="270" t="s">
        <v>1393</v>
      </c>
      <c r="F3775" s="384">
        <v>35.6</v>
      </c>
      <c r="G3775" s="270">
        <v>101026338</v>
      </c>
    </row>
    <row r="3776" spans="1:7" x14ac:dyDescent="0.25">
      <c r="A3776" s="257">
        <v>3780</v>
      </c>
      <c r="B3776" s="267">
        <v>3775</v>
      </c>
      <c r="C3776" s="268" t="s">
        <v>241</v>
      </c>
      <c r="D3776" s="269">
        <v>42821</v>
      </c>
      <c r="E3776" s="270" t="s">
        <v>188</v>
      </c>
      <c r="F3776" s="384">
        <v>33.200000000000003</v>
      </c>
      <c r="G3776" s="270">
        <v>190270596</v>
      </c>
    </row>
    <row r="3777" spans="1:7" x14ac:dyDescent="0.25">
      <c r="A3777" s="257">
        <v>3781</v>
      </c>
      <c r="B3777" s="267">
        <v>3776</v>
      </c>
      <c r="C3777" s="268" t="s">
        <v>134</v>
      </c>
      <c r="D3777" s="269">
        <v>42821</v>
      </c>
      <c r="E3777" s="270" t="s">
        <v>2676</v>
      </c>
      <c r="F3777" s="384">
        <v>19</v>
      </c>
      <c r="G3777" s="270">
        <v>690594220</v>
      </c>
    </row>
    <row r="3778" spans="1:7" x14ac:dyDescent="0.25">
      <c r="A3778" s="257">
        <v>3782</v>
      </c>
      <c r="B3778" s="267">
        <v>3777</v>
      </c>
      <c r="C3778" s="268" t="s">
        <v>1208</v>
      </c>
      <c r="D3778" s="269">
        <v>42821</v>
      </c>
      <c r="E3778" s="270" t="s">
        <v>1202</v>
      </c>
      <c r="F3778" s="384">
        <v>19.5</v>
      </c>
      <c r="G3778" s="270">
        <v>191209942</v>
      </c>
    </row>
    <row r="3779" spans="1:7" x14ac:dyDescent="0.25">
      <c r="A3779" s="257">
        <v>3783</v>
      </c>
      <c r="B3779" s="267">
        <v>3778</v>
      </c>
      <c r="C3779" s="268" t="s">
        <v>4150</v>
      </c>
      <c r="D3779" s="269">
        <v>42821</v>
      </c>
      <c r="E3779" s="270" t="s">
        <v>455</v>
      </c>
      <c r="F3779" s="384">
        <v>33.200000000000003</v>
      </c>
      <c r="G3779" s="270">
        <v>190638152</v>
      </c>
    </row>
    <row r="3780" spans="1:7" x14ac:dyDescent="0.25">
      <c r="A3780" s="257">
        <v>3784</v>
      </c>
      <c r="B3780" s="267">
        <v>3779</v>
      </c>
      <c r="C3780" s="268" t="s">
        <v>334</v>
      </c>
      <c r="D3780" s="269">
        <v>42821</v>
      </c>
      <c r="E3780" s="270" t="s">
        <v>3324</v>
      </c>
      <c r="F3780" s="384">
        <v>28.4</v>
      </c>
      <c r="G3780" s="270">
        <v>190253060</v>
      </c>
    </row>
    <row r="3781" spans="1:7" x14ac:dyDescent="0.25">
      <c r="A3781" s="257">
        <v>3785</v>
      </c>
      <c r="B3781" s="267">
        <v>3780</v>
      </c>
      <c r="C3781" s="268" t="s">
        <v>3280</v>
      </c>
      <c r="D3781" s="269">
        <v>42822</v>
      </c>
      <c r="E3781" s="270" t="s">
        <v>4223</v>
      </c>
      <c r="F3781" s="384">
        <v>19.5</v>
      </c>
      <c r="G3781" s="270">
        <v>192212697</v>
      </c>
    </row>
    <row r="3782" spans="1:7" x14ac:dyDescent="0.25">
      <c r="A3782" s="257">
        <v>3786</v>
      </c>
      <c r="B3782" s="267">
        <v>3781</v>
      </c>
      <c r="C3782" s="268" t="s">
        <v>2684</v>
      </c>
      <c r="D3782" s="269">
        <v>42822</v>
      </c>
      <c r="E3782" s="270" t="s">
        <v>4</v>
      </c>
      <c r="F3782" s="384">
        <v>18.399999999999999</v>
      </c>
      <c r="G3782" s="270">
        <v>690836601</v>
      </c>
    </row>
    <row r="3783" spans="1:7" x14ac:dyDescent="0.25">
      <c r="A3783" s="257">
        <v>3787</v>
      </c>
      <c r="B3783" s="267">
        <v>3782</v>
      </c>
      <c r="C3783" s="268" t="s">
        <v>1124</v>
      </c>
      <c r="D3783" s="269">
        <v>42822</v>
      </c>
      <c r="E3783" s="270" t="s">
        <v>19</v>
      </c>
      <c r="F3783" s="384">
        <v>18.399999999999999</v>
      </c>
      <c r="G3783" s="270">
        <v>100955538</v>
      </c>
    </row>
    <row r="3784" spans="1:7" x14ac:dyDescent="0.25">
      <c r="A3784" s="257">
        <v>3788</v>
      </c>
      <c r="B3784" s="267">
        <v>3783</v>
      </c>
      <c r="C3784" s="268" t="s">
        <v>3661</v>
      </c>
      <c r="D3784" s="269">
        <v>42822</v>
      </c>
      <c r="E3784" s="270" t="s">
        <v>1222</v>
      </c>
      <c r="F3784" s="384">
        <v>23.5</v>
      </c>
      <c r="G3784" s="270">
        <v>691364780</v>
      </c>
    </row>
    <row r="3785" spans="1:7" x14ac:dyDescent="0.25">
      <c r="A3785" s="257">
        <v>3789</v>
      </c>
      <c r="B3785" s="267">
        <v>3784</v>
      </c>
      <c r="C3785" s="268" t="s">
        <v>1540</v>
      </c>
      <c r="D3785" s="269">
        <v>42822</v>
      </c>
      <c r="E3785" s="270" t="s">
        <v>2668</v>
      </c>
      <c r="F3785" s="384">
        <v>23.5</v>
      </c>
      <c r="G3785" s="270">
        <v>191428080</v>
      </c>
    </row>
    <row r="3786" spans="1:7" x14ac:dyDescent="0.25">
      <c r="A3786" s="257">
        <v>3790</v>
      </c>
      <c r="B3786" s="267">
        <v>3785</v>
      </c>
      <c r="C3786" s="268" t="s">
        <v>462</v>
      </c>
      <c r="D3786" s="269">
        <v>42822</v>
      </c>
      <c r="E3786" s="270" t="s">
        <v>239</v>
      </c>
      <c r="F3786" s="384">
        <v>51.6</v>
      </c>
      <c r="G3786" s="270">
        <v>101139097</v>
      </c>
    </row>
    <row r="3787" spans="1:7" x14ac:dyDescent="0.25">
      <c r="A3787" s="257">
        <v>3791</v>
      </c>
      <c r="B3787" s="267">
        <v>3786</v>
      </c>
      <c r="C3787" s="268" t="s">
        <v>2049</v>
      </c>
      <c r="D3787" s="269">
        <v>42823</v>
      </c>
      <c r="E3787" s="270" t="s">
        <v>3598</v>
      </c>
      <c r="F3787" s="384">
        <v>3.5</v>
      </c>
      <c r="G3787" s="270">
        <v>190221603</v>
      </c>
    </row>
    <row r="3788" spans="1:7" x14ac:dyDescent="0.25">
      <c r="A3788" s="257">
        <v>3792</v>
      </c>
      <c r="B3788" s="267">
        <v>3787</v>
      </c>
      <c r="C3788" s="268" t="s">
        <v>3621</v>
      </c>
      <c r="D3788" s="269">
        <v>42823</v>
      </c>
      <c r="E3788" s="270" t="s">
        <v>1644</v>
      </c>
      <c r="F3788" s="384">
        <v>166</v>
      </c>
      <c r="G3788" s="270">
        <v>100315288</v>
      </c>
    </row>
    <row r="3789" spans="1:7" x14ac:dyDescent="0.25">
      <c r="A3789" s="257">
        <v>3793</v>
      </c>
      <c r="B3789" s="267">
        <v>3788</v>
      </c>
      <c r="C3789" s="268" t="s">
        <v>2753</v>
      </c>
      <c r="D3789" s="269">
        <v>42823</v>
      </c>
      <c r="E3789" s="270" t="s">
        <v>3783</v>
      </c>
      <c r="F3789" s="384">
        <v>35.6</v>
      </c>
      <c r="G3789" s="270">
        <v>691072066</v>
      </c>
    </row>
    <row r="3790" spans="1:7" x14ac:dyDescent="0.25">
      <c r="A3790" s="257">
        <v>3794</v>
      </c>
      <c r="B3790" s="267">
        <v>3789</v>
      </c>
      <c r="C3790" s="268" t="s">
        <v>1102</v>
      </c>
      <c r="D3790" s="269">
        <v>42823</v>
      </c>
      <c r="E3790" s="270" t="s">
        <v>2609</v>
      </c>
      <c r="F3790" s="384">
        <v>28.4</v>
      </c>
      <c r="G3790" s="270">
        <v>190549048</v>
      </c>
    </row>
    <row r="3791" spans="1:7" x14ac:dyDescent="0.25">
      <c r="A3791" s="257">
        <v>3795</v>
      </c>
      <c r="B3791" s="267">
        <v>3790</v>
      </c>
      <c r="C3791" s="268" t="s">
        <v>732</v>
      </c>
      <c r="D3791" s="269">
        <v>42823</v>
      </c>
      <c r="E3791" s="270" t="s">
        <v>3793</v>
      </c>
      <c r="F3791" s="384">
        <v>33.200000000000003</v>
      </c>
      <c r="G3791" s="270">
        <v>100349659</v>
      </c>
    </row>
    <row r="3792" spans="1:7" x14ac:dyDescent="0.25">
      <c r="A3792" s="257">
        <v>3796</v>
      </c>
      <c r="B3792" s="267">
        <v>3791</v>
      </c>
      <c r="C3792" s="268" t="s">
        <v>67</v>
      </c>
      <c r="D3792" s="269">
        <v>42823</v>
      </c>
      <c r="E3792" s="270" t="s">
        <v>1118</v>
      </c>
      <c r="F3792" s="384">
        <v>46.8</v>
      </c>
      <c r="G3792" s="270">
        <v>691601521</v>
      </c>
    </row>
    <row r="3793" spans="1:7" x14ac:dyDescent="0.25">
      <c r="A3793" s="257">
        <v>3797</v>
      </c>
      <c r="B3793" s="267">
        <v>3792</v>
      </c>
      <c r="C3793" s="268" t="s">
        <v>2794</v>
      </c>
      <c r="D3793" s="269">
        <v>42823</v>
      </c>
      <c r="E3793" s="270" t="s">
        <v>3799</v>
      </c>
      <c r="F3793" s="384">
        <v>23.5</v>
      </c>
      <c r="G3793" s="270">
        <v>191124219</v>
      </c>
    </row>
    <row r="3794" spans="1:7" x14ac:dyDescent="0.25">
      <c r="A3794" s="257">
        <v>3798</v>
      </c>
      <c r="B3794" s="267">
        <v>3793</v>
      </c>
      <c r="C3794" s="268" t="s">
        <v>1917</v>
      </c>
      <c r="D3794" s="269">
        <v>42824</v>
      </c>
      <c r="E3794" s="270" t="s">
        <v>1607</v>
      </c>
      <c r="F3794" s="384">
        <v>51.6</v>
      </c>
      <c r="G3794" s="270">
        <v>690643672</v>
      </c>
    </row>
    <row r="3795" spans="1:7" x14ac:dyDescent="0.25">
      <c r="A3795" s="257">
        <v>3799</v>
      </c>
      <c r="B3795" s="267">
        <v>3794</v>
      </c>
      <c r="C3795" s="268" t="s">
        <v>241</v>
      </c>
      <c r="D3795" s="269">
        <v>42824</v>
      </c>
      <c r="E3795" s="270" t="s">
        <v>188</v>
      </c>
      <c r="F3795" s="384">
        <v>33.200000000000003</v>
      </c>
      <c r="G3795" s="270">
        <v>190270596</v>
      </c>
    </row>
    <row r="3796" spans="1:7" x14ac:dyDescent="0.25">
      <c r="A3796" s="257">
        <v>3800</v>
      </c>
      <c r="B3796" s="267">
        <v>3795</v>
      </c>
      <c r="C3796" s="268" t="s">
        <v>135</v>
      </c>
      <c r="D3796" s="269">
        <v>42824</v>
      </c>
      <c r="E3796" s="270" t="s">
        <v>3548</v>
      </c>
      <c r="F3796" s="384">
        <v>33.200000000000003</v>
      </c>
      <c r="G3796" s="270">
        <v>100192928</v>
      </c>
    </row>
    <row r="3797" spans="1:7" x14ac:dyDescent="0.25">
      <c r="A3797" s="257">
        <v>3801</v>
      </c>
      <c r="B3797" s="267">
        <v>3796</v>
      </c>
      <c r="C3797" s="268" t="s">
        <v>2822</v>
      </c>
      <c r="D3797" s="269">
        <v>42824</v>
      </c>
      <c r="E3797" s="270" t="s">
        <v>2795</v>
      </c>
      <c r="F3797" s="384">
        <v>33.200000000000003</v>
      </c>
      <c r="G3797" s="270">
        <v>691536707</v>
      </c>
    </row>
    <row r="3798" spans="1:7" x14ac:dyDescent="0.25">
      <c r="A3798" s="257">
        <v>3802</v>
      </c>
      <c r="B3798" s="267">
        <v>3797</v>
      </c>
      <c r="C3798" s="268" t="s">
        <v>129</v>
      </c>
      <c r="D3798" s="269">
        <v>42824</v>
      </c>
      <c r="E3798" s="270" t="s">
        <v>3819</v>
      </c>
      <c r="F3798" s="384">
        <v>97.5</v>
      </c>
      <c r="G3798" s="270">
        <v>101528843</v>
      </c>
    </row>
    <row r="3799" spans="1:7" x14ac:dyDescent="0.25">
      <c r="A3799" s="257">
        <v>3803</v>
      </c>
      <c r="B3799" s="267">
        <v>3798</v>
      </c>
      <c r="C3799" s="268" t="s">
        <v>2765</v>
      </c>
      <c r="D3799" s="269">
        <v>42824</v>
      </c>
      <c r="E3799" s="270" t="s">
        <v>1927</v>
      </c>
      <c r="F3799" s="384">
        <v>18.399999999999999</v>
      </c>
      <c r="G3799" s="270">
        <v>190032958</v>
      </c>
    </row>
    <row r="3800" spans="1:7" x14ac:dyDescent="0.25">
      <c r="A3800" s="257">
        <v>3804</v>
      </c>
      <c r="B3800" s="267">
        <v>3799</v>
      </c>
      <c r="C3800" s="268" t="s">
        <v>3851</v>
      </c>
      <c r="D3800" s="269">
        <v>42824</v>
      </c>
      <c r="E3800" s="270" t="s">
        <v>3631</v>
      </c>
      <c r="F3800" s="384">
        <v>23.5</v>
      </c>
      <c r="G3800" s="270">
        <v>691380883</v>
      </c>
    </row>
    <row r="3801" spans="1:7" x14ac:dyDescent="0.25">
      <c r="A3801" s="257">
        <v>3805</v>
      </c>
      <c r="B3801" s="267">
        <v>3800</v>
      </c>
      <c r="C3801" s="268" t="s">
        <v>319</v>
      </c>
      <c r="D3801" s="269">
        <v>42825</v>
      </c>
      <c r="E3801" s="270" t="s">
        <v>168</v>
      </c>
      <c r="F3801" s="384">
        <v>28.4</v>
      </c>
      <c r="G3801" s="270">
        <v>192566948</v>
      </c>
    </row>
    <row r="3802" spans="1:7" x14ac:dyDescent="0.25">
      <c r="A3802" s="257">
        <v>3806</v>
      </c>
      <c r="B3802" s="267">
        <v>3801</v>
      </c>
      <c r="C3802" s="268" t="s">
        <v>4239</v>
      </c>
      <c r="D3802" s="269">
        <v>42825</v>
      </c>
      <c r="E3802" s="270" t="s">
        <v>2757</v>
      </c>
      <c r="F3802" s="384">
        <v>51.6</v>
      </c>
      <c r="G3802" s="270">
        <v>691523351</v>
      </c>
    </row>
    <row r="3803" spans="1:7" x14ac:dyDescent="0.25">
      <c r="A3803" s="257">
        <v>3807</v>
      </c>
      <c r="B3803" s="267">
        <v>3802</v>
      </c>
      <c r="C3803" s="268" t="s">
        <v>686</v>
      </c>
      <c r="D3803" s="269">
        <v>42825</v>
      </c>
      <c r="E3803" s="270" t="s">
        <v>3611</v>
      </c>
      <c r="F3803" s="384">
        <v>23.5</v>
      </c>
      <c r="G3803" s="270">
        <v>190098681</v>
      </c>
    </row>
    <row r="3804" spans="1:7" x14ac:dyDescent="0.25">
      <c r="A3804" s="257">
        <v>3808</v>
      </c>
      <c r="B3804" s="267">
        <v>3803</v>
      </c>
      <c r="C3804" s="268" t="s">
        <v>3618</v>
      </c>
      <c r="D3804" s="269">
        <v>42825</v>
      </c>
      <c r="E3804" s="270" t="s">
        <v>4232</v>
      </c>
      <c r="F3804" s="384">
        <v>33.200000000000003</v>
      </c>
      <c r="G3804" s="270">
        <v>690616954</v>
      </c>
    </row>
    <row r="3805" spans="1:7" x14ac:dyDescent="0.25">
      <c r="A3805" s="257">
        <v>3809</v>
      </c>
      <c r="B3805" s="267">
        <v>3804</v>
      </c>
      <c r="C3805" s="268" t="s">
        <v>185</v>
      </c>
      <c r="D3805" s="269">
        <v>42828</v>
      </c>
      <c r="E3805" s="270" t="s">
        <v>2859</v>
      </c>
      <c r="F3805" s="384">
        <v>99.600000000000009</v>
      </c>
      <c r="G3805" s="270">
        <v>100261801</v>
      </c>
    </row>
    <row r="3806" spans="1:7" x14ac:dyDescent="0.25">
      <c r="A3806" s="257">
        <v>3810</v>
      </c>
      <c r="B3806" s="267">
        <v>3805</v>
      </c>
      <c r="C3806" s="268" t="s">
        <v>462</v>
      </c>
      <c r="D3806" s="269">
        <v>42828</v>
      </c>
      <c r="E3806" s="270" t="s">
        <v>239</v>
      </c>
      <c r="F3806" s="384">
        <v>154.80000000000001</v>
      </c>
      <c r="G3806" s="270">
        <v>101139097</v>
      </c>
    </row>
    <row r="3807" spans="1:7" x14ac:dyDescent="0.25">
      <c r="A3807" s="257">
        <v>3811</v>
      </c>
      <c r="B3807" s="267">
        <v>3806</v>
      </c>
      <c r="C3807" s="268" t="s">
        <v>1028</v>
      </c>
      <c r="D3807" s="269">
        <v>42828</v>
      </c>
      <c r="E3807" s="270" t="s">
        <v>2072</v>
      </c>
      <c r="F3807" s="384">
        <v>23.5</v>
      </c>
      <c r="G3807" s="270">
        <v>191251634</v>
      </c>
    </row>
    <row r="3808" spans="1:7" x14ac:dyDescent="0.25">
      <c r="A3808" s="257">
        <v>3812</v>
      </c>
      <c r="B3808" s="267">
        <v>3807</v>
      </c>
      <c r="C3808" s="268" t="s">
        <v>1055</v>
      </c>
      <c r="D3808" s="269">
        <v>42828</v>
      </c>
      <c r="E3808" s="270" t="s">
        <v>1163</v>
      </c>
      <c r="F3808" s="384">
        <v>51.6</v>
      </c>
      <c r="G3808" s="270">
        <v>191360926</v>
      </c>
    </row>
    <row r="3809" spans="1:7" x14ac:dyDescent="0.25">
      <c r="A3809" s="257">
        <v>3813</v>
      </c>
      <c r="B3809" s="267">
        <v>3808</v>
      </c>
      <c r="C3809" s="268" t="s">
        <v>3326</v>
      </c>
      <c r="D3809" s="269">
        <v>42828</v>
      </c>
      <c r="E3809" s="270" t="s">
        <v>1684</v>
      </c>
      <c r="F3809" s="384">
        <v>35.6</v>
      </c>
      <c r="G3809" s="270">
        <v>100819821</v>
      </c>
    </row>
    <row r="3810" spans="1:7" x14ac:dyDescent="0.25">
      <c r="A3810" s="257">
        <v>3814</v>
      </c>
      <c r="B3810" s="267">
        <v>3809</v>
      </c>
      <c r="C3810" s="268" t="s">
        <v>2734</v>
      </c>
      <c r="D3810" s="269">
        <v>42828</v>
      </c>
      <c r="E3810" s="270" t="s">
        <v>449</v>
      </c>
      <c r="F3810" s="384">
        <v>33.200000000000003</v>
      </c>
      <c r="G3810" s="270">
        <v>100025732</v>
      </c>
    </row>
    <row r="3811" spans="1:7" x14ac:dyDescent="0.25">
      <c r="A3811" s="257">
        <v>3815</v>
      </c>
      <c r="B3811" s="267">
        <v>3810</v>
      </c>
      <c r="C3811" s="268" t="s">
        <v>2432</v>
      </c>
      <c r="D3811" s="269">
        <v>42828</v>
      </c>
      <c r="E3811" s="270" t="s">
        <v>1298</v>
      </c>
      <c r="F3811" s="384">
        <v>18.399999999999999</v>
      </c>
      <c r="G3811" s="270">
        <v>691425532</v>
      </c>
    </row>
    <row r="3812" spans="1:7" x14ac:dyDescent="0.25">
      <c r="A3812" s="257">
        <v>3816</v>
      </c>
      <c r="B3812" s="267">
        <v>3811</v>
      </c>
      <c r="C3812" s="268" t="s">
        <v>1613</v>
      </c>
      <c r="D3812" s="269">
        <v>42828</v>
      </c>
      <c r="E3812" s="270" t="s">
        <v>3355</v>
      </c>
      <c r="F3812" s="384">
        <v>28.4</v>
      </c>
      <c r="G3812" s="270">
        <v>100345799</v>
      </c>
    </row>
    <row r="3813" spans="1:7" x14ac:dyDescent="0.25">
      <c r="A3813" s="257">
        <v>3817</v>
      </c>
      <c r="B3813" s="267">
        <v>3812</v>
      </c>
      <c r="C3813" s="268" t="s">
        <v>3661</v>
      </c>
      <c r="D3813" s="269">
        <v>42828</v>
      </c>
      <c r="E3813" s="270" t="s">
        <v>1222</v>
      </c>
      <c r="F3813" s="384">
        <v>23.5</v>
      </c>
      <c r="G3813" s="270">
        <v>691364780</v>
      </c>
    </row>
    <row r="3814" spans="1:7" x14ac:dyDescent="0.25">
      <c r="A3814" s="257">
        <v>3818</v>
      </c>
      <c r="B3814" s="267">
        <v>3813</v>
      </c>
      <c r="C3814" s="268" t="s">
        <v>1121</v>
      </c>
      <c r="D3814" s="269">
        <v>42829</v>
      </c>
      <c r="E3814" s="270" t="s">
        <v>209</v>
      </c>
      <c r="F3814" s="384">
        <v>43</v>
      </c>
      <c r="G3814" s="270">
        <v>191118996</v>
      </c>
    </row>
    <row r="3815" spans="1:7" x14ac:dyDescent="0.25">
      <c r="A3815" s="257">
        <v>3819</v>
      </c>
      <c r="B3815" s="267">
        <v>3814</v>
      </c>
      <c r="C3815" s="268" t="s">
        <v>3111</v>
      </c>
      <c r="D3815" s="269">
        <v>42829</v>
      </c>
      <c r="E3815" s="270" t="s">
        <v>3667</v>
      </c>
      <c r="F3815" s="384">
        <v>51.6</v>
      </c>
      <c r="G3815" s="270">
        <v>691433174</v>
      </c>
    </row>
    <row r="3816" spans="1:7" x14ac:dyDescent="0.25">
      <c r="A3816" s="257">
        <v>3820</v>
      </c>
      <c r="B3816" s="267">
        <v>3815</v>
      </c>
      <c r="C3816" s="268" t="s">
        <v>3599</v>
      </c>
      <c r="D3816" s="269">
        <v>42829</v>
      </c>
      <c r="E3816" s="270" t="s">
        <v>906</v>
      </c>
      <c r="F3816" s="384">
        <v>35.6</v>
      </c>
      <c r="G3816" s="270">
        <v>100348119</v>
      </c>
    </row>
    <row r="3817" spans="1:7" x14ac:dyDescent="0.25">
      <c r="A3817" s="257">
        <v>3821</v>
      </c>
      <c r="B3817" s="267">
        <v>3816</v>
      </c>
      <c r="C3817" s="268" t="s">
        <v>159</v>
      </c>
      <c r="D3817" s="269">
        <v>42829</v>
      </c>
      <c r="E3817" s="270" t="s">
        <v>2897</v>
      </c>
      <c r="F3817" s="384">
        <v>51.6</v>
      </c>
      <c r="G3817" s="270">
        <v>100154581</v>
      </c>
    </row>
    <row r="3818" spans="1:7" x14ac:dyDescent="0.25">
      <c r="A3818" s="257">
        <v>3822</v>
      </c>
      <c r="B3818" s="267">
        <v>3817</v>
      </c>
      <c r="C3818" s="268" t="s">
        <v>457</v>
      </c>
      <c r="D3818" s="269">
        <v>42829</v>
      </c>
      <c r="E3818" s="270" t="s">
        <v>1321</v>
      </c>
      <c r="F3818" s="384">
        <v>19</v>
      </c>
      <c r="G3818" s="270">
        <v>190729471</v>
      </c>
    </row>
    <row r="3819" spans="1:7" x14ac:dyDescent="0.25">
      <c r="A3819" s="257">
        <v>3823</v>
      </c>
      <c r="B3819" s="267">
        <v>3818</v>
      </c>
      <c r="C3819" s="268" t="s">
        <v>1117</v>
      </c>
      <c r="D3819" s="269">
        <v>42829</v>
      </c>
      <c r="E3819" s="270" t="s">
        <v>1796</v>
      </c>
      <c r="F3819" s="384">
        <v>18.399999999999999</v>
      </c>
      <c r="G3819" s="270">
        <v>100872922</v>
      </c>
    </row>
    <row r="3820" spans="1:7" x14ac:dyDescent="0.25">
      <c r="A3820" s="257">
        <v>3824</v>
      </c>
      <c r="B3820" s="267">
        <v>3819</v>
      </c>
      <c r="C3820" s="268" t="s">
        <v>3766</v>
      </c>
      <c r="D3820" s="269">
        <v>42829</v>
      </c>
      <c r="E3820" s="270" t="s">
        <v>813</v>
      </c>
      <c r="F3820" s="384">
        <v>38</v>
      </c>
      <c r="G3820" s="270">
        <v>100648873</v>
      </c>
    </row>
    <row r="3821" spans="1:7" x14ac:dyDescent="0.25">
      <c r="A3821" s="257">
        <v>3825</v>
      </c>
      <c r="B3821" s="267">
        <v>3820</v>
      </c>
      <c r="C3821" s="268" t="s">
        <v>411</v>
      </c>
      <c r="D3821" s="269">
        <v>42829</v>
      </c>
      <c r="E3821" s="270" t="s">
        <v>3228</v>
      </c>
      <c r="F3821" s="384">
        <v>56.8</v>
      </c>
      <c r="G3821" s="270">
        <v>100025653</v>
      </c>
    </row>
    <row r="3822" spans="1:7" x14ac:dyDescent="0.25">
      <c r="A3822" s="257">
        <v>3826</v>
      </c>
      <c r="B3822" s="267">
        <v>3821</v>
      </c>
      <c r="C3822" s="268" t="s">
        <v>895</v>
      </c>
      <c r="D3822" s="269">
        <v>42829</v>
      </c>
      <c r="E3822" s="270" t="s">
        <v>516</v>
      </c>
      <c r="F3822" s="384">
        <v>103.2</v>
      </c>
      <c r="G3822" s="270">
        <v>691591762</v>
      </c>
    </row>
    <row r="3823" spans="1:7" x14ac:dyDescent="0.25">
      <c r="A3823" s="257">
        <v>3827</v>
      </c>
      <c r="B3823" s="267">
        <v>3822</v>
      </c>
      <c r="C3823" s="268" t="s">
        <v>2722</v>
      </c>
      <c r="D3823" s="269">
        <v>42829</v>
      </c>
      <c r="E3823" s="270" t="s">
        <v>1335</v>
      </c>
      <c r="F3823" s="384">
        <v>4.3</v>
      </c>
      <c r="G3823" s="270">
        <v>101489130</v>
      </c>
    </row>
    <row r="3824" spans="1:7" x14ac:dyDescent="0.25">
      <c r="A3824" s="257">
        <v>3828</v>
      </c>
      <c r="B3824" s="267">
        <v>3823</v>
      </c>
      <c r="C3824" s="268" t="s">
        <v>2432</v>
      </c>
      <c r="D3824" s="269">
        <v>42829</v>
      </c>
      <c r="E3824" s="270" t="s">
        <v>1298</v>
      </c>
      <c r="F3824" s="384">
        <v>7.4</v>
      </c>
      <c r="G3824" s="270">
        <v>691425532</v>
      </c>
    </row>
    <row r="3825" spans="1:7" x14ac:dyDescent="0.25">
      <c r="A3825" s="257">
        <v>3829</v>
      </c>
      <c r="B3825" s="267">
        <v>3824</v>
      </c>
      <c r="C3825" s="268" t="s">
        <v>1113</v>
      </c>
      <c r="D3825" s="269">
        <v>42829</v>
      </c>
      <c r="E3825" s="270" t="s">
        <v>2379</v>
      </c>
      <c r="F3825" s="384">
        <v>25.2</v>
      </c>
      <c r="G3825" s="270">
        <v>190664298</v>
      </c>
    </row>
    <row r="3826" spans="1:7" x14ac:dyDescent="0.25">
      <c r="A3826" s="257">
        <v>3830</v>
      </c>
      <c r="B3826" s="267">
        <v>3825</v>
      </c>
      <c r="C3826" s="268" t="s">
        <v>2406</v>
      </c>
      <c r="D3826" s="269">
        <v>42830</v>
      </c>
      <c r="E3826" s="270" t="s">
        <v>3552</v>
      </c>
      <c r="F3826" s="384">
        <v>18.399999999999999</v>
      </c>
      <c r="G3826" s="270">
        <v>191569368</v>
      </c>
    </row>
    <row r="3827" spans="1:7" x14ac:dyDescent="0.25">
      <c r="A3827" s="257">
        <v>3831</v>
      </c>
      <c r="B3827" s="267">
        <v>3826</v>
      </c>
      <c r="C3827" s="268" t="s">
        <v>2406</v>
      </c>
      <c r="D3827" s="269">
        <v>42830</v>
      </c>
      <c r="E3827" s="270" t="s">
        <v>3552</v>
      </c>
      <c r="F3827" s="384">
        <v>33.200000000000003</v>
      </c>
      <c r="G3827" s="270">
        <v>191569368</v>
      </c>
    </row>
    <row r="3828" spans="1:7" x14ac:dyDescent="0.25">
      <c r="A3828" s="257">
        <v>3832</v>
      </c>
      <c r="B3828" s="267">
        <v>3827</v>
      </c>
      <c r="C3828" s="268" t="s">
        <v>2722</v>
      </c>
      <c r="D3828" s="269">
        <v>42830</v>
      </c>
      <c r="E3828" s="270" t="s">
        <v>1340</v>
      </c>
      <c r="F3828" s="384">
        <v>56.7</v>
      </c>
      <c r="G3828" s="270">
        <v>691131810</v>
      </c>
    </row>
    <row r="3829" spans="1:7" x14ac:dyDescent="0.25">
      <c r="A3829" s="257">
        <v>3833</v>
      </c>
      <c r="B3829" s="267">
        <v>3828</v>
      </c>
      <c r="C3829" s="268" t="s">
        <v>129</v>
      </c>
      <c r="D3829" s="269">
        <v>42830</v>
      </c>
      <c r="E3829" s="270" t="s">
        <v>3819</v>
      </c>
      <c r="F3829" s="384">
        <v>86</v>
      </c>
      <c r="G3829" s="270">
        <v>101528843</v>
      </c>
    </row>
    <row r="3830" spans="1:7" x14ac:dyDescent="0.25">
      <c r="A3830" s="257">
        <v>3834</v>
      </c>
      <c r="B3830" s="267">
        <v>3829</v>
      </c>
      <c r="C3830" s="268" t="s">
        <v>196</v>
      </c>
      <c r="D3830" s="269">
        <v>42830</v>
      </c>
      <c r="E3830" s="270" t="s">
        <v>2389</v>
      </c>
      <c r="F3830" s="384">
        <v>23.5</v>
      </c>
      <c r="G3830" s="270">
        <v>190919588</v>
      </c>
    </row>
    <row r="3831" spans="1:7" x14ac:dyDescent="0.25">
      <c r="A3831" s="257">
        <v>3835</v>
      </c>
      <c r="B3831" s="267">
        <v>3830</v>
      </c>
      <c r="C3831" s="268" t="s">
        <v>4150</v>
      </c>
      <c r="D3831" s="269">
        <v>42830</v>
      </c>
      <c r="E3831" s="270" t="s">
        <v>455</v>
      </c>
      <c r="F3831" s="384">
        <v>33.200000000000003</v>
      </c>
      <c r="G3831" s="270">
        <v>190638152</v>
      </c>
    </row>
    <row r="3832" spans="1:7" x14ac:dyDescent="0.25">
      <c r="A3832" s="257">
        <v>3836</v>
      </c>
      <c r="B3832" s="267">
        <v>3831</v>
      </c>
      <c r="C3832" s="268" t="s">
        <v>1917</v>
      </c>
      <c r="D3832" s="269">
        <v>42831</v>
      </c>
      <c r="E3832" s="270" t="s">
        <v>1607</v>
      </c>
      <c r="F3832" s="384">
        <v>51.6</v>
      </c>
      <c r="G3832" s="270">
        <v>690643672</v>
      </c>
    </row>
    <row r="3833" spans="1:7" x14ac:dyDescent="0.25">
      <c r="A3833" s="257">
        <v>3837</v>
      </c>
      <c r="B3833" s="267">
        <v>3832</v>
      </c>
      <c r="C3833" s="268" t="s">
        <v>3103</v>
      </c>
      <c r="D3833" s="269">
        <v>42831</v>
      </c>
      <c r="E3833" s="270" t="s">
        <v>164</v>
      </c>
      <c r="F3833" s="384">
        <v>28.4</v>
      </c>
      <c r="G3833" s="270">
        <v>100534485</v>
      </c>
    </row>
    <row r="3834" spans="1:7" x14ac:dyDescent="0.25">
      <c r="A3834" s="257">
        <v>3838</v>
      </c>
      <c r="B3834" s="267">
        <v>3833</v>
      </c>
      <c r="C3834" s="268" t="s">
        <v>266</v>
      </c>
      <c r="D3834" s="269">
        <v>42831</v>
      </c>
      <c r="E3834" s="270" t="s">
        <v>2370</v>
      </c>
      <c r="F3834" s="384">
        <v>66.400000000000006</v>
      </c>
      <c r="G3834" s="270">
        <v>100315382</v>
      </c>
    </row>
    <row r="3835" spans="1:7" x14ac:dyDescent="0.25">
      <c r="A3835" s="257">
        <v>3839</v>
      </c>
      <c r="B3835" s="267">
        <v>3834</v>
      </c>
      <c r="C3835" s="268" t="s">
        <v>420</v>
      </c>
      <c r="D3835" s="269">
        <v>42831</v>
      </c>
      <c r="E3835" s="270" t="s">
        <v>1424</v>
      </c>
      <c r="F3835" s="384">
        <v>8</v>
      </c>
      <c r="G3835" s="270">
        <v>190819978</v>
      </c>
    </row>
    <row r="3836" spans="1:7" x14ac:dyDescent="0.25">
      <c r="A3836" s="257">
        <v>3840</v>
      </c>
      <c r="B3836" s="267">
        <v>3835</v>
      </c>
      <c r="C3836" s="268" t="s">
        <v>53</v>
      </c>
      <c r="D3836" s="269">
        <v>42832</v>
      </c>
      <c r="E3836" s="270" t="s">
        <v>1341</v>
      </c>
      <c r="F3836" s="384">
        <v>39</v>
      </c>
      <c r="G3836" s="270">
        <v>191593564</v>
      </c>
    </row>
    <row r="3837" spans="1:7" x14ac:dyDescent="0.25">
      <c r="A3837" s="257">
        <v>3841</v>
      </c>
      <c r="B3837" s="267">
        <v>3836</v>
      </c>
      <c r="C3837" s="268" t="s">
        <v>2637</v>
      </c>
      <c r="D3837" s="269">
        <v>42832</v>
      </c>
      <c r="E3837" s="270" t="s">
        <v>2760</v>
      </c>
      <c r="F3837" s="384">
        <v>15.2</v>
      </c>
      <c r="G3837" s="270">
        <v>100801936</v>
      </c>
    </row>
    <row r="3838" spans="1:7" x14ac:dyDescent="0.25">
      <c r="A3838" s="257">
        <v>3842</v>
      </c>
      <c r="B3838" s="267">
        <v>3837</v>
      </c>
      <c r="C3838" s="268" t="s">
        <v>2165</v>
      </c>
      <c r="D3838" s="269">
        <v>42832</v>
      </c>
      <c r="E3838" s="270" t="s">
        <v>2161</v>
      </c>
      <c r="F3838" s="384">
        <v>8</v>
      </c>
      <c r="G3838" s="270">
        <v>190775753</v>
      </c>
    </row>
    <row r="3839" spans="1:7" x14ac:dyDescent="0.25">
      <c r="A3839" s="257">
        <v>3843</v>
      </c>
      <c r="B3839" s="267">
        <v>3838</v>
      </c>
      <c r="C3839" s="268" t="s">
        <v>950</v>
      </c>
      <c r="D3839" s="269">
        <v>42832</v>
      </c>
      <c r="E3839" s="270" t="s">
        <v>4226</v>
      </c>
      <c r="F3839" s="384">
        <v>23.5</v>
      </c>
      <c r="G3839" s="270">
        <v>191112043</v>
      </c>
    </row>
    <row r="3840" spans="1:7" x14ac:dyDescent="0.25">
      <c r="A3840" s="257">
        <v>3844</v>
      </c>
      <c r="B3840" s="267">
        <v>3839</v>
      </c>
      <c r="C3840" s="268" t="s">
        <v>2957</v>
      </c>
      <c r="D3840" s="269">
        <v>42832</v>
      </c>
      <c r="E3840" s="270" t="s">
        <v>3164</v>
      </c>
      <c r="F3840" s="384">
        <v>51.6</v>
      </c>
      <c r="G3840" s="270">
        <v>808000584</v>
      </c>
    </row>
    <row r="3841" spans="1:7" x14ac:dyDescent="0.25">
      <c r="A3841" s="257">
        <v>3845</v>
      </c>
      <c r="B3841" s="267">
        <v>3840</v>
      </c>
      <c r="C3841" s="268" t="s">
        <v>417</v>
      </c>
      <c r="D3841" s="269">
        <v>42832</v>
      </c>
      <c r="E3841" s="270" t="s">
        <v>1788</v>
      </c>
      <c r="F3841" s="384">
        <v>206.4</v>
      </c>
      <c r="G3841" s="270">
        <v>800001327</v>
      </c>
    </row>
    <row r="3842" spans="1:7" x14ac:dyDescent="0.25">
      <c r="A3842" s="257">
        <v>3846</v>
      </c>
      <c r="B3842" s="267">
        <v>3841</v>
      </c>
      <c r="C3842" s="268" t="s">
        <v>1613</v>
      </c>
      <c r="D3842" s="269">
        <v>42832</v>
      </c>
      <c r="E3842" s="270" t="s">
        <v>3355</v>
      </c>
      <c r="F3842" s="384">
        <v>9.6000000000000014</v>
      </c>
      <c r="G3842" s="270">
        <v>100345799</v>
      </c>
    </row>
    <row r="3843" spans="1:7" x14ac:dyDescent="0.25">
      <c r="A3843" s="257">
        <v>3847</v>
      </c>
      <c r="B3843" s="267">
        <v>3842</v>
      </c>
      <c r="C3843" s="268" t="s">
        <v>2049</v>
      </c>
      <c r="D3843" s="269">
        <v>42835</v>
      </c>
      <c r="E3843" s="270" t="s">
        <v>3598</v>
      </c>
      <c r="F3843" s="384">
        <v>51.6</v>
      </c>
      <c r="G3843" s="270">
        <v>190221603</v>
      </c>
    </row>
    <row r="3844" spans="1:7" x14ac:dyDescent="0.25">
      <c r="A3844" s="257">
        <v>3848</v>
      </c>
      <c r="B3844" s="267">
        <v>3843</v>
      </c>
      <c r="C3844" s="268" t="s">
        <v>387</v>
      </c>
      <c r="D3844" s="269">
        <v>42835</v>
      </c>
      <c r="E3844" s="270" t="s">
        <v>3629</v>
      </c>
      <c r="F3844" s="384">
        <v>51.6</v>
      </c>
      <c r="G3844" s="270">
        <v>100286955</v>
      </c>
    </row>
    <row r="3845" spans="1:7" x14ac:dyDescent="0.25">
      <c r="A3845" s="257">
        <v>3849</v>
      </c>
      <c r="B3845" s="267">
        <v>3844</v>
      </c>
      <c r="C3845" s="268" t="s">
        <v>934</v>
      </c>
      <c r="D3845" s="269">
        <v>42835</v>
      </c>
      <c r="E3845" s="270" t="s">
        <v>172</v>
      </c>
      <c r="F3845" s="384">
        <v>20</v>
      </c>
      <c r="G3845" s="270">
        <v>100025985</v>
      </c>
    </row>
    <row r="3846" spans="1:7" x14ac:dyDescent="0.25">
      <c r="A3846" s="257">
        <v>3850</v>
      </c>
      <c r="B3846" s="267">
        <v>3845</v>
      </c>
      <c r="C3846" s="268" t="s">
        <v>462</v>
      </c>
      <c r="D3846" s="269">
        <v>42835</v>
      </c>
      <c r="E3846" s="270" t="s">
        <v>239</v>
      </c>
      <c r="F3846" s="384">
        <v>154.80000000000001</v>
      </c>
      <c r="G3846" s="270">
        <v>101139097</v>
      </c>
    </row>
    <row r="3847" spans="1:7" x14ac:dyDescent="0.25">
      <c r="A3847" s="257">
        <v>3851</v>
      </c>
      <c r="B3847" s="267">
        <v>3846</v>
      </c>
      <c r="C3847" s="268" t="s">
        <v>462</v>
      </c>
      <c r="D3847" s="269">
        <v>42835</v>
      </c>
      <c r="E3847" s="270" t="s">
        <v>239</v>
      </c>
      <c r="F3847" s="384">
        <v>4.3</v>
      </c>
      <c r="G3847" s="270">
        <v>101139097</v>
      </c>
    </row>
    <row r="3848" spans="1:7" x14ac:dyDescent="0.25">
      <c r="A3848" s="257">
        <v>3852</v>
      </c>
      <c r="B3848" s="267">
        <v>3847</v>
      </c>
      <c r="C3848" s="268" t="s">
        <v>396</v>
      </c>
      <c r="D3848" s="269">
        <v>42835</v>
      </c>
      <c r="E3848" s="270" t="s">
        <v>1361</v>
      </c>
      <c r="F3848" s="384">
        <v>25.2</v>
      </c>
      <c r="G3848" s="270">
        <v>101497699</v>
      </c>
    </row>
    <row r="3849" spans="1:7" x14ac:dyDescent="0.25">
      <c r="A3849" s="257">
        <v>3853</v>
      </c>
      <c r="B3849" s="267">
        <v>3848</v>
      </c>
      <c r="C3849" s="268" t="s">
        <v>2714</v>
      </c>
      <c r="D3849" s="269">
        <v>42835</v>
      </c>
      <c r="E3849" s="270" t="s">
        <v>2717</v>
      </c>
      <c r="F3849" s="384">
        <v>51.6</v>
      </c>
      <c r="G3849" s="270">
        <v>101538513</v>
      </c>
    </row>
    <row r="3850" spans="1:7" x14ac:dyDescent="0.25">
      <c r="A3850" s="257">
        <v>3854</v>
      </c>
      <c r="B3850" s="267">
        <v>3849</v>
      </c>
      <c r="C3850" s="268" t="s">
        <v>408</v>
      </c>
      <c r="D3850" s="269">
        <v>42835</v>
      </c>
      <c r="E3850" s="270" t="s">
        <v>320</v>
      </c>
      <c r="F3850" s="384">
        <v>51.6</v>
      </c>
      <c r="G3850" s="270">
        <v>690831296</v>
      </c>
    </row>
    <row r="3851" spans="1:7" x14ac:dyDescent="0.25">
      <c r="A3851" s="257">
        <v>3855</v>
      </c>
      <c r="B3851" s="267">
        <v>3850</v>
      </c>
      <c r="C3851" s="268" t="s">
        <v>2735</v>
      </c>
      <c r="D3851" s="269">
        <v>42836</v>
      </c>
      <c r="E3851" s="270" t="s">
        <v>1058</v>
      </c>
      <c r="F3851" s="384">
        <v>99.600000000000009</v>
      </c>
      <c r="G3851" s="270">
        <v>102384873</v>
      </c>
    </row>
    <row r="3852" spans="1:7" x14ac:dyDescent="0.25">
      <c r="A3852" s="257">
        <v>3856</v>
      </c>
      <c r="B3852" s="267">
        <v>3851</v>
      </c>
      <c r="C3852" s="268" t="s">
        <v>1055</v>
      </c>
      <c r="D3852" s="269">
        <v>42836</v>
      </c>
      <c r="E3852" s="270" t="s">
        <v>1163</v>
      </c>
      <c r="F3852" s="384">
        <v>23.5</v>
      </c>
      <c r="G3852" s="270">
        <v>191360926</v>
      </c>
    </row>
    <row r="3853" spans="1:7" x14ac:dyDescent="0.25">
      <c r="A3853" s="257">
        <v>3857</v>
      </c>
      <c r="B3853" s="267">
        <v>3852</v>
      </c>
      <c r="C3853" s="268" t="s">
        <v>3286</v>
      </c>
      <c r="D3853" s="269">
        <v>42836</v>
      </c>
      <c r="E3853" s="270" t="s">
        <v>270</v>
      </c>
      <c r="F3853" s="384">
        <v>19.5</v>
      </c>
      <c r="G3853" s="270">
        <v>190672348</v>
      </c>
    </row>
    <row r="3854" spans="1:7" x14ac:dyDescent="0.25">
      <c r="A3854" s="257">
        <v>3858</v>
      </c>
      <c r="B3854" s="267">
        <v>3853</v>
      </c>
      <c r="C3854" s="268" t="s">
        <v>717</v>
      </c>
      <c r="D3854" s="269">
        <v>42836</v>
      </c>
      <c r="E3854" s="270" t="s">
        <v>1801</v>
      </c>
      <c r="F3854" s="384">
        <v>28.4</v>
      </c>
      <c r="G3854" s="270">
        <v>690230682</v>
      </c>
    </row>
    <row r="3855" spans="1:7" x14ac:dyDescent="0.25">
      <c r="A3855" s="257">
        <v>3859</v>
      </c>
      <c r="B3855" s="267">
        <v>3854</v>
      </c>
      <c r="C3855" s="268" t="s">
        <v>1917</v>
      </c>
      <c r="D3855" s="269">
        <v>42836</v>
      </c>
      <c r="E3855" s="270" t="s">
        <v>1607</v>
      </c>
      <c r="F3855" s="384">
        <v>51.6</v>
      </c>
      <c r="G3855" s="270">
        <v>690643672</v>
      </c>
    </row>
    <row r="3856" spans="1:7" x14ac:dyDescent="0.25">
      <c r="A3856" s="257">
        <v>3860</v>
      </c>
      <c r="B3856" s="267">
        <v>3855</v>
      </c>
      <c r="C3856" s="268" t="s">
        <v>1664</v>
      </c>
      <c r="D3856" s="269">
        <v>42836</v>
      </c>
      <c r="E3856" s="270" t="s">
        <v>1310</v>
      </c>
      <c r="F3856" s="384">
        <v>23.5</v>
      </c>
      <c r="G3856" s="270">
        <v>100008077</v>
      </c>
    </row>
    <row r="3857" spans="1:7" x14ac:dyDescent="0.25">
      <c r="A3857" s="257">
        <v>3861</v>
      </c>
      <c r="B3857" s="267">
        <v>3856</v>
      </c>
      <c r="C3857" s="268" t="s">
        <v>1802</v>
      </c>
      <c r="D3857" s="269">
        <v>42837</v>
      </c>
      <c r="E3857" s="270" t="s">
        <v>3289</v>
      </c>
      <c r="F3857" s="384">
        <v>19.5</v>
      </c>
      <c r="G3857" s="270">
        <v>691459653</v>
      </c>
    </row>
    <row r="3858" spans="1:7" x14ac:dyDescent="0.25">
      <c r="A3858" s="257">
        <v>3862</v>
      </c>
      <c r="B3858" s="267">
        <v>3857</v>
      </c>
      <c r="C3858" s="268" t="s">
        <v>3841</v>
      </c>
      <c r="D3858" s="269">
        <v>42837</v>
      </c>
      <c r="E3858" s="270" t="s">
        <v>3594</v>
      </c>
      <c r="F3858" s="384">
        <v>51.6</v>
      </c>
      <c r="G3858" s="270">
        <v>190882802</v>
      </c>
    </row>
    <row r="3859" spans="1:7" x14ac:dyDescent="0.25">
      <c r="A3859" s="257">
        <v>3863</v>
      </c>
      <c r="B3859" s="267">
        <v>3858</v>
      </c>
      <c r="C3859" s="268" t="s">
        <v>3563</v>
      </c>
      <c r="D3859" s="269">
        <v>42837</v>
      </c>
      <c r="E3859" s="270" t="s">
        <v>927</v>
      </c>
      <c r="F3859" s="384">
        <v>19</v>
      </c>
      <c r="G3859" s="270">
        <v>190454318</v>
      </c>
    </row>
    <row r="3860" spans="1:7" x14ac:dyDescent="0.25">
      <c r="A3860" s="257">
        <v>3864</v>
      </c>
      <c r="B3860" s="267">
        <v>3859</v>
      </c>
      <c r="C3860" s="268" t="s">
        <v>396</v>
      </c>
      <c r="D3860" s="269">
        <v>42837</v>
      </c>
      <c r="E3860" s="270" t="s">
        <v>1361</v>
      </c>
      <c r="F3860" s="384">
        <v>35.6</v>
      </c>
      <c r="G3860" s="270">
        <v>101497699</v>
      </c>
    </row>
    <row r="3861" spans="1:7" x14ac:dyDescent="0.25">
      <c r="A3861" s="257">
        <v>3865</v>
      </c>
      <c r="B3861" s="267">
        <v>3860</v>
      </c>
      <c r="C3861" s="268" t="s">
        <v>2730</v>
      </c>
      <c r="D3861" s="269">
        <v>42837</v>
      </c>
      <c r="E3861" s="270" t="s">
        <v>287</v>
      </c>
      <c r="F3861" s="384">
        <v>36.799999999999997</v>
      </c>
      <c r="G3861" s="270">
        <v>100233681</v>
      </c>
    </row>
    <row r="3862" spans="1:7" x14ac:dyDescent="0.25">
      <c r="A3862" s="257">
        <v>3866</v>
      </c>
      <c r="B3862" s="267">
        <v>3861</v>
      </c>
      <c r="C3862" s="268" t="s">
        <v>3256</v>
      </c>
      <c r="D3862" s="269">
        <v>42837</v>
      </c>
      <c r="E3862" s="270" t="s">
        <v>293</v>
      </c>
      <c r="F3862" s="384">
        <v>51.6</v>
      </c>
      <c r="G3862" s="270">
        <v>691533075</v>
      </c>
    </row>
    <row r="3863" spans="1:7" x14ac:dyDescent="0.25">
      <c r="A3863" s="257">
        <v>3867</v>
      </c>
      <c r="B3863" s="267">
        <v>3862</v>
      </c>
      <c r="C3863" s="268" t="s">
        <v>3563</v>
      </c>
      <c r="D3863" s="269">
        <v>42837</v>
      </c>
      <c r="E3863" s="270" t="s">
        <v>927</v>
      </c>
      <c r="F3863" s="384">
        <v>7.4</v>
      </c>
      <c r="G3863" s="270">
        <v>190454318</v>
      </c>
    </row>
    <row r="3864" spans="1:7" x14ac:dyDescent="0.25">
      <c r="A3864" s="257">
        <v>3868</v>
      </c>
      <c r="B3864" s="267">
        <v>3863</v>
      </c>
      <c r="C3864" s="268" t="s">
        <v>686</v>
      </c>
      <c r="D3864" s="269">
        <v>42837</v>
      </c>
      <c r="E3864" s="270" t="s">
        <v>3611</v>
      </c>
      <c r="F3864" s="384">
        <v>3.5</v>
      </c>
      <c r="G3864" s="270">
        <v>190098681</v>
      </c>
    </row>
    <row r="3865" spans="1:7" x14ac:dyDescent="0.25">
      <c r="A3865" s="257">
        <v>3869</v>
      </c>
      <c r="B3865" s="267">
        <v>3864</v>
      </c>
      <c r="C3865" s="268" t="s">
        <v>2722</v>
      </c>
      <c r="D3865" s="269">
        <v>42838</v>
      </c>
      <c r="E3865" s="270" t="s">
        <v>1340</v>
      </c>
      <c r="F3865" s="384">
        <v>33.200000000000003</v>
      </c>
      <c r="G3865" s="270">
        <v>691131810</v>
      </c>
    </row>
    <row r="3866" spans="1:7" x14ac:dyDescent="0.25">
      <c r="A3866" s="257">
        <v>3870</v>
      </c>
      <c r="B3866" s="267">
        <v>3865</v>
      </c>
      <c r="C3866" s="268" t="s">
        <v>462</v>
      </c>
      <c r="D3866" s="269">
        <v>42838</v>
      </c>
      <c r="E3866" s="270" t="s">
        <v>2204</v>
      </c>
      <c r="F3866" s="384">
        <v>206.4</v>
      </c>
      <c r="G3866" s="270">
        <v>101139097</v>
      </c>
    </row>
    <row r="3867" spans="1:7" x14ac:dyDescent="0.25">
      <c r="A3867" s="257">
        <v>3871</v>
      </c>
      <c r="B3867" s="267">
        <v>3866</v>
      </c>
      <c r="C3867" s="268" t="s">
        <v>3554</v>
      </c>
      <c r="D3867" s="269">
        <v>42838</v>
      </c>
      <c r="E3867" s="270" t="s">
        <v>39</v>
      </c>
      <c r="F3867" s="384">
        <v>19.5</v>
      </c>
      <c r="G3867" s="270">
        <v>691428702</v>
      </c>
    </row>
    <row r="3868" spans="1:7" x14ac:dyDescent="0.25">
      <c r="A3868" s="257">
        <v>3872</v>
      </c>
      <c r="B3868" s="267">
        <v>3867</v>
      </c>
      <c r="C3868" s="268" t="s">
        <v>1055</v>
      </c>
      <c r="D3868" s="269">
        <v>42838</v>
      </c>
      <c r="E3868" s="270" t="s">
        <v>1163</v>
      </c>
      <c r="F3868" s="384">
        <v>51.6</v>
      </c>
      <c r="G3868" s="270">
        <v>191360926</v>
      </c>
    </row>
    <row r="3869" spans="1:7" x14ac:dyDescent="0.25">
      <c r="A3869" s="257">
        <v>3873</v>
      </c>
      <c r="B3869" s="267">
        <v>3868</v>
      </c>
      <c r="C3869" s="268" t="s">
        <v>2779</v>
      </c>
      <c r="D3869" s="269">
        <v>42839</v>
      </c>
      <c r="E3869" s="270" t="s">
        <v>916</v>
      </c>
      <c r="F3869" s="384">
        <v>21</v>
      </c>
      <c r="G3869" s="270">
        <v>101553117</v>
      </c>
    </row>
    <row r="3870" spans="1:7" x14ac:dyDescent="0.25">
      <c r="A3870" s="257">
        <v>3874</v>
      </c>
      <c r="B3870" s="267">
        <v>3869</v>
      </c>
      <c r="C3870" s="268" t="s">
        <v>1819</v>
      </c>
      <c r="D3870" s="269">
        <v>42839</v>
      </c>
      <c r="E3870" s="270" t="s">
        <v>1499</v>
      </c>
      <c r="F3870" s="384">
        <v>28.4</v>
      </c>
      <c r="G3870" s="270">
        <v>190288096</v>
      </c>
    </row>
    <row r="3871" spans="1:7" x14ac:dyDescent="0.25">
      <c r="A3871" s="257">
        <v>3875</v>
      </c>
      <c r="B3871" s="267">
        <v>3870</v>
      </c>
      <c r="C3871" s="268" t="s">
        <v>71</v>
      </c>
      <c r="D3871" s="269">
        <v>42839</v>
      </c>
      <c r="E3871" s="270" t="s">
        <v>2409</v>
      </c>
      <c r="F3871" s="384">
        <v>51.6</v>
      </c>
      <c r="G3871" s="270">
        <v>691464441</v>
      </c>
    </row>
    <row r="3872" spans="1:7" x14ac:dyDescent="0.25">
      <c r="A3872" s="257">
        <v>3876</v>
      </c>
      <c r="B3872" s="267">
        <v>3871</v>
      </c>
      <c r="C3872" s="268" t="s">
        <v>2416</v>
      </c>
      <c r="D3872" s="269">
        <v>42839</v>
      </c>
      <c r="E3872" s="270" t="s">
        <v>1703</v>
      </c>
      <c r="F3872" s="384">
        <v>28.4</v>
      </c>
      <c r="G3872" s="270">
        <v>100826028</v>
      </c>
    </row>
    <row r="3873" spans="1:7" x14ac:dyDescent="0.25">
      <c r="A3873" s="257">
        <v>3877</v>
      </c>
      <c r="B3873" s="267">
        <v>3872</v>
      </c>
      <c r="C3873" s="268" t="s">
        <v>84</v>
      </c>
      <c r="D3873" s="269">
        <v>42840</v>
      </c>
      <c r="E3873" s="270" t="s">
        <v>80</v>
      </c>
      <c r="F3873" s="384">
        <v>19</v>
      </c>
      <c r="G3873" s="270">
        <v>691433424</v>
      </c>
    </row>
    <row r="3874" spans="1:7" x14ac:dyDescent="0.25">
      <c r="A3874" s="257">
        <v>3878</v>
      </c>
      <c r="B3874" s="267">
        <v>3873</v>
      </c>
      <c r="C3874" s="268" t="s">
        <v>390</v>
      </c>
      <c r="D3874" s="269">
        <v>42843</v>
      </c>
      <c r="E3874" s="270" t="s">
        <v>940</v>
      </c>
      <c r="F3874" s="384">
        <v>19.5</v>
      </c>
      <c r="G3874" s="270">
        <v>690024195</v>
      </c>
    </row>
    <row r="3875" spans="1:7" x14ac:dyDescent="0.25">
      <c r="A3875" s="257">
        <v>3879</v>
      </c>
      <c r="B3875" s="267">
        <v>3874</v>
      </c>
      <c r="C3875" s="268" t="s">
        <v>3619</v>
      </c>
      <c r="D3875" s="269">
        <v>42843</v>
      </c>
      <c r="E3875" s="270" t="s">
        <v>108</v>
      </c>
      <c r="F3875" s="384">
        <v>33.200000000000003</v>
      </c>
      <c r="G3875" s="270">
        <v>100051189</v>
      </c>
    </row>
    <row r="3876" spans="1:7" x14ac:dyDescent="0.25">
      <c r="A3876" s="257">
        <v>3880</v>
      </c>
      <c r="B3876" s="267">
        <v>3875</v>
      </c>
      <c r="C3876" s="268" t="s">
        <v>1117</v>
      </c>
      <c r="D3876" s="269">
        <v>42844</v>
      </c>
      <c r="E3876" s="270" t="s">
        <v>1796</v>
      </c>
      <c r="F3876" s="384">
        <v>33.200000000000003</v>
      </c>
      <c r="G3876" s="270">
        <v>100872922</v>
      </c>
    </row>
    <row r="3877" spans="1:7" x14ac:dyDescent="0.25">
      <c r="A3877" s="257">
        <v>3881</v>
      </c>
      <c r="B3877" s="267">
        <v>3876</v>
      </c>
      <c r="C3877" s="268" t="s">
        <v>57</v>
      </c>
      <c r="D3877" s="269">
        <v>42844</v>
      </c>
      <c r="E3877" s="270" t="s">
        <v>537</v>
      </c>
      <c r="F3877" s="384">
        <v>35.6</v>
      </c>
      <c r="G3877" s="270">
        <v>800002060</v>
      </c>
    </row>
    <row r="3878" spans="1:7" x14ac:dyDescent="0.25">
      <c r="A3878" s="257">
        <v>3882</v>
      </c>
      <c r="B3878" s="267">
        <v>3877</v>
      </c>
      <c r="C3878" s="268" t="s">
        <v>1121</v>
      </c>
      <c r="D3878" s="269">
        <v>42844</v>
      </c>
      <c r="E3878" s="270" t="s">
        <v>209</v>
      </c>
      <c r="F3878" s="384">
        <v>76</v>
      </c>
      <c r="G3878" s="270">
        <v>191118996</v>
      </c>
    </row>
    <row r="3879" spans="1:7" x14ac:dyDescent="0.25">
      <c r="A3879" s="257">
        <v>3883</v>
      </c>
      <c r="B3879" s="267">
        <v>3878</v>
      </c>
      <c r="C3879" s="268" t="s">
        <v>2416</v>
      </c>
      <c r="D3879" s="269">
        <v>42845</v>
      </c>
      <c r="E3879" s="270" t="s">
        <v>1703</v>
      </c>
      <c r="F3879" s="384">
        <v>7.4</v>
      </c>
      <c r="G3879" s="270">
        <v>100826028</v>
      </c>
    </row>
    <row r="3880" spans="1:7" x14ac:dyDescent="0.25">
      <c r="A3880" s="257">
        <v>3884</v>
      </c>
      <c r="B3880" s="267">
        <v>3879</v>
      </c>
      <c r="C3880" s="268" t="s">
        <v>1608</v>
      </c>
      <c r="D3880" s="269">
        <v>42845</v>
      </c>
      <c r="E3880" s="270" t="s">
        <v>2358</v>
      </c>
      <c r="F3880" s="384">
        <v>18.399999999999999</v>
      </c>
      <c r="G3880" s="270">
        <v>800008903</v>
      </c>
    </row>
    <row r="3881" spans="1:7" x14ac:dyDescent="0.25">
      <c r="A3881" s="257">
        <v>3885</v>
      </c>
      <c r="B3881" s="267">
        <v>3880</v>
      </c>
      <c r="C3881" s="268" t="s">
        <v>456</v>
      </c>
      <c r="D3881" s="269">
        <v>42845</v>
      </c>
      <c r="E3881" s="270" t="s">
        <v>938</v>
      </c>
      <c r="F3881" s="384">
        <v>23.5</v>
      </c>
      <c r="G3881" s="270">
        <v>100429530</v>
      </c>
    </row>
    <row r="3882" spans="1:7" x14ac:dyDescent="0.25">
      <c r="A3882" s="257">
        <v>3886</v>
      </c>
      <c r="B3882" s="267">
        <v>3881</v>
      </c>
      <c r="C3882" s="268" t="s">
        <v>1853</v>
      </c>
      <c r="D3882" s="269">
        <v>42845</v>
      </c>
      <c r="E3882" s="270" t="s">
        <v>3381</v>
      </c>
      <c r="F3882" s="384">
        <v>33.200000000000003</v>
      </c>
      <c r="G3882" s="270">
        <v>100072811</v>
      </c>
    </row>
    <row r="3883" spans="1:7" x14ac:dyDescent="0.25">
      <c r="A3883" s="257">
        <v>3887</v>
      </c>
      <c r="B3883" s="267">
        <v>3882</v>
      </c>
      <c r="C3883" s="268" t="s">
        <v>230</v>
      </c>
      <c r="D3883" s="269">
        <v>42853</v>
      </c>
      <c r="E3883" s="270" t="s">
        <v>3291</v>
      </c>
      <c r="F3883" s="384">
        <v>39</v>
      </c>
      <c r="G3883" s="270">
        <v>100054851</v>
      </c>
    </row>
    <row r="3884" spans="1:7" x14ac:dyDescent="0.25">
      <c r="A3884" s="257">
        <v>3888</v>
      </c>
      <c r="B3884" s="267">
        <v>3883</v>
      </c>
      <c r="C3884" s="268" t="s">
        <v>1120</v>
      </c>
      <c r="D3884" s="269">
        <v>42853</v>
      </c>
      <c r="E3884" s="270" t="s">
        <v>3259</v>
      </c>
      <c r="F3884" s="384">
        <v>28.4</v>
      </c>
      <c r="G3884" s="270">
        <v>190904186</v>
      </c>
    </row>
    <row r="3885" spans="1:7" x14ac:dyDescent="0.25">
      <c r="A3885" s="257">
        <v>3889</v>
      </c>
      <c r="B3885" s="267">
        <v>3884</v>
      </c>
      <c r="C3885" s="268" t="s">
        <v>373</v>
      </c>
      <c r="D3885" s="269">
        <v>42853</v>
      </c>
      <c r="E3885" s="270" t="s">
        <v>35</v>
      </c>
      <c r="F3885" s="384">
        <v>33.200000000000003</v>
      </c>
      <c r="G3885" s="270">
        <v>690665107</v>
      </c>
    </row>
    <row r="3886" spans="1:7" x14ac:dyDescent="0.25">
      <c r="A3886" s="257">
        <v>3890</v>
      </c>
      <c r="B3886" s="267">
        <v>3885</v>
      </c>
      <c r="C3886" s="268" t="s">
        <v>828</v>
      </c>
      <c r="D3886" s="269">
        <v>42853</v>
      </c>
      <c r="E3886" s="270" t="s">
        <v>2199</v>
      </c>
      <c r="F3886" s="384">
        <v>19</v>
      </c>
      <c r="G3886" s="270">
        <v>191602169</v>
      </c>
    </row>
    <row r="3887" spans="1:7" x14ac:dyDescent="0.25">
      <c r="A3887" s="257">
        <v>3891</v>
      </c>
      <c r="B3887" s="267">
        <v>3886</v>
      </c>
      <c r="C3887" s="268" t="s">
        <v>828</v>
      </c>
      <c r="D3887" s="269">
        <v>42853</v>
      </c>
      <c r="E3887" s="270" t="s">
        <v>2205</v>
      </c>
      <c r="F3887" s="384">
        <v>51.6</v>
      </c>
      <c r="G3887" s="270">
        <v>812004321</v>
      </c>
    </row>
    <row r="3888" spans="1:7" x14ac:dyDescent="0.25">
      <c r="A3888" s="257">
        <v>3892</v>
      </c>
      <c r="B3888" s="267">
        <v>3887</v>
      </c>
      <c r="C3888" s="268" t="s">
        <v>202</v>
      </c>
      <c r="D3888" s="269">
        <v>42853</v>
      </c>
      <c r="E3888" s="270" t="s">
        <v>393</v>
      </c>
      <c r="F3888" s="384">
        <v>103.2</v>
      </c>
      <c r="G3888" s="270">
        <v>191487825</v>
      </c>
    </row>
    <row r="3889" spans="1:7" x14ac:dyDescent="0.25">
      <c r="A3889" s="257">
        <v>3893</v>
      </c>
      <c r="B3889" s="267">
        <v>3888</v>
      </c>
      <c r="C3889" s="268" t="s">
        <v>61</v>
      </c>
      <c r="D3889" s="269">
        <v>42853</v>
      </c>
      <c r="E3889" s="270" t="s">
        <v>2216</v>
      </c>
      <c r="F3889" s="384">
        <v>23.5</v>
      </c>
      <c r="G3889" s="270">
        <v>191449767</v>
      </c>
    </row>
    <row r="3890" spans="1:7" x14ac:dyDescent="0.25">
      <c r="A3890" s="257">
        <v>3894</v>
      </c>
      <c r="B3890" s="267">
        <v>3889</v>
      </c>
      <c r="C3890" s="268" t="s">
        <v>1103</v>
      </c>
      <c r="D3890" s="269">
        <v>42854</v>
      </c>
      <c r="E3890" s="270" t="s">
        <v>1651</v>
      </c>
      <c r="F3890" s="384">
        <v>51.6</v>
      </c>
      <c r="G3890" s="270">
        <v>190884251</v>
      </c>
    </row>
    <row r="3891" spans="1:7" x14ac:dyDescent="0.25">
      <c r="A3891" s="257">
        <v>3895</v>
      </c>
      <c r="B3891" s="267">
        <v>3890</v>
      </c>
      <c r="C3891" s="268" t="s">
        <v>897</v>
      </c>
      <c r="D3891" s="269">
        <v>42854</v>
      </c>
      <c r="E3891" s="270" t="s">
        <v>493</v>
      </c>
      <c r="F3891" s="384">
        <v>18.399999999999999</v>
      </c>
      <c r="G3891" s="270">
        <v>191727606</v>
      </c>
    </row>
    <row r="3892" spans="1:7" x14ac:dyDescent="0.25">
      <c r="A3892" s="257">
        <v>3896</v>
      </c>
      <c r="B3892" s="267">
        <v>3891</v>
      </c>
      <c r="C3892" s="268" t="s">
        <v>2604</v>
      </c>
      <c r="D3892" s="269">
        <v>42857</v>
      </c>
      <c r="E3892" s="270" t="s">
        <v>3303</v>
      </c>
      <c r="F3892" s="384">
        <v>33.200000000000003</v>
      </c>
      <c r="G3892" s="270">
        <v>100297103</v>
      </c>
    </row>
    <row r="3893" spans="1:7" x14ac:dyDescent="0.25">
      <c r="A3893" s="257">
        <v>3897</v>
      </c>
      <c r="B3893" s="267">
        <v>3892</v>
      </c>
      <c r="C3893" s="268" t="s">
        <v>53</v>
      </c>
      <c r="D3893" s="269">
        <v>42857</v>
      </c>
      <c r="E3893" s="270" t="s">
        <v>1341</v>
      </c>
      <c r="F3893" s="384">
        <v>19.5</v>
      </c>
      <c r="G3893" s="270">
        <v>191593564</v>
      </c>
    </row>
    <row r="3894" spans="1:7" x14ac:dyDescent="0.25">
      <c r="A3894" s="257">
        <v>3898</v>
      </c>
      <c r="B3894" s="267">
        <v>3893</v>
      </c>
      <c r="C3894" s="268" t="s">
        <v>3284</v>
      </c>
      <c r="D3894" s="269">
        <v>42857</v>
      </c>
      <c r="E3894" s="270" t="s">
        <v>3260</v>
      </c>
      <c r="F3894" s="384">
        <v>70</v>
      </c>
      <c r="G3894" s="270">
        <v>690606064</v>
      </c>
    </row>
    <row r="3895" spans="1:7" x14ac:dyDescent="0.25">
      <c r="A3895" s="257">
        <v>3899</v>
      </c>
      <c r="B3895" s="267">
        <v>3894</v>
      </c>
      <c r="C3895" s="268" t="s">
        <v>2359</v>
      </c>
      <c r="D3895" s="269">
        <v>42857</v>
      </c>
      <c r="E3895" s="270" t="s">
        <v>3492</v>
      </c>
      <c r="F3895" s="384">
        <v>28.4</v>
      </c>
      <c r="G3895" s="270">
        <v>601070251</v>
      </c>
    </row>
    <row r="3896" spans="1:7" x14ac:dyDescent="0.25">
      <c r="A3896" s="257">
        <v>3900</v>
      </c>
      <c r="B3896" s="267">
        <v>3895</v>
      </c>
      <c r="C3896" s="268" t="s">
        <v>54</v>
      </c>
      <c r="D3896" s="269">
        <v>42857</v>
      </c>
      <c r="E3896" s="270" t="s">
        <v>2801</v>
      </c>
      <c r="F3896" s="384">
        <v>33.200000000000003</v>
      </c>
      <c r="G3896" s="270">
        <v>190334745</v>
      </c>
    </row>
    <row r="3897" spans="1:7" x14ac:dyDescent="0.25">
      <c r="A3897" s="257">
        <v>3901</v>
      </c>
      <c r="B3897" s="267">
        <v>3896</v>
      </c>
      <c r="C3897" s="268" t="s">
        <v>129</v>
      </c>
      <c r="D3897" s="269">
        <v>42857</v>
      </c>
      <c r="E3897" s="270" t="s">
        <v>3819</v>
      </c>
      <c r="F3897" s="384">
        <v>86.9</v>
      </c>
      <c r="G3897" s="270">
        <v>101528843</v>
      </c>
    </row>
    <row r="3898" spans="1:7" x14ac:dyDescent="0.25">
      <c r="A3898" s="257">
        <v>3902</v>
      </c>
      <c r="B3898" s="267">
        <v>3897</v>
      </c>
      <c r="C3898" s="268" t="s">
        <v>3538</v>
      </c>
      <c r="D3898" s="269">
        <v>42857</v>
      </c>
      <c r="E3898" s="270" t="s">
        <v>2243</v>
      </c>
      <c r="F3898" s="384">
        <v>28.4</v>
      </c>
      <c r="G3898" s="270">
        <v>691574211</v>
      </c>
    </row>
    <row r="3899" spans="1:7" x14ac:dyDescent="0.25">
      <c r="A3899" s="257">
        <v>3903</v>
      </c>
      <c r="B3899" s="267">
        <v>3898</v>
      </c>
      <c r="C3899" s="268" t="s">
        <v>2359</v>
      </c>
      <c r="D3899" s="269">
        <v>42857</v>
      </c>
      <c r="E3899" s="270" t="s">
        <v>3492</v>
      </c>
      <c r="F3899" s="384">
        <v>23.5</v>
      </c>
      <c r="G3899" s="270">
        <v>601070251</v>
      </c>
    </row>
    <row r="3900" spans="1:7" x14ac:dyDescent="0.25">
      <c r="A3900" s="257">
        <v>3904</v>
      </c>
      <c r="B3900" s="267">
        <v>3899</v>
      </c>
      <c r="C3900" s="268" t="s">
        <v>2957</v>
      </c>
      <c r="D3900" s="269">
        <v>42857</v>
      </c>
      <c r="E3900" s="270" t="s">
        <v>3164</v>
      </c>
      <c r="F3900" s="384">
        <v>11.7</v>
      </c>
      <c r="G3900" s="270">
        <v>808000584</v>
      </c>
    </row>
    <row r="3901" spans="1:7" x14ac:dyDescent="0.25">
      <c r="A3901" s="257">
        <v>3905</v>
      </c>
      <c r="B3901" s="267">
        <v>3900</v>
      </c>
      <c r="C3901" s="268" t="s">
        <v>1117</v>
      </c>
      <c r="D3901" s="269">
        <v>42857</v>
      </c>
      <c r="E3901" s="270" t="s">
        <v>1796</v>
      </c>
      <c r="F3901" s="384">
        <v>33.200000000000003</v>
      </c>
      <c r="G3901" s="270">
        <v>100872922</v>
      </c>
    </row>
    <row r="3902" spans="1:7" x14ac:dyDescent="0.25">
      <c r="A3902" s="257">
        <v>3906</v>
      </c>
      <c r="B3902" s="267">
        <v>3901</v>
      </c>
      <c r="C3902" s="268" t="s">
        <v>520</v>
      </c>
      <c r="D3902" s="269">
        <v>42858</v>
      </c>
      <c r="E3902" s="270" t="s">
        <v>3107</v>
      </c>
      <c r="F3902" s="384">
        <v>154.80000000000001</v>
      </c>
      <c r="G3902" s="270">
        <v>100320487</v>
      </c>
    </row>
    <row r="3903" spans="1:7" x14ac:dyDescent="0.25">
      <c r="A3903" s="257">
        <v>3907</v>
      </c>
      <c r="B3903" s="267">
        <v>3902</v>
      </c>
      <c r="C3903" s="268" t="s">
        <v>1802</v>
      </c>
      <c r="D3903" s="269">
        <v>42858</v>
      </c>
      <c r="E3903" s="270" t="s">
        <v>3289</v>
      </c>
      <c r="F3903" s="384">
        <v>28.4</v>
      </c>
      <c r="G3903" s="270">
        <v>691459653</v>
      </c>
    </row>
    <row r="3904" spans="1:7" x14ac:dyDescent="0.25">
      <c r="A3904" s="257">
        <v>3908</v>
      </c>
      <c r="B3904" s="267">
        <v>3903</v>
      </c>
      <c r="C3904" s="268" t="s">
        <v>3100</v>
      </c>
      <c r="D3904" s="269">
        <v>42858</v>
      </c>
      <c r="E3904" s="270" t="s">
        <v>956</v>
      </c>
      <c r="F3904" s="384">
        <v>25.2</v>
      </c>
      <c r="G3904" s="270">
        <v>190341033</v>
      </c>
    </row>
    <row r="3905" spans="1:7" x14ac:dyDescent="0.25">
      <c r="A3905" s="257">
        <v>3909</v>
      </c>
      <c r="B3905" s="267">
        <v>3904</v>
      </c>
      <c r="C3905" s="268" t="s">
        <v>1802</v>
      </c>
      <c r="D3905" s="269">
        <v>42858</v>
      </c>
      <c r="E3905" s="270" t="s">
        <v>3289</v>
      </c>
      <c r="F3905" s="384">
        <v>11.7</v>
      </c>
      <c r="G3905" s="270">
        <v>691459653</v>
      </c>
    </row>
    <row r="3906" spans="1:7" x14ac:dyDescent="0.25">
      <c r="A3906" s="257">
        <v>3910</v>
      </c>
      <c r="B3906" s="267">
        <v>3905</v>
      </c>
      <c r="C3906" s="268" t="s">
        <v>1853</v>
      </c>
      <c r="D3906" s="269">
        <v>42858</v>
      </c>
      <c r="E3906" s="270" t="s">
        <v>3381</v>
      </c>
      <c r="F3906" s="384">
        <v>35.6</v>
      </c>
      <c r="G3906" s="270">
        <v>100072811</v>
      </c>
    </row>
    <row r="3907" spans="1:7" x14ac:dyDescent="0.25">
      <c r="A3907" s="257">
        <v>3911</v>
      </c>
      <c r="B3907" s="267">
        <v>3906</v>
      </c>
      <c r="C3907" s="268" t="s">
        <v>2974</v>
      </c>
      <c r="D3907" s="269">
        <v>42858</v>
      </c>
      <c r="E3907" s="270" t="s">
        <v>2247</v>
      </c>
      <c r="F3907" s="384">
        <v>33.200000000000003</v>
      </c>
      <c r="G3907" s="270">
        <v>692588221</v>
      </c>
    </row>
    <row r="3908" spans="1:7" x14ac:dyDescent="0.25">
      <c r="A3908" s="257">
        <v>3912</v>
      </c>
      <c r="B3908" s="267">
        <v>3907</v>
      </c>
      <c r="C3908" s="268" t="s">
        <v>1608</v>
      </c>
      <c r="D3908" s="269">
        <v>42858</v>
      </c>
      <c r="E3908" s="270" t="s">
        <v>2358</v>
      </c>
      <c r="F3908" s="384">
        <v>18.399999999999999</v>
      </c>
      <c r="G3908" s="270">
        <v>800008903</v>
      </c>
    </row>
    <row r="3909" spans="1:7" x14ac:dyDescent="0.25">
      <c r="A3909" s="257">
        <v>3913</v>
      </c>
      <c r="B3909" s="267">
        <v>3908</v>
      </c>
      <c r="C3909" s="268" t="s">
        <v>1817</v>
      </c>
      <c r="D3909" s="269">
        <v>42861</v>
      </c>
      <c r="E3909" s="270" t="s">
        <v>95</v>
      </c>
      <c r="F3909" s="384">
        <v>18.399999999999999</v>
      </c>
      <c r="G3909" s="270">
        <v>690622445</v>
      </c>
    </row>
    <row r="3910" spans="1:7" x14ac:dyDescent="0.25">
      <c r="A3910" s="257">
        <v>3914</v>
      </c>
      <c r="B3910" s="267">
        <v>3909</v>
      </c>
      <c r="C3910" s="268" t="s">
        <v>2765</v>
      </c>
      <c r="D3910" s="269">
        <v>42861</v>
      </c>
      <c r="E3910" s="270" t="s">
        <v>1927</v>
      </c>
      <c r="F3910" s="384">
        <v>18.399999999999999</v>
      </c>
      <c r="G3910" s="270">
        <v>190032958</v>
      </c>
    </row>
    <row r="3911" spans="1:7" x14ac:dyDescent="0.25">
      <c r="A3911" s="257">
        <v>3915</v>
      </c>
      <c r="B3911" s="267">
        <v>3910</v>
      </c>
      <c r="C3911" s="268" t="s">
        <v>708</v>
      </c>
      <c r="D3911" s="269">
        <v>42861</v>
      </c>
      <c r="E3911" s="270" t="s">
        <v>767</v>
      </c>
      <c r="F3911" s="384">
        <v>19</v>
      </c>
      <c r="G3911" s="270">
        <v>190818729</v>
      </c>
    </row>
    <row r="3912" spans="1:7" x14ac:dyDescent="0.25">
      <c r="A3912" s="257">
        <v>3916</v>
      </c>
      <c r="B3912" s="267">
        <v>3911</v>
      </c>
      <c r="C3912" s="268" t="s">
        <v>2432</v>
      </c>
      <c r="D3912" s="269">
        <v>42861</v>
      </c>
      <c r="E3912" s="270" t="s">
        <v>1298</v>
      </c>
      <c r="F3912" s="384">
        <v>33.200000000000003</v>
      </c>
      <c r="G3912" s="270">
        <v>691425532</v>
      </c>
    </row>
    <row r="3913" spans="1:7" x14ac:dyDescent="0.25">
      <c r="A3913" s="257">
        <v>3917</v>
      </c>
      <c r="B3913" s="267">
        <v>3912</v>
      </c>
      <c r="C3913" s="268" t="s">
        <v>2828</v>
      </c>
      <c r="D3913" s="269">
        <v>42865</v>
      </c>
      <c r="E3913" s="270" t="s">
        <v>2736</v>
      </c>
      <c r="F3913" s="384">
        <v>7.4</v>
      </c>
      <c r="G3913" s="270">
        <v>691780951</v>
      </c>
    </row>
    <row r="3914" spans="1:7" x14ac:dyDescent="0.25">
      <c r="A3914" s="257">
        <v>3918</v>
      </c>
      <c r="B3914" s="267">
        <v>3913</v>
      </c>
      <c r="C3914" s="268" t="s">
        <v>1643</v>
      </c>
      <c r="D3914" s="269">
        <v>42865</v>
      </c>
      <c r="E3914" s="270" t="s">
        <v>2139</v>
      </c>
      <c r="F3914" s="384">
        <v>51.6</v>
      </c>
      <c r="G3914" s="270">
        <v>590086401</v>
      </c>
    </row>
    <row r="3915" spans="1:7" x14ac:dyDescent="0.25">
      <c r="A3915" s="257">
        <v>3919</v>
      </c>
      <c r="B3915" s="267">
        <v>3914</v>
      </c>
      <c r="C3915" s="268" t="s">
        <v>2436</v>
      </c>
      <c r="D3915" s="269">
        <v>42865</v>
      </c>
      <c r="E3915" s="270" t="s">
        <v>2293</v>
      </c>
      <c r="F3915" s="384">
        <v>28.4</v>
      </c>
      <c r="G3915" s="270">
        <v>691346672</v>
      </c>
    </row>
    <row r="3916" spans="1:7" x14ac:dyDescent="0.25">
      <c r="A3916" s="257">
        <v>3920</v>
      </c>
      <c r="B3916" s="267">
        <v>3915</v>
      </c>
      <c r="C3916" s="268" t="s">
        <v>1845</v>
      </c>
      <c r="D3916" s="269">
        <v>42865</v>
      </c>
      <c r="E3916" s="270" t="s">
        <v>2205</v>
      </c>
      <c r="F3916" s="384">
        <v>103.2</v>
      </c>
      <c r="G3916" s="270">
        <v>812004321</v>
      </c>
    </row>
    <row r="3917" spans="1:7" x14ac:dyDescent="0.25">
      <c r="A3917" s="257">
        <v>3921</v>
      </c>
      <c r="B3917" s="267">
        <v>3916</v>
      </c>
      <c r="C3917" s="268" t="s">
        <v>1810</v>
      </c>
      <c r="D3917" s="269">
        <v>42865</v>
      </c>
      <c r="E3917" s="270" t="s">
        <v>955</v>
      </c>
      <c r="F3917" s="384">
        <v>80.599999999999994</v>
      </c>
      <c r="G3917" s="270">
        <v>191835639</v>
      </c>
    </row>
    <row r="3918" spans="1:7" x14ac:dyDescent="0.25">
      <c r="A3918" s="257">
        <v>3922</v>
      </c>
      <c r="B3918" s="267">
        <v>3917</v>
      </c>
      <c r="C3918" s="268" t="s">
        <v>1810</v>
      </c>
      <c r="D3918" s="269">
        <v>42865</v>
      </c>
      <c r="E3918" s="270" t="s">
        <v>309</v>
      </c>
      <c r="F3918" s="384">
        <v>28.4</v>
      </c>
      <c r="G3918" s="270">
        <v>691072211</v>
      </c>
    </row>
    <row r="3919" spans="1:7" x14ac:dyDescent="0.25">
      <c r="A3919" s="257">
        <v>3923</v>
      </c>
      <c r="B3919" s="267">
        <v>3918</v>
      </c>
      <c r="C3919" s="268" t="s">
        <v>2828</v>
      </c>
      <c r="D3919" s="269">
        <v>42865</v>
      </c>
      <c r="E3919" s="270" t="s">
        <v>2736</v>
      </c>
      <c r="F3919" s="384">
        <v>108.60000000000001</v>
      </c>
      <c r="G3919" s="270">
        <v>691780951</v>
      </c>
    </row>
    <row r="3920" spans="1:7" x14ac:dyDescent="0.25">
      <c r="A3920" s="257">
        <v>3924</v>
      </c>
      <c r="B3920" s="267">
        <v>3919</v>
      </c>
      <c r="C3920" s="268" t="s">
        <v>2049</v>
      </c>
      <c r="D3920" s="269">
        <v>42865</v>
      </c>
      <c r="E3920" s="270" t="s">
        <v>3598</v>
      </c>
      <c r="F3920" s="384">
        <v>51.6</v>
      </c>
      <c r="G3920" s="270">
        <v>190221603</v>
      </c>
    </row>
    <row r="3921" spans="1:7" x14ac:dyDescent="0.25">
      <c r="A3921" s="257">
        <v>3925</v>
      </c>
      <c r="B3921" s="267">
        <v>3920</v>
      </c>
      <c r="C3921" s="268" t="s">
        <v>3570</v>
      </c>
      <c r="D3921" s="269">
        <v>42865</v>
      </c>
      <c r="E3921" s="270" t="s">
        <v>2420</v>
      </c>
      <c r="F3921" s="384">
        <v>310.3</v>
      </c>
      <c r="G3921" s="270">
        <v>100315367</v>
      </c>
    </row>
    <row r="3922" spans="1:7" x14ac:dyDescent="0.25">
      <c r="A3922" s="257">
        <v>3926</v>
      </c>
      <c r="B3922" s="267">
        <v>3921</v>
      </c>
      <c r="C3922" s="268" t="s">
        <v>149</v>
      </c>
      <c r="D3922" s="269">
        <v>42865</v>
      </c>
      <c r="E3922" s="270" t="s">
        <v>3587</v>
      </c>
      <c r="F3922" s="384">
        <v>103.8</v>
      </c>
      <c r="G3922" s="270">
        <v>101254783</v>
      </c>
    </row>
    <row r="3923" spans="1:7" x14ac:dyDescent="0.25">
      <c r="A3923" s="257">
        <v>3927</v>
      </c>
      <c r="B3923" s="267">
        <v>3922</v>
      </c>
      <c r="C3923" s="268" t="s">
        <v>2835</v>
      </c>
      <c r="D3923" s="269">
        <v>42865</v>
      </c>
      <c r="E3923" s="270" t="s">
        <v>2826</v>
      </c>
      <c r="F3923" s="384">
        <v>15.2</v>
      </c>
      <c r="G3923" s="270">
        <v>101117856</v>
      </c>
    </row>
    <row r="3924" spans="1:7" x14ac:dyDescent="0.25">
      <c r="A3924" s="257">
        <v>3928</v>
      </c>
      <c r="B3924" s="267">
        <v>3923</v>
      </c>
      <c r="C3924" s="268" t="s">
        <v>373</v>
      </c>
      <c r="D3924" s="269">
        <v>42865</v>
      </c>
      <c r="E3924" s="270" t="s">
        <v>35</v>
      </c>
      <c r="F3924" s="384">
        <v>33.200000000000003</v>
      </c>
      <c r="G3924" s="270">
        <v>690665107</v>
      </c>
    </row>
    <row r="3925" spans="1:7" x14ac:dyDescent="0.25">
      <c r="A3925" s="257">
        <v>3929</v>
      </c>
      <c r="B3925" s="267">
        <v>3924</v>
      </c>
      <c r="C3925" s="268" t="s">
        <v>1845</v>
      </c>
      <c r="D3925" s="269">
        <v>42865</v>
      </c>
      <c r="E3925" s="270" t="s">
        <v>2205</v>
      </c>
      <c r="F3925" s="384">
        <v>7.4</v>
      </c>
      <c r="G3925" s="270">
        <v>812004321</v>
      </c>
    </row>
    <row r="3926" spans="1:7" x14ac:dyDescent="0.25">
      <c r="A3926" s="257">
        <v>3930</v>
      </c>
      <c r="B3926" s="267">
        <v>3925</v>
      </c>
      <c r="C3926" s="268" t="s">
        <v>3739</v>
      </c>
      <c r="D3926" s="269">
        <v>42866</v>
      </c>
      <c r="E3926" s="270" t="s">
        <v>3850</v>
      </c>
      <c r="F3926" s="384">
        <v>19</v>
      </c>
      <c r="G3926" s="270">
        <v>800011635</v>
      </c>
    </row>
    <row r="3927" spans="1:7" x14ac:dyDescent="0.25">
      <c r="A3927" s="257">
        <v>3931</v>
      </c>
      <c r="B3927" s="267">
        <v>3926</v>
      </c>
      <c r="C3927" s="268" t="s">
        <v>706</v>
      </c>
      <c r="D3927" s="269">
        <v>42866</v>
      </c>
      <c r="E3927" s="270" t="s">
        <v>859</v>
      </c>
      <c r="F3927" s="384">
        <v>56.7</v>
      </c>
      <c r="G3927" s="270">
        <v>191564325</v>
      </c>
    </row>
    <row r="3928" spans="1:7" x14ac:dyDescent="0.25">
      <c r="A3928" s="257">
        <v>3932</v>
      </c>
      <c r="B3928" s="267">
        <v>3927</v>
      </c>
      <c r="C3928" s="268" t="s">
        <v>3091</v>
      </c>
      <c r="D3928" s="269">
        <v>42866</v>
      </c>
      <c r="E3928" s="270" t="s">
        <v>2159</v>
      </c>
      <c r="F3928" s="384">
        <v>166</v>
      </c>
      <c r="G3928" s="270">
        <v>100345786</v>
      </c>
    </row>
    <row r="3929" spans="1:7" x14ac:dyDescent="0.25">
      <c r="A3929" s="257">
        <v>3933</v>
      </c>
      <c r="B3929" s="267">
        <v>3928</v>
      </c>
      <c r="C3929" s="268" t="s">
        <v>2653</v>
      </c>
      <c r="D3929" s="269">
        <v>42866</v>
      </c>
      <c r="E3929" s="270" t="s">
        <v>4161</v>
      </c>
      <c r="F3929" s="384">
        <v>19.5</v>
      </c>
      <c r="G3929" s="270">
        <v>690653858</v>
      </c>
    </row>
    <row r="3930" spans="1:7" x14ac:dyDescent="0.25">
      <c r="A3930" s="257">
        <v>3934</v>
      </c>
      <c r="B3930" s="267">
        <v>3929</v>
      </c>
      <c r="C3930" s="268" t="s">
        <v>1606</v>
      </c>
      <c r="D3930" s="269">
        <v>42866</v>
      </c>
      <c r="E3930" s="270" t="s">
        <v>847</v>
      </c>
      <c r="F3930" s="384">
        <v>13.9</v>
      </c>
      <c r="G3930" s="270">
        <v>190853326</v>
      </c>
    </row>
    <row r="3931" spans="1:7" x14ac:dyDescent="0.25">
      <c r="A3931" s="257">
        <v>3935</v>
      </c>
      <c r="B3931" s="267">
        <v>3930</v>
      </c>
      <c r="C3931" s="268" t="s">
        <v>53</v>
      </c>
      <c r="D3931" s="269">
        <v>42866</v>
      </c>
      <c r="E3931" s="270" t="s">
        <v>1341</v>
      </c>
      <c r="F3931" s="384">
        <v>7.4</v>
      </c>
      <c r="G3931" s="270">
        <v>191593564</v>
      </c>
    </row>
    <row r="3932" spans="1:7" x14ac:dyDescent="0.25">
      <c r="A3932" s="257">
        <v>3936</v>
      </c>
      <c r="B3932" s="267">
        <v>3931</v>
      </c>
      <c r="C3932" s="268" t="s">
        <v>3141</v>
      </c>
      <c r="D3932" s="269">
        <v>42866</v>
      </c>
      <c r="E3932" s="270" t="s">
        <v>3744</v>
      </c>
      <c r="F3932" s="384">
        <v>23.5</v>
      </c>
      <c r="G3932" s="270">
        <v>100512805</v>
      </c>
    </row>
    <row r="3933" spans="1:7" x14ac:dyDescent="0.25">
      <c r="A3933" s="257">
        <v>3937</v>
      </c>
      <c r="B3933" s="267">
        <v>3932</v>
      </c>
      <c r="C3933" s="268" t="s">
        <v>3542</v>
      </c>
      <c r="D3933" s="269">
        <v>42866</v>
      </c>
      <c r="E3933" s="270" t="s">
        <v>2624</v>
      </c>
      <c r="F3933" s="384">
        <v>47</v>
      </c>
      <c r="G3933" s="270">
        <v>600004086</v>
      </c>
    </row>
    <row r="3934" spans="1:7" x14ac:dyDescent="0.25">
      <c r="A3934" s="257">
        <v>3938</v>
      </c>
      <c r="B3934" s="267">
        <v>3933</v>
      </c>
      <c r="C3934" s="268" t="s">
        <v>159</v>
      </c>
      <c r="D3934" s="269">
        <v>42870</v>
      </c>
      <c r="E3934" s="270" t="s">
        <v>2897</v>
      </c>
      <c r="F3934" s="384">
        <v>51.6</v>
      </c>
      <c r="G3934" s="270">
        <v>100154581</v>
      </c>
    </row>
    <row r="3935" spans="1:7" x14ac:dyDescent="0.25">
      <c r="A3935" s="257">
        <v>3939</v>
      </c>
      <c r="B3935" s="267">
        <v>3934</v>
      </c>
      <c r="C3935" s="268" t="s">
        <v>230</v>
      </c>
      <c r="D3935" s="269">
        <v>42870</v>
      </c>
      <c r="E3935" s="270" t="s">
        <v>3291</v>
      </c>
      <c r="F3935" s="384">
        <v>20</v>
      </c>
      <c r="G3935" s="270">
        <v>100054851</v>
      </c>
    </row>
    <row r="3936" spans="1:7" x14ac:dyDescent="0.25">
      <c r="A3936" s="257">
        <v>3940</v>
      </c>
      <c r="B3936" s="267">
        <v>3935</v>
      </c>
      <c r="C3936" s="268" t="s">
        <v>1113</v>
      </c>
      <c r="D3936" s="269">
        <v>42870</v>
      </c>
      <c r="E3936" s="270" t="s">
        <v>2379</v>
      </c>
      <c r="F3936" s="384">
        <v>85.2</v>
      </c>
      <c r="G3936" s="270">
        <v>190664298</v>
      </c>
    </row>
    <row r="3937" spans="1:7" x14ac:dyDescent="0.25">
      <c r="A3937" s="257">
        <v>3941</v>
      </c>
      <c r="B3937" s="267">
        <v>3936</v>
      </c>
      <c r="C3937" s="268" t="s">
        <v>2432</v>
      </c>
      <c r="D3937" s="269">
        <v>42870</v>
      </c>
      <c r="E3937" s="270" t="s">
        <v>1298</v>
      </c>
      <c r="F3937" s="384">
        <v>3.7</v>
      </c>
      <c r="G3937" s="270">
        <v>691425532</v>
      </c>
    </row>
    <row r="3938" spans="1:7" x14ac:dyDescent="0.25">
      <c r="A3938" s="257">
        <v>3942</v>
      </c>
      <c r="B3938" s="267">
        <v>3937</v>
      </c>
      <c r="C3938" s="268" t="s">
        <v>520</v>
      </c>
      <c r="D3938" s="269">
        <v>42870</v>
      </c>
      <c r="E3938" s="270" t="s">
        <v>3107</v>
      </c>
      <c r="F3938" s="384">
        <v>33.200000000000003</v>
      </c>
      <c r="G3938" s="270">
        <v>100320487</v>
      </c>
    </row>
    <row r="3939" spans="1:7" x14ac:dyDescent="0.25">
      <c r="A3939" s="257">
        <v>3943</v>
      </c>
      <c r="B3939" s="267">
        <v>3938</v>
      </c>
      <c r="C3939" s="268" t="s">
        <v>2683</v>
      </c>
      <c r="D3939" s="269">
        <v>42870</v>
      </c>
      <c r="E3939" s="270" t="s">
        <v>298</v>
      </c>
      <c r="F3939" s="384">
        <v>28.4</v>
      </c>
      <c r="G3939" s="270">
        <v>100315395</v>
      </c>
    </row>
    <row r="3940" spans="1:7" x14ac:dyDescent="0.25">
      <c r="A3940" s="257">
        <v>3944</v>
      </c>
      <c r="B3940" s="267">
        <v>3939</v>
      </c>
      <c r="C3940" s="268" t="s">
        <v>2865</v>
      </c>
      <c r="D3940" s="269">
        <v>42870</v>
      </c>
      <c r="E3940" s="270" t="s">
        <v>263</v>
      </c>
      <c r="F3940" s="384">
        <v>51.6</v>
      </c>
      <c r="G3940" s="270">
        <v>600182119</v>
      </c>
    </row>
    <row r="3941" spans="1:7" x14ac:dyDescent="0.25">
      <c r="A3941" s="257">
        <v>3945</v>
      </c>
      <c r="B3941" s="267">
        <v>3940</v>
      </c>
      <c r="C3941" s="268" t="s">
        <v>3294</v>
      </c>
      <c r="D3941" s="269">
        <v>42870</v>
      </c>
      <c r="E3941" s="270" t="s">
        <v>3623</v>
      </c>
      <c r="F3941" s="384">
        <v>21</v>
      </c>
      <c r="G3941" s="270">
        <v>100265026</v>
      </c>
    </row>
    <row r="3942" spans="1:7" x14ac:dyDescent="0.25">
      <c r="A3942" s="257">
        <v>3946</v>
      </c>
      <c r="B3942" s="267">
        <v>3941</v>
      </c>
      <c r="C3942" s="268" t="s">
        <v>129</v>
      </c>
      <c r="D3942" s="269">
        <v>42870</v>
      </c>
      <c r="E3942" s="270" t="s">
        <v>3819</v>
      </c>
      <c r="F3942" s="384">
        <v>7.8</v>
      </c>
      <c r="G3942" s="270">
        <v>101528843</v>
      </c>
    </row>
    <row r="3943" spans="1:7" x14ac:dyDescent="0.25">
      <c r="A3943" s="257">
        <v>3947</v>
      </c>
      <c r="B3943" s="267">
        <v>3942</v>
      </c>
      <c r="C3943" s="268" t="s">
        <v>3625</v>
      </c>
      <c r="D3943" s="269">
        <v>42870</v>
      </c>
      <c r="E3943" s="270" t="s">
        <v>3396</v>
      </c>
      <c r="F3943" s="384">
        <v>23.5</v>
      </c>
      <c r="G3943" s="270">
        <v>191475330</v>
      </c>
    </row>
    <row r="3944" spans="1:7" x14ac:dyDescent="0.25">
      <c r="A3944" s="257">
        <v>3948</v>
      </c>
      <c r="B3944" s="267">
        <v>3943</v>
      </c>
      <c r="C3944" s="268" t="s">
        <v>343</v>
      </c>
      <c r="D3944" s="269">
        <v>42870</v>
      </c>
      <c r="E3944" s="270" t="s">
        <v>428</v>
      </c>
      <c r="F3944" s="384">
        <v>19</v>
      </c>
      <c r="G3944" s="270">
        <v>100783448</v>
      </c>
    </row>
    <row r="3945" spans="1:7" x14ac:dyDescent="0.25">
      <c r="A3945" s="257">
        <v>3949</v>
      </c>
      <c r="B3945" s="267">
        <v>3944</v>
      </c>
      <c r="C3945" s="268" t="s">
        <v>1117</v>
      </c>
      <c r="D3945" s="269">
        <v>42870</v>
      </c>
      <c r="E3945" s="270" t="s">
        <v>1796</v>
      </c>
      <c r="F3945" s="384">
        <v>51.6</v>
      </c>
      <c r="G3945" s="270">
        <v>100872922</v>
      </c>
    </row>
    <row r="3946" spans="1:7" x14ac:dyDescent="0.25">
      <c r="A3946" s="257">
        <v>3950</v>
      </c>
      <c r="B3946" s="267">
        <v>3945</v>
      </c>
      <c r="C3946" s="268" t="s">
        <v>2406</v>
      </c>
      <c r="D3946" s="269">
        <v>42870</v>
      </c>
      <c r="E3946" s="270" t="s">
        <v>3552</v>
      </c>
      <c r="F3946" s="384">
        <v>173.2</v>
      </c>
      <c r="G3946" s="270">
        <v>191569368</v>
      </c>
    </row>
    <row r="3947" spans="1:7" x14ac:dyDescent="0.25">
      <c r="A3947" s="257">
        <v>3951</v>
      </c>
      <c r="B3947" s="267">
        <v>3946</v>
      </c>
      <c r="C3947" s="268" t="s">
        <v>1836</v>
      </c>
      <c r="D3947" s="269">
        <v>42873</v>
      </c>
      <c r="E3947" s="270" t="s">
        <v>2411</v>
      </c>
      <c r="F3947" s="384">
        <v>8</v>
      </c>
      <c r="G3947" s="270">
        <v>100349860</v>
      </c>
    </row>
    <row r="3948" spans="1:7" x14ac:dyDescent="0.25">
      <c r="A3948" s="257">
        <v>3952</v>
      </c>
      <c r="B3948" s="267">
        <v>3947</v>
      </c>
      <c r="C3948" s="268" t="s">
        <v>923</v>
      </c>
      <c r="D3948" s="269">
        <v>42873</v>
      </c>
      <c r="E3948" s="270" t="s">
        <v>3420</v>
      </c>
      <c r="F3948" s="384">
        <v>23.5</v>
      </c>
      <c r="G3948" s="270">
        <v>191156245</v>
      </c>
    </row>
    <row r="3949" spans="1:7" x14ac:dyDescent="0.25">
      <c r="A3949" s="257">
        <v>3953</v>
      </c>
      <c r="B3949" s="267">
        <v>3948</v>
      </c>
      <c r="C3949" s="268" t="s">
        <v>887</v>
      </c>
      <c r="D3949" s="269">
        <v>42873</v>
      </c>
      <c r="E3949" s="270" t="s">
        <v>3774</v>
      </c>
      <c r="F3949" s="384">
        <v>18.899999999999999</v>
      </c>
      <c r="G3949" s="270">
        <v>690019524</v>
      </c>
    </row>
    <row r="3950" spans="1:7" x14ac:dyDescent="0.25">
      <c r="A3950" s="257">
        <v>3954</v>
      </c>
      <c r="B3950" s="267">
        <v>3949</v>
      </c>
      <c r="C3950" s="268" t="s">
        <v>1535</v>
      </c>
      <c r="D3950" s="269">
        <v>42873</v>
      </c>
      <c r="E3950" s="270" t="s">
        <v>2791</v>
      </c>
      <c r="F3950" s="384">
        <v>23.5</v>
      </c>
      <c r="G3950" s="270">
        <v>100099572</v>
      </c>
    </row>
    <row r="3951" spans="1:7" x14ac:dyDescent="0.25">
      <c r="A3951" s="257">
        <v>3955</v>
      </c>
      <c r="B3951" s="267">
        <v>3950</v>
      </c>
      <c r="C3951" s="268" t="s">
        <v>1664</v>
      </c>
      <c r="D3951" s="269">
        <v>42873</v>
      </c>
      <c r="E3951" s="270" t="s">
        <v>1310</v>
      </c>
      <c r="F3951" s="384">
        <v>28.4</v>
      </c>
      <c r="G3951" s="270">
        <v>100008077</v>
      </c>
    </row>
    <row r="3952" spans="1:7" x14ac:dyDescent="0.25">
      <c r="A3952" s="257">
        <v>3956</v>
      </c>
      <c r="B3952" s="267">
        <v>3951</v>
      </c>
      <c r="C3952" s="268" t="s">
        <v>3132</v>
      </c>
      <c r="D3952" s="269">
        <v>42874</v>
      </c>
      <c r="E3952" s="270" t="s">
        <v>1393</v>
      </c>
      <c r="F3952" s="384">
        <v>25.2</v>
      </c>
      <c r="G3952" s="270">
        <v>101026338</v>
      </c>
    </row>
    <row r="3953" spans="1:7" x14ac:dyDescent="0.25">
      <c r="A3953" s="257">
        <v>3957</v>
      </c>
      <c r="B3953" s="267">
        <v>3952</v>
      </c>
      <c r="C3953" s="268" t="s">
        <v>2675</v>
      </c>
      <c r="D3953" s="269">
        <v>42874</v>
      </c>
      <c r="E3953" s="270" t="s">
        <v>3371</v>
      </c>
      <c r="F3953" s="384">
        <v>20</v>
      </c>
      <c r="G3953" s="270">
        <v>691761081</v>
      </c>
    </row>
    <row r="3954" spans="1:7" x14ac:dyDescent="0.25">
      <c r="A3954" s="257">
        <v>3958</v>
      </c>
      <c r="B3954" s="267">
        <v>3953</v>
      </c>
      <c r="C3954" s="268" t="s">
        <v>923</v>
      </c>
      <c r="D3954" s="269">
        <v>42874</v>
      </c>
      <c r="E3954" s="270" t="s">
        <v>3420</v>
      </c>
      <c r="F3954" s="384">
        <v>12.600000000000001</v>
      </c>
      <c r="G3954" s="270">
        <v>191156245</v>
      </c>
    </row>
    <row r="3955" spans="1:7" x14ac:dyDescent="0.25">
      <c r="A3955" s="257">
        <v>3959</v>
      </c>
      <c r="B3955" s="267">
        <v>3954</v>
      </c>
      <c r="C3955" s="268" t="s">
        <v>4234</v>
      </c>
      <c r="D3955" s="269">
        <v>42874</v>
      </c>
      <c r="E3955" s="270" t="s">
        <v>1007</v>
      </c>
      <c r="F3955" s="384">
        <v>51.6</v>
      </c>
      <c r="G3955" s="270">
        <v>192814863</v>
      </c>
    </row>
    <row r="3956" spans="1:7" x14ac:dyDescent="0.25">
      <c r="A3956" s="257">
        <v>3960</v>
      </c>
      <c r="B3956" s="267">
        <v>3955</v>
      </c>
      <c r="C3956" s="268" t="s">
        <v>202</v>
      </c>
      <c r="D3956" s="269">
        <v>42874</v>
      </c>
      <c r="E3956" s="270" t="s">
        <v>393</v>
      </c>
      <c r="F3956" s="384">
        <v>7.4</v>
      </c>
      <c r="G3956" s="270">
        <v>191487825</v>
      </c>
    </row>
    <row r="3957" spans="1:7" x14ac:dyDescent="0.25">
      <c r="A3957" s="257">
        <v>3961</v>
      </c>
      <c r="B3957" s="267">
        <v>3956</v>
      </c>
      <c r="C3957" s="268" t="s">
        <v>3542</v>
      </c>
      <c r="D3957" s="269">
        <v>42874</v>
      </c>
      <c r="E3957" s="270" t="s">
        <v>2624</v>
      </c>
      <c r="F3957" s="384">
        <v>51.6</v>
      </c>
      <c r="G3957" s="270">
        <v>600004086</v>
      </c>
    </row>
    <row r="3958" spans="1:7" x14ac:dyDescent="0.25">
      <c r="A3958" s="257">
        <v>3962</v>
      </c>
      <c r="B3958" s="267">
        <v>3957</v>
      </c>
      <c r="C3958" s="268" t="s">
        <v>2829</v>
      </c>
      <c r="D3958" s="269">
        <v>42874</v>
      </c>
      <c r="E3958" s="270" t="s">
        <v>226</v>
      </c>
      <c r="F3958" s="384">
        <v>133.70000000000002</v>
      </c>
      <c r="G3958" s="270">
        <v>190654467</v>
      </c>
    </row>
    <row r="3959" spans="1:7" x14ac:dyDescent="0.25">
      <c r="A3959" s="257">
        <v>3963</v>
      </c>
      <c r="B3959" s="267">
        <v>3958</v>
      </c>
      <c r="C3959" s="268" t="s">
        <v>1121</v>
      </c>
      <c r="D3959" s="269">
        <v>42877</v>
      </c>
      <c r="E3959" s="270" t="s">
        <v>209</v>
      </c>
      <c r="F3959" s="384">
        <v>25.2</v>
      </c>
      <c r="G3959" s="270">
        <v>191118996</v>
      </c>
    </row>
    <row r="3960" spans="1:7" x14ac:dyDescent="0.25">
      <c r="A3960" s="257">
        <v>3964</v>
      </c>
      <c r="B3960" s="267">
        <v>3959</v>
      </c>
      <c r="C3960" s="268" t="s">
        <v>1128</v>
      </c>
      <c r="D3960" s="269">
        <v>42877</v>
      </c>
      <c r="E3960" s="270" t="s">
        <v>2871</v>
      </c>
      <c r="F3960" s="384">
        <v>217.2</v>
      </c>
      <c r="G3960" s="270">
        <v>101015738</v>
      </c>
    </row>
    <row r="3961" spans="1:7" x14ac:dyDescent="0.25">
      <c r="A3961" s="257">
        <v>3965</v>
      </c>
      <c r="B3961" s="267">
        <v>3960</v>
      </c>
      <c r="C3961" s="268" t="s">
        <v>3509</v>
      </c>
      <c r="D3961" s="269">
        <v>42877</v>
      </c>
      <c r="E3961" s="270" t="s">
        <v>340</v>
      </c>
      <c r="F3961" s="384">
        <v>51.6</v>
      </c>
      <c r="G3961" s="270">
        <v>190444477</v>
      </c>
    </row>
    <row r="3962" spans="1:7" x14ac:dyDescent="0.25">
      <c r="A3962" s="257">
        <v>3966</v>
      </c>
      <c r="B3962" s="267">
        <v>3961</v>
      </c>
      <c r="C3962" s="268" t="s">
        <v>1810</v>
      </c>
      <c r="D3962" s="269">
        <v>42877</v>
      </c>
      <c r="E3962" s="270" t="s">
        <v>309</v>
      </c>
      <c r="F3962" s="384">
        <v>28.4</v>
      </c>
      <c r="G3962" s="270">
        <v>691072211</v>
      </c>
    </row>
    <row r="3963" spans="1:7" x14ac:dyDescent="0.25">
      <c r="A3963" s="257">
        <v>3967</v>
      </c>
      <c r="B3963" s="267">
        <v>3962</v>
      </c>
      <c r="C3963" s="268" t="s">
        <v>3509</v>
      </c>
      <c r="D3963" s="269">
        <v>42877</v>
      </c>
      <c r="E3963" s="270" t="s">
        <v>340</v>
      </c>
      <c r="F3963" s="384">
        <v>51.6</v>
      </c>
      <c r="G3963" s="270">
        <v>190444477</v>
      </c>
    </row>
    <row r="3964" spans="1:7" x14ac:dyDescent="0.25">
      <c r="A3964" s="257">
        <v>3968</v>
      </c>
      <c r="B3964" s="267">
        <v>3963</v>
      </c>
      <c r="C3964" s="268" t="s">
        <v>1805</v>
      </c>
      <c r="D3964" s="269">
        <v>42877</v>
      </c>
      <c r="E3964" s="270" t="s">
        <v>2462</v>
      </c>
      <c r="F3964" s="384">
        <v>19.5</v>
      </c>
      <c r="G3964" s="270">
        <v>691763321</v>
      </c>
    </row>
    <row r="3965" spans="1:7" x14ac:dyDescent="0.25">
      <c r="A3965" s="257">
        <v>3969</v>
      </c>
      <c r="B3965" s="267">
        <v>3964</v>
      </c>
      <c r="C3965" s="268" t="s">
        <v>2750</v>
      </c>
      <c r="D3965" s="269">
        <v>42877</v>
      </c>
      <c r="E3965" s="270" t="s">
        <v>2467</v>
      </c>
      <c r="F3965" s="384">
        <v>19</v>
      </c>
      <c r="G3965" s="270">
        <v>192046273</v>
      </c>
    </row>
    <row r="3966" spans="1:7" x14ac:dyDescent="0.25">
      <c r="A3966" s="257">
        <v>3970</v>
      </c>
      <c r="B3966" s="267">
        <v>3965</v>
      </c>
      <c r="C3966" s="268" t="s">
        <v>1628</v>
      </c>
      <c r="D3966" s="269">
        <v>42877</v>
      </c>
      <c r="E3966" s="270" t="s">
        <v>2472</v>
      </c>
      <c r="F3966" s="384">
        <v>20</v>
      </c>
      <c r="G3966" s="270">
        <v>691797999</v>
      </c>
    </row>
    <row r="3967" spans="1:7" x14ac:dyDescent="0.25">
      <c r="A3967" s="257">
        <v>3971</v>
      </c>
      <c r="B3967" s="267">
        <v>3966</v>
      </c>
      <c r="C3967" s="268" t="s">
        <v>1117</v>
      </c>
      <c r="D3967" s="269">
        <v>42877</v>
      </c>
      <c r="E3967" s="270" t="s">
        <v>1796</v>
      </c>
      <c r="F3967" s="384">
        <v>18.399999999999999</v>
      </c>
      <c r="G3967" s="270">
        <v>100872922</v>
      </c>
    </row>
    <row r="3968" spans="1:7" x14ac:dyDescent="0.25">
      <c r="A3968" s="257">
        <v>3972</v>
      </c>
      <c r="B3968" s="267">
        <v>3967</v>
      </c>
      <c r="C3968" s="268" t="s">
        <v>3573</v>
      </c>
      <c r="D3968" s="269">
        <v>42878</v>
      </c>
      <c r="E3968" s="270" t="s">
        <v>1711</v>
      </c>
      <c r="F3968" s="384">
        <v>4.3</v>
      </c>
      <c r="G3968" s="270">
        <v>100005713</v>
      </c>
    </row>
    <row r="3969" spans="1:7" x14ac:dyDescent="0.25">
      <c r="A3969" s="257">
        <v>3973</v>
      </c>
      <c r="B3969" s="267">
        <v>3968</v>
      </c>
      <c r="C3969" s="268" t="s">
        <v>135</v>
      </c>
      <c r="D3969" s="269">
        <v>42878</v>
      </c>
      <c r="E3969" s="270" t="s">
        <v>3548</v>
      </c>
      <c r="F3969" s="384">
        <v>51.6</v>
      </c>
      <c r="G3969" s="270">
        <v>100192928</v>
      </c>
    </row>
    <row r="3970" spans="1:7" x14ac:dyDescent="0.25">
      <c r="A3970" s="257">
        <v>3974</v>
      </c>
      <c r="B3970" s="267">
        <v>3969</v>
      </c>
      <c r="C3970" s="268" t="s">
        <v>3100</v>
      </c>
      <c r="D3970" s="269">
        <v>42878</v>
      </c>
      <c r="E3970" s="270" t="s">
        <v>956</v>
      </c>
      <c r="F3970" s="384">
        <v>11.100000000000001</v>
      </c>
      <c r="G3970" s="270">
        <v>190341033</v>
      </c>
    </row>
    <row r="3971" spans="1:7" x14ac:dyDescent="0.25">
      <c r="A3971" s="257">
        <v>3975</v>
      </c>
      <c r="B3971" s="267">
        <v>3970</v>
      </c>
      <c r="C3971" s="268" t="s">
        <v>409</v>
      </c>
      <c r="D3971" s="269">
        <v>42878</v>
      </c>
      <c r="E3971" s="270" t="s">
        <v>903</v>
      </c>
      <c r="F3971" s="384">
        <v>23.5</v>
      </c>
      <c r="G3971" s="270">
        <v>191764339</v>
      </c>
    </row>
    <row r="3972" spans="1:7" x14ac:dyDescent="0.25">
      <c r="A3972" s="257">
        <v>3976</v>
      </c>
      <c r="B3972" s="267">
        <v>3971</v>
      </c>
      <c r="C3972" s="268" t="s">
        <v>1608</v>
      </c>
      <c r="D3972" s="269">
        <v>42878</v>
      </c>
      <c r="E3972" s="270" t="s">
        <v>2358</v>
      </c>
      <c r="F3972" s="384">
        <v>18.399999999999999</v>
      </c>
      <c r="G3972" s="270">
        <v>800008903</v>
      </c>
    </row>
    <row r="3973" spans="1:7" x14ac:dyDescent="0.25">
      <c r="A3973" s="257">
        <v>3977</v>
      </c>
      <c r="B3973" s="267">
        <v>3972</v>
      </c>
      <c r="C3973" s="268" t="s">
        <v>2828</v>
      </c>
      <c r="D3973" s="269">
        <v>42880</v>
      </c>
      <c r="E3973" s="270" t="s">
        <v>2736</v>
      </c>
      <c r="F3973" s="384">
        <v>86.8</v>
      </c>
      <c r="G3973" s="270">
        <v>691780951</v>
      </c>
    </row>
    <row r="3974" spans="1:7" x14ac:dyDescent="0.25">
      <c r="A3974" s="257">
        <v>3978</v>
      </c>
      <c r="B3974" s="267">
        <v>3973</v>
      </c>
      <c r="C3974" s="268" t="s">
        <v>925</v>
      </c>
      <c r="D3974" s="269">
        <v>42880</v>
      </c>
      <c r="E3974" s="270" t="s">
        <v>1541</v>
      </c>
      <c r="F3974" s="384">
        <v>20</v>
      </c>
      <c r="G3974" s="270">
        <v>808001218</v>
      </c>
    </row>
    <row r="3975" spans="1:7" x14ac:dyDescent="0.25">
      <c r="A3975" s="257">
        <v>3979</v>
      </c>
      <c r="B3975" s="267">
        <v>3974</v>
      </c>
      <c r="C3975" s="268" t="s">
        <v>2734</v>
      </c>
      <c r="D3975" s="269">
        <v>42880</v>
      </c>
      <c r="E3975" s="270" t="s">
        <v>449</v>
      </c>
      <c r="F3975" s="384">
        <v>33.200000000000003</v>
      </c>
      <c r="G3975" s="270">
        <v>100025732</v>
      </c>
    </row>
    <row r="3976" spans="1:7" x14ac:dyDescent="0.25">
      <c r="A3976" s="257">
        <v>3980</v>
      </c>
      <c r="B3976" s="267">
        <v>3975</v>
      </c>
      <c r="C3976" s="268" t="s">
        <v>1950</v>
      </c>
      <c r="D3976" s="269">
        <v>42880</v>
      </c>
      <c r="E3976" s="270" t="s">
        <v>2501</v>
      </c>
      <c r="F3976" s="384">
        <v>33.200000000000003</v>
      </c>
      <c r="G3976" s="270">
        <v>690786661</v>
      </c>
    </row>
    <row r="3977" spans="1:7" x14ac:dyDescent="0.25">
      <c r="A3977" s="257">
        <v>3981</v>
      </c>
      <c r="B3977" s="267">
        <v>3976</v>
      </c>
      <c r="C3977" s="268" t="s">
        <v>1643</v>
      </c>
      <c r="D3977" s="269">
        <v>42880</v>
      </c>
      <c r="E3977" s="270" t="s">
        <v>2139</v>
      </c>
      <c r="F3977" s="384">
        <v>18.399999999999999</v>
      </c>
      <c r="G3977" s="270">
        <v>590086401</v>
      </c>
    </row>
    <row r="3978" spans="1:7" x14ac:dyDescent="0.25">
      <c r="A3978" s="257">
        <v>3982</v>
      </c>
      <c r="B3978" s="267">
        <v>3977</v>
      </c>
      <c r="C3978" s="268" t="s">
        <v>3846</v>
      </c>
      <c r="D3978" s="269">
        <v>42880</v>
      </c>
      <c r="E3978" s="270" t="s">
        <v>450</v>
      </c>
      <c r="F3978" s="384">
        <v>51.6</v>
      </c>
      <c r="G3978" s="270">
        <v>100468996</v>
      </c>
    </row>
    <row r="3979" spans="1:7" x14ac:dyDescent="0.25">
      <c r="A3979" s="257">
        <v>3983</v>
      </c>
      <c r="B3979" s="267">
        <v>3978</v>
      </c>
      <c r="C3979" s="268" t="s">
        <v>386</v>
      </c>
      <c r="D3979" s="269">
        <v>42880</v>
      </c>
      <c r="E3979" s="270" t="s">
        <v>1766</v>
      </c>
      <c r="F3979" s="384">
        <v>39</v>
      </c>
      <c r="G3979" s="270">
        <v>192425076</v>
      </c>
    </row>
    <row r="3980" spans="1:7" x14ac:dyDescent="0.25">
      <c r="A3980" s="257">
        <v>3984</v>
      </c>
      <c r="B3980" s="267">
        <v>3979</v>
      </c>
      <c r="C3980" s="268" t="s">
        <v>4234</v>
      </c>
      <c r="D3980" s="269">
        <v>42880</v>
      </c>
      <c r="E3980" s="270" t="s">
        <v>1007</v>
      </c>
      <c r="F3980" s="384">
        <v>10.9</v>
      </c>
      <c r="G3980" s="270">
        <v>192814863</v>
      </c>
    </row>
    <row r="3981" spans="1:7" x14ac:dyDescent="0.25">
      <c r="A3981" s="257">
        <v>3985</v>
      </c>
      <c r="B3981" s="267">
        <v>3980</v>
      </c>
      <c r="C3981" s="268" t="s">
        <v>2838</v>
      </c>
      <c r="D3981" s="269">
        <v>42880</v>
      </c>
      <c r="E3981" s="270" t="s">
        <v>1625</v>
      </c>
      <c r="F3981" s="384">
        <v>33.200000000000003</v>
      </c>
      <c r="G3981" s="270">
        <v>190729456</v>
      </c>
    </row>
    <row r="3982" spans="1:7" x14ac:dyDescent="0.25">
      <c r="A3982" s="257">
        <v>3986</v>
      </c>
      <c r="B3982" s="267">
        <v>3981</v>
      </c>
      <c r="C3982" s="268" t="s">
        <v>3759</v>
      </c>
      <c r="D3982" s="269">
        <v>42881</v>
      </c>
      <c r="E3982" s="270" t="s">
        <v>2507</v>
      </c>
      <c r="F3982" s="384">
        <v>25.2</v>
      </c>
      <c r="G3982" s="270">
        <v>600068835</v>
      </c>
    </row>
    <row r="3983" spans="1:7" x14ac:dyDescent="0.25">
      <c r="A3983" s="257">
        <v>3987</v>
      </c>
      <c r="B3983" s="267">
        <v>3982</v>
      </c>
      <c r="C3983" s="268" t="s">
        <v>2095</v>
      </c>
      <c r="D3983" s="269">
        <v>42881</v>
      </c>
      <c r="E3983" s="270" t="s">
        <v>3188</v>
      </c>
      <c r="F3983" s="384">
        <v>3.5</v>
      </c>
      <c r="G3983" s="270">
        <v>190273406</v>
      </c>
    </row>
    <row r="3984" spans="1:7" x14ac:dyDescent="0.25">
      <c r="A3984" s="257">
        <v>3988</v>
      </c>
      <c r="B3984" s="267">
        <v>3983</v>
      </c>
      <c r="C3984" s="268" t="s">
        <v>71</v>
      </c>
      <c r="D3984" s="269">
        <v>42881</v>
      </c>
      <c r="E3984" s="270" t="s">
        <v>2409</v>
      </c>
      <c r="F3984" s="384">
        <v>7.4</v>
      </c>
      <c r="G3984" s="270">
        <v>691464441</v>
      </c>
    </row>
    <row r="3985" spans="1:7" x14ac:dyDescent="0.25">
      <c r="A3985" s="257">
        <v>3989</v>
      </c>
      <c r="B3985" s="267">
        <v>3984</v>
      </c>
      <c r="C3985" s="268" t="s">
        <v>337</v>
      </c>
      <c r="D3985" s="269">
        <v>42881</v>
      </c>
      <c r="E3985" s="270" t="s">
        <v>2513</v>
      </c>
      <c r="F3985" s="384">
        <v>51.6</v>
      </c>
      <c r="G3985" s="270">
        <v>491262432</v>
      </c>
    </row>
    <row r="3986" spans="1:7" x14ac:dyDescent="0.25">
      <c r="A3986" s="257">
        <v>3990</v>
      </c>
      <c r="B3986" s="267">
        <v>3985</v>
      </c>
      <c r="C3986" s="268" t="s">
        <v>3496</v>
      </c>
      <c r="D3986" s="269">
        <v>42881</v>
      </c>
      <c r="E3986" s="270" t="s">
        <v>2519</v>
      </c>
      <c r="F3986" s="384">
        <v>51.6</v>
      </c>
      <c r="G3986" s="270">
        <v>190916377</v>
      </c>
    </row>
    <row r="3987" spans="1:7" x14ac:dyDescent="0.25">
      <c r="A3987" s="257">
        <v>3991</v>
      </c>
      <c r="B3987" s="267">
        <v>3986</v>
      </c>
      <c r="C3987" s="268" t="s">
        <v>2765</v>
      </c>
      <c r="D3987" s="269">
        <v>42881</v>
      </c>
      <c r="E3987" s="270" t="s">
        <v>1927</v>
      </c>
      <c r="F3987" s="384">
        <v>23.5</v>
      </c>
      <c r="G3987" s="270">
        <v>190032958</v>
      </c>
    </row>
    <row r="3988" spans="1:7" x14ac:dyDescent="0.25">
      <c r="A3988" s="257">
        <v>3992</v>
      </c>
      <c r="B3988" s="267">
        <v>3987</v>
      </c>
      <c r="C3988" s="268" t="s">
        <v>2765</v>
      </c>
      <c r="D3988" s="269">
        <v>42881</v>
      </c>
      <c r="E3988" s="270" t="s">
        <v>1927</v>
      </c>
      <c r="F3988" s="384">
        <v>42.300000000000004</v>
      </c>
      <c r="G3988" s="270">
        <v>190032958</v>
      </c>
    </row>
    <row r="3989" spans="1:7" x14ac:dyDescent="0.25">
      <c r="A3989" s="257">
        <v>3993</v>
      </c>
      <c r="B3989" s="267">
        <v>3988</v>
      </c>
      <c r="C3989" s="268" t="s">
        <v>2765</v>
      </c>
      <c r="D3989" s="269">
        <v>42881</v>
      </c>
      <c r="E3989" s="270" t="s">
        <v>1927</v>
      </c>
      <c r="F3989" s="384">
        <v>37.5</v>
      </c>
      <c r="G3989" s="270">
        <v>190032958</v>
      </c>
    </row>
    <row r="3990" spans="1:7" x14ac:dyDescent="0.25">
      <c r="A3990" s="257">
        <v>3994</v>
      </c>
      <c r="B3990" s="267">
        <v>3989</v>
      </c>
      <c r="C3990" s="268" t="s">
        <v>3273</v>
      </c>
      <c r="D3990" s="269">
        <v>42885</v>
      </c>
      <c r="E3990" s="270" t="s">
        <v>2532</v>
      </c>
      <c r="F3990" s="384">
        <v>23.5</v>
      </c>
      <c r="G3990" s="270">
        <v>192192308</v>
      </c>
    </row>
    <row r="3991" spans="1:7" x14ac:dyDescent="0.25">
      <c r="A3991" s="257">
        <v>3995</v>
      </c>
      <c r="B3991" s="267">
        <v>3990</v>
      </c>
      <c r="C3991" s="268" t="s">
        <v>3607</v>
      </c>
      <c r="D3991" s="269">
        <v>42885</v>
      </c>
      <c r="E3991" s="270" t="s">
        <v>1656</v>
      </c>
      <c r="F3991" s="384">
        <v>33.200000000000003</v>
      </c>
      <c r="G3991" s="270">
        <v>101439397</v>
      </c>
    </row>
    <row r="3992" spans="1:7" x14ac:dyDescent="0.25">
      <c r="A3992" s="257">
        <v>3996</v>
      </c>
      <c r="B3992" s="267">
        <v>3991</v>
      </c>
      <c r="C3992" s="268" t="s">
        <v>3549</v>
      </c>
      <c r="D3992" s="269">
        <v>42885</v>
      </c>
      <c r="E3992" s="270" t="s">
        <v>329</v>
      </c>
      <c r="F3992" s="384">
        <v>51.6</v>
      </c>
      <c r="G3992" s="270">
        <v>190800080</v>
      </c>
    </row>
    <row r="3993" spans="1:7" x14ac:dyDescent="0.25">
      <c r="A3993" s="257">
        <v>3997</v>
      </c>
      <c r="B3993" s="267">
        <v>3992</v>
      </c>
      <c r="C3993" s="268" t="s">
        <v>262</v>
      </c>
      <c r="D3993" s="269">
        <v>42885</v>
      </c>
      <c r="E3993" s="270" t="s">
        <v>863</v>
      </c>
      <c r="F3993" s="384">
        <v>51.6</v>
      </c>
      <c r="G3993" s="270">
        <v>690849523</v>
      </c>
    </row>
    <row r="3994" spans="1:7" x14ac:dyDescent="0.25">
      <c r="A3994" s="257">
        <v>3998</v>
      </c>
      <c r="B3994" s="267">
        <v>3993</v>
      </c>
      <c r="C3994" s="268" t="s">
        <v>1845</v>
      </c>
      <c r="D3994" s="269">
        <v>42885</v>
      </c>
      <c r="E3994" s="270" t="s">
        <v>2205</v>
      </c>
      <c r="F3994" s="384">
        <v>103.2</v>
      </c>
      <c r="G3994" s="270">
        <v>812004321</v>
      </c>
    </row>
    <row r="3995" spans="1:7" x14ac:dyDescent="0.25">
      <c r="A3995" s="257">
        <v>3999</v>
      </c>
      <c r="B3995" s="267">
        <v>3994</v>
      </c>
      <c r="C3995" s="268" t="s">
        <v>3320</v>
      </c>
      <c r="D3995" s="269">
        <v>42885</v>
      </c>
      <c r="E3995" s="270" t="s">
        <v>2759</v>
      </c>
      <c r="F3995" s="384">
        <v>33.200000000000003</v>
      </c>
      <c r="G3995" s="270">
        <v>691784176</v>
      </c>
    </row>
    <row r="3996" spans="1:7" x14ac:dyDescent="0.25">
      <c r="A3996" s="257">
        <v>4000</v>
      </c>
      <c r="B3996" s="267">
        <v>3995</v>
      </c>
      <c r="C3996" s="268" t="s">
        <v>1663</v>
      </c>
      <c r="D3996" s="269">
        <v>42885</v>
      </c>
      <c r="E3996" s="270" t="s">
        <v>3600</v>
      </c>
      <c r="F3996" s="384">
        <v>7.4</v>
      </c>
      <c r="G3996" s="270">
        <v>690628627</v>
      </c>
    </row>
    <row r="3997" spans="1:7" x14ac:dyDescent="0.25">
      <c r="A3997" s="257">
        <v>4001</v>
      </c>
      <c r="B3997" s="267">
        <v>3996</v>
      </c>
      <c r="C3997" s="268" t="s">
        <v>1131</v>
      </c>
      <c r="D3997" s="269">
        <v>42885</v>
      </c>
      <c r="E3997" s="270" t="s">
        <v>840</v>
      </c>
      <c r="F3997" s="384">
        <v>51.6</v>
      </c>
      <c r="G3997" s="270">
        <v>191648960</v>
      </c>
    </row>
    <row r="3998" spans="1:7" x14ac:dyDescent="0.25">
      <c r="A3998" s="257">
        <v>4002</v>
      </c>
      <c r="B3998" s="267">
        <v>3997</v>
      </c>
      <c r="C3998" s="268" t="s">
        <v>73</v>
      </c>
      <c r="D3998" s="269">
        <v>42885</v>
      </c>
      <c r="E3998" s="270" t="s">
        <v>453</v>
      </c>
      <c r="F3998" s="384">
        <v>33.200000000000003</v>
      </c>
      <c r="G3998" s="270">
        <v>6915330341</v>
      </c>
    </row>
    <row r="3999" spans="1:7" x14ac:dyDescent="0.25">
      <c r="A3999" s="257">
        <v>4003</v>
      </c>
      <c r="B3999" s="267">
        <v>3998</v>
      </c>
      <c r="C3999" s="268" t="s">
        <v>4215</v>
      </c>
      <c r="D3999" s="269">
        <v>42886</v>
      </c>
      <c r="E3999" s="270" t="s">
        <v>3558</v>
      </c>
      <c r="F3999" s="384">
        <v>35.6</v>
      </c>
      <c r="G3999" s="270">
        <v>601072665</v>
      </c>
    </row>
    <row r="4000" spans="1:7" x14ac:dyDescent="0.25">
      <c r="A4000" s="257">
        <v>4004</v>
      </c>
      <c r="B4000" s="267">
        <v>3999</v>
      </c>
      <c r="C4000" s="268" t="s">
        <v>3607</v>
      </c>
      <c r="D4000" s="269">
        <v>42886</v>
      </c>
      <c r="E4000" s="270" t="s">
        <v>1656</v>
      </c>
      <c r="F4000" s="384">
        <v>7.4</v>
      </c>
      <c r="G4000" s="270">
        <v>101439397</v>
      </c>
    </row>
    <row r="4001" spans="1:7" x14ac:dyDescent="0.25">
      <c r="A4001" s="257">
        <v>4005</v>
      </c>
      <c r="B4001" s="267">
        <v>4000</v>
      </c>
      <c r="C4001" s="268" t="s">
        <v>386</v>
      </c>
      <c r="D4001" s="269">
        <v>42886</v>
      </c>
      <c r="E4001" s="270" t="s">
        <v>1766</v>
      </c>
      <c r="F4001" s="384">
        <v>23.5</v>
      </c>
      <c r="G4001" s="270">
        <v>192425076</v>
      </c>
    </row>
    <row r="4002" spans="1:7" x14ac:dyDescent="0.25">
      <c r="A4002" s="257">
        <v>4006</v>
      </c>
      <c r="B4002" s="267">
        <v>4001</v>
      </c>
      <c r="C4002" s="268" t="s">
        <v>1666</v>
      </c>
      <c r="D4002" s="269">
        <v>42886</v>
      </c>
      <c r="E4002" s="270" t="s">
        <v>3414</v>
      </c>
      <c r="F4002" s="384">
        <v>3.7</v>
      </c>
      <c r="G4002" s="270">
        <v>691525196</v>
      </c>
    </row>
    <row r="4003" spans="1:7" x14ac:dyDescent="0.25">
      <c r="A4003" s="257">
        <v>4007</v>
      </c>
      <c r="B4003" s="267">
        <v>4002</v>
      </c>
      <c r="C4003" s="268" t="s">
        <v>2864</v>
      </c>
      <c r="D4003" s="269">
        <v>42886</v>
      </c>
      <c r="E4003" s="270" t="s">
        <v>892</v>
      </c>
      <c r="F4003" s="384">
        <v>23.5</v>
      </c>
      <c r="G4003" s="270">
        <v>100390954</v>
      </c>
    </row>
    <row r="4004" spans="1:7" x14ac:dyDescent="0.25">
      <c r="A4004" s="257">
        <v>4008</v>
      </c>
      <c r="B4004" s="267">
        <v>4003</v>
      </c>
      <c r="C4004" s="268" t="s">
        <v>965</v>
      </c>
      <c r="D4004" s="269">
        <v>42886</v>
      </c>
      <c r="E4004" s="270" t="s">
        <v>2550</v>
      </c>
      <c r="F4004" s="384">
        <v>33.200000000000003</v>
      </c>
      <c r="G4004" s="270">
        <v>100377503</v>
      </c>
    </row>
    <row r="4005" spans="1:7" x14ac:dyDescent="0.25">
      <c r="A4005" s="257">
        <v>4009</v>
      </c>
      <c r="B4005" s="267">
        <v>4004</v>
      </c>
      <c r="C4005" s="268" t="s">
        <v>2962</v>
      </c>
      <c r="D4005" s="269">
        <v>42886</v>
      </c>
      <c r="E4005" s="270" t="s">
        <v>1005</v>
      </c>
      <c r="F4005" s="384">
        <v>35.6</v>
      </c>
      <c r="G4005" s="270">
        <v>101116081</v>
      </c>
    </row>
    <row r="4006" spans="1:7" x14ac:dyDescent="0.25">
      <c r="A4006" s="257">
        <v>4010</v>
      </c>
      <c r="B4006" s="267">
        <v>4005</v>
      </c>
      <c r="C4006" s="268" t="s">
        <v>904</v>
      </c>
      <c r="D4006" s="269">
        <v>42886</v>
      </c>
      <c r="E4006" s="270" t="s">
        <v>526</v>
      </c>
      <c r="F4006" s="384">
        <v>51.6</v>
      </c>
      <c r="G4006" s="270">
        <v>691536906</v>
      </c>
    </row>
    <row r="4007" spans="1:7" x14ac:dyDescent="0.25">
      <c r="A4007" s="257">
        <v>4011</v>
      </c>
      <c r="B4007" s="267">
        <v>4006</v>
      </c>
      <c r="C4007" s="268" t="s">
        <v>973</v>
      </c>
      <c r="D4007" s="269">
        <v>42886</v>
      </c>
      <c r="E4007" s="270" t="s">
        <v>2560</v>
      </c>
      <c r="F4007" s="384">
        <v>51.6</v>
      </c>
      <c r="G4007" s="270">
        <v>691133734</v>
      </c>
    </row>
    <row r="4008" spans="1:7" x14ac:dyDescent="0.25">
      <c r="A4008" s="257">
        <v>4012</v>
      </c>
      <c r="B4008" s="267">
        <v>4007</v>
      </c>
      <c r="C4008" s="268" t="s">
        <v>3320</v>
      </c>
      <c r="D4008" s="269">
        <v>42887</v>
      </c>
      <c r="E4008" s="270" t="s">
        <v>2759</v>
      </c>
      <c r="F4008" s="384">
        <v>10.9</v>
      </c>
      <c r="G4008" s="270">
        <v>691784176</v>
      </c>
    </row>
    <row r="4009" spans="1:7" x14ac:dyDescent="0.25">
      <c r="A4009" s="257">
        <v>4013</v>
      </c>
      <c r="B4009" s="267">
        <v>4008</v>
      </c>
      <c r="C4009" s="268" t="s">
        <v>2359</v>
      </c>
      <c r="D4009" s="269">
        <v>42887</v>
      </c>
      <c r="E4009" s="270" t="s">
        <v>3492</v>
      </c>
      <c r="F4009" s="384">
        <v>11.7</v>
      </c>
      <c r="G4009" s="270">
        <v>102345778</v>
      </c>
    </row>
    <row r="4010" spans="1:7" x14ac:dyDescent="0.25">
      <c r="A4010" s="257">
        <v>4014</v>
      </c>
      <c r="B4010" s="267">
        <v>4009</v>
      </c>
      <c r="C4010" s="268" t="s">
        <v>1696</v>
      </c>
      <c r="D4010" s="269">
        <v>42888</v>
      </c>
      <c r="E4010" s="270" t="s">
        <v>445</v>
      </c>
      <c r="F4010" s="384">
        <v>23.5</v>
      </c>
      <c r="G4010" s="270">
        <v>190696505</v>
      </c>
    </row>
    <row r="4011" spans="1:7" x14ac:dyDescent="0.25">
      <c r="A4011" s="257">
        <v>4015</v>
      </c>
      <c r="B4011" s="267">
        <v>4010</v>
      </c>
      <c r="C4011" s="268" t="s">
        <v>3509</v>
      </c>
      <c r="D4011" s="269">
        <v>42888</v>
      </c>
      <c r="E4011" s="270" t="s">
        <v>340</v>
      </c>
      <c r="F4011" s="384">
        <v>19.100000000000001</v>
      </c>
      <c r="G4011" s="270">
        <v>190444477</v>
      </c>
    </row>
    <row r="4012" spans="1:7" x14ac:dyDescent="0.25">
      <c r="A4012" s="257">
        <v>4016</v>
      </c>
      <c r="B4012" s="267">
        <v>4011</v>
      </c>
      <c r="C4012" s="268" t="s">
        <v>1546</v>
      </c>
      <c r="D4012" s="269">
        <v>42893</v>
      </c>
      <c r="E4012" s="270" t="s">
        <v>944</v>
      </c>
      <c r="F4012" s="384">
        <v>23.5</v>
      </c>
      <c r="G4012" s="270">
        <v>100692491</v>
      </c>
    </row>
    <row r="4013" spans="1:7" x14ac:dyDescent="0.25">
      <c r="A4013" s="257">
        <v>4017</v>
      </c>
      <c r="B4013" s="267">
        <v>4012</v>
      </c>
      <c r="C4013" s="268" t="s">
        <v>1535</v>
      </c>
      <c r="D4013" s="269">
        <v>42893</v>
      </c>
      <c r="E4013" s="270" t="s">
        <v>2791</v>
      </c>
      <c r="F4013" s="384">
        <v>11.100000000000001</v>
      </c>
      <c r="G4013" s="270">
        <v>100099572</v>
      </c>
    </row>
    <row r="4014" spans="1:7" x14ac:dyDescent="0.25">
      <c r="A4014" s="257">
        <v>4018</v>
      </c>
      <c r="B4014" s="267">
        <v>4013</v>
      </c>
      <c r="C4014" s="268" t="s">
        <v>950</v>
      </c>
      <c r="D4014" s="269">
        <v>42893</v>
      </c>
      <c r="E4014" s="270" t="s">
        <v>4226</v>
      </c>
      <c r="F4014" s="384">
        <v>23.5</v>
      </c>
      <c r="G4014" s="270">
        <v>191112043</v>
      </c>
    </row>
    <row r="4015" spans="1:7" x14ac:dyDescent="0.25">
      <c r="A4015" s="257">
        <v>4019</v>
      </c>
      <c r="B4015" s="267">
        <v>4014</v>
      </c>
      <c r="C4015" s="268" t="s">
        <v>1696</v>
      </c>
      <c r="D4015" s="269">
        <v>42893</v>
      </c>
      <c r="E4015" s="270" t="s">
        <v>445</v>
      </c>
      <c r="F4015" s="384">
        <v>28.4</v>
      </c>
      <c r="G4015" s="270">
        <v>190696505</v>
      </c>
    </row>
    <row r="4016" spans="1:7" x14ac:dyDescent="0.25">
      <c r="A4016" s="257">
        <v>4020</v>
      </c>
      <c r="B4016" s="267">
        <v>4015</v>
      </c>
      <c r="C4016" s="268" t="s">
        <v>462</v>
      </c>
      <c r="D4016" s="269">
        <v>42893</v>
      </c>
      <c r="E4016" s="270" t="s">
        <v>239</v>
      </c>
      <c r="F4016" s="384">
        <v>258</v>
      </c>
      <c r="G4016" s="270">
        <v>101139097</v>
      </c>
    </row>
    <row r="4017" spans="1:7" x14ac:dyDescent="0.25">
      <c r="A4017" s="257">
        <v>4021</v>
      </c>
      <c r="B4017" s="267">
        <v>4016</v>
      </c>
      <c r="C4017" s="268" t="s">
        <v>2104</v>
      </c>
      <c r="D4017" s="269">
        <v>42893</v>
      </c>
      <c r="E4017" s="270" t="s">
        <v>523</v>
      </c>
      <c r="F4017" s="384">
        <v>7.4</v>
      </c>
      <c r="G4017" s="270">
        <v>691539111</v>
      </c>
    </row>
    <row r="4018" spans="1:7" x14ac:dyDescent="0.25">
      <c r="A4018" s="257">
        <v>4022</v>
      </c>
      <c r="B4018" s="267">
        <v>4017</v>
      </c>
      <c r="C4018" s="268" t="s">
        <v>1120</v>
      </c>
      <c r="D4018" s="269">
        <v>42893</v>
      </c>
      <c r="E4018" s="270" t="s">
        <v>3259</v>
      </c>
      <c r="F4018" s="384">
        <v>51.6</v>
      </c>
      <c r="G4018" s="270">
        <v>190904186</v>
      </c>
    </row>
    <row r="4019" spans="1:7" x14ac:dyDescent="0.25">
      <c r="A4019" s="257">
        <v>4023</v>
      </c>
      <c r="B4019" s="267">
        <v>4018</v>
      </c>
      <c r="C4019" s="268" t="s">
        <v>1643</v>
      </c>
      <c r="D4019" s="269">
        <v>42893</v>
      </c>
      <c r="E4019" s="270" t="s">
        <v>2139</v>
      </c>
      <c r="F4019" s="384">
        <v>36.799999999999997</v>
      </c>
      <c r="G4019" s="270">
        <v>590086401</v>
      </c>
    </row>
    <row r="4020" spans="1:7" x14ac:dyDescent="0.25">
      <c r="A4020" s="257">
        <v>4024</v>
      </c>
      <c r="B4020" s="267">
        <v>4019</v>
      </c>
      <c r="C4020" s="268" t="s">
        <v>134</v>
      </c>
      <c r="D4020" s="269">
        <v>42893</v>
      </c>
      <c r="E4020" s="270" t="s">
        <v>2676</v>
      </c>
      <c r="F4020" s="384">
        <v>51.6</v>
      </c>
      <c r="G4020" s="270">
        <v>690594220</v>
      </c>
    </row>
    <row r="4021" spans="1:7" x14ac:dyDescent="0.25">
      <c r="A4021" s="257">
        <v>4025</v>
      </c>
      <c r="B4021" s="267">
        <v>4020</v>
      </c>
      <c r="C4021" s="268" t="s">
        <v>1535</v>
      </c>
      <c r="D4021" s="269">
        <v>42893</v>
      </c>
      <c r="E4021" s="270" t="s">
        <v>2791</v>
      </c>
      <c r="F4021" s="384">
        <v>3.7</v>
      </c>
      <c r="G4021" s="270">
        <v>100099572</v>
      </c>
    </row>
    <row r="4022" spans="1:7" x14ac:dyDescent="0.25">
      <c r="A4022" s="257">
        <v>4026</v>
      </c>
      <c r="B4022" s="267">
        <v>4021</v>
      </c>
      <c r="C4022" s="268" t="s">
        <v>486</v>
      </c>
      <c r="D4022" s="269">
        <v>42893</v>
      </c>
      <c r="E4022" s="270" t="s">
        <v>500</v>
      </c>
      <c r="F4022" s="384">
        <v>51.6</v>
      </c>
      <c r="G4022" s="270">
        <v>690631984</v>
      </c>
    </row>
    <row r="4023" spans="1:7" x14ac:dyDescent="0.25">
      <c r="A4023" s="257">
        <v>4027</v>
      </c>
      <c r="B4023" s="267">
        <v>4022</v>
      </c>
      <c r="C4023" s="268" t="s">
        <v>265</v>
      </c>
      <c r="D4023" s="269">
        <v>42893</v>
      </c>
      <c r="E4023" s="270" t="s">
        <v>3546</v>
      </c>
      <c r="F4023" s="384">
        <v>21</v>
      </c>
      <c r="G4023" s="270">
        <v>190991829</v>
      </c>
    </row>
    <row r="4024" spans="1:7" x14ac:dyDescent="0.25">
      <c r="A4024" s="257">
        <v>4028</v>
      </c>
      <c r="B4024" s="267">
        <v>4023</v>
      </c>
      <c r="C4024" s="268" t="s">
        <v>486</v>
      </c>
      <c r="D4024" s="269">
        <v>42893</v>
      </c>
      <c r="E4024" s="270" t="s">
        <v>500</v>
      </c>
      <c r="F4024" s="384">
        <v>3.7</v>
      </c>
      <c r="G4024" s="270">
        <v>690631984</v>
      </c>
    </row>
    <row r="4025" spans="1:7" x14ac:dyDescent="0.25">
      <c r="A4025" s="257">
        <v>4029</v>
      </c>
      <c r="B4025" s="267">
        <v>4024</v>
      </c>
      <c r="C4025" s="268" t="s">
        <v>2049</v>
      </c>
      <c r="D4025" s="269">
        <v>42894</v>
      </c>
      <c r="E4025" s="270" t="s">
        <v>3598</v>
      </c>
      <c r="F4025" s="384">
        <v>51.6</v>
      </c>
      <c r="G4025" s="270">
        <v>190221603</v>
      </c>
    </row>
    <row r="4026" spans="1:7" x14ac:dyDescent="0.25">
      <c r="A4026" s="257">
        <v>4030</v>
      </c>
      <c r="B4026" s="267">
        <v>4025</v>
      </c>
      <c r="C4026" s="268" t="s">
        <v>2714</v>
      </c>
      <c r="D4026" s="269">
        <v>42894</v>
      </c>
      <c r="E4026" s="270" t="s">
        <v>2717</v>
      </c>
      <c r="F4026" s="384">
        <v>51.6</v>
      </c>
      <c r="G4026" s="270">
        <v>101538513</v>
      </c>
    </row>
    <row r="4027" spans="1:7" x14ac:dyDescent="0.25">
      <c r="A4027" s="257">
        <v>4031</v>
      </c>
      <c r="B4027" s="267">
        <v>4026</v>
      </c>
      <c r="C4027" s="268" t="s">
        <v>3298</v>
      </c>
      <c r="D4027" s="269">
        <v>42894</v>
      </c>
      <c r="E4027" s="270" t="s">
        <v>4192</v>
      </c>
      <c r="F4027" s="384">
        <v>113.6</v>
      </c>
      <c r="G4027" s="270">
        <v>190063577</v>
      </c>
    </row>
    <row r="4028" spans="1:7" x14ac:dyDescent="0.25">
      <c r="A4028" s="257">
        <v>4032</v>
      </c>
      <c r="B4028" s="267">
        <v>4027</v>
      </c>
      <c r="C4028" s="268" t="s">
        <v>855</v>
      </c>
      <c r="D4028" s="269">
        <v>42894</v>
      </c>
      <c r="E4028" s="270" t="s">
        <v>2654</v>
      </c>
      <c r="F4028" s="384">
        <v>19.5</v>
      </c>
      <c r="G4028" s="270">
        <v>800015299</v>
      </c>
    </row>
    <row r="4029" spans="1:7" x14ac:dyDescent="0.25">
      <c r="A4029" s="257">
        <v>4033</v>
      </c>
      <c r="B4029" s="267">
        <v>4028</v>
      </c>
      <c r="C4029" s="268" t="s">
        <v>1664</v>
      </c>
      <c r="D4029" s="269">
        <v>42897</v>
      </c>
      <c r="E4029" s="270" t="s">
        <v>1310</v>
      </c>
      <c r="F4029" s="384">
        <v>80.3</v>
      </c>
      <c r="G4029" s="270">
        <v>100008077</v>
      </c>
    </row>
    <row r="4030" spans="1:7" x14ac:dyDescent="0.25">
      <c r="A4030" s="257">
        <v>4034</v>
      </c>
      <c r="B4030" s="267">
        <v>4029</v>
      </c>
      <c r="C4030" s="268" t="s">
        <v>221</v>
      </c>
      <c r="D4030" s="269">
        <v>42898</v>
      </c>
      <c r="E4030" s="270" t="s">
        <v>498</v>
      </c>
      <c r="F4030" s="384">
        <v>3.5</v>
      </c>
      <c r="G4030" s="270">
        <v>190970908</v>
      </c>
    </row>
    <row r="4031" spans="1:7" x14ac:dyDescent="0.25">
      <c r="A4031" s="257">
        <v>4035</v>
      </c>
      <c r="B4031" s="267">
        <v>4030</v>
      </c>
      <c r="C4031" s="268" t="s">
        <v>307</v>
      </c>
      <c r="D4031" s="269">
        <v>42898</v>
      </c>
      <c r="E4031" s="270" t="s">
        <v>4235</v>
      </c>
      <c r="F4031" s="384">
        <v>51.6</v>
      </c>
      <c r="G4031" s="270">
        <v>101185261</v>
      </c>
    </row>
    <row r="4032" spans="1:7" x14ac:dyDescent="0.25">
      <c r="A4032" s="257">
        <v>4036</v>
      </c>
      <c r="B4032" s="267">
        <v>4031</v>
      </c>
      <c r="C4032" s="268" t="s">
        <v>1782</v>
      </c>
      <c r="D4032" s="269">
        <v>42898</v>
      </c>
      <c r="E4032" s="270" t="s">
        <v>588</v>
      </c>
      <c r="F4032" s="384">
        <v>23.5</v>
      </c>
      <c r="G4032" s="270">
        <v>691797654</v>
      </c>
    </row>
    <row r="4033" spans="1:7" x14ac:dyDescent="0.25">
      <c r="A4033" s="257">
        <v>4037</v>
      </c>
      <c r="B4033" s="267">
        <v>4032</v>
      </c>
      <c r="C4033" s="268" t="s">
        <v>1663</v>
      </c>
      <c r="D4033" s="269">
        <v>42898</v>
      </c>
      <c r="E4033" s="270" t="s">
        <v>3600</v>
      </c>
      <c r="F4033" s="384">
        <v>51.6</v>
      </c>
      <c r="G4033" s="270">
        <v>690628627</v>
      </c>
    </row>
    <row r="4034" spans="1:7" x14ac:dyDescent="0.25">
      <c r="A4034" s="257">
        <v>4038</v>
      </c>
      <c r="B4034" s="267">
        <v>4033</v>
      </c>
      <c r="C4034" s="268" t="s">
        <v>345</v>
      </c>
      <c r="D4034" s="269">
        <v>42898</v>
      </c>
      <c r="E4034" s="270" t="s">
        <v>599</v>
      </c>
      <c r="F4034" s="384">
        <v>21</v>
      </c>
      <c r="G4034" s="270">
        <v>190287990</v>
      </c>
    </row>
    <row r="4035" spans="1:7" x14ac:dyDescent="0.25">
      <c r="A4035" s="257">
        <v>4039</v>
      </c>
      <c r="B4035" s="267">
        <v>4034</v>
      </c>
      <c r="C4035" s="268" t="s">
        <v>212</v>
      </c>
      <c r="D4035" s="269">
        <v>42898</v>
      </c>
      <c r="E4035" s="270" t="s">
        <v>183</v>
      </c>
      <c r="F4035" s="384">
        <v>51.6</v>
      </c>
      <c r="G4035" s="270">
        <v>190905167</v>
      </c>
    </row>
    <row r="4036" spans="1:7" x14ac:dyDescent="0.25">
      <c r="A4036" s="257">
        <v>4040</v>
      </c>
      <c r="B4036" s="267">
        <v>4035</v>
      </c>
      <c r="C4036" s="268" t="s">
        <v>1524</v>
      </c>
      <c r="D4036" s="269">
        <v>42901</v>
      </c>
      <c r="E4036" s="270" t="s">
        <v>3318</v>
      </c>
      <c r="F4036" s="384">
        <v>51.6</v>
      </c>
      <c r="G4036" s="270">
        <v>190583578</v>
      </c>
    </row>
    <row r="4037" spans="1:7" x14ac:dyDescent="0.25">
      <c r="A4037" s="257">
        <v>4041</v>
      </c>
      <c r="B4037" s="267">
        <v>4036</v>
      </c>
      <c r="C4037" s="268" t="s">
        <v>706</v>
      </c>
      <c r="D4037" s="269">
        <v>42901</v>
      </c>
      <c r="E4037" s="270" t="s">
        <v>859</v>
      </c>
      <c r="F4037" s="384">
        <v>19</v>
      </c>
      <c r="G4037" s="270">
        <v>191564325</v>
      </c>
    </row>
    <row r="4038" spans="1:7" x14ac:dyDescent="0.25">
      <c r="A4038" s="257">
        <v>4042</v>
      </c>
      <c r="B4038" s="267">
        <v>4037</v>
      </c>
      <c r="C4038" s="268" t="s">
        <v>3586</v>
      </c>
      <c r="D4038" s="269">
        <v>42901</v>
      </c>
      <c r="E4038" s="270" t="s">
        <v>623</v>
      </c>
      <c r="F4038" s="384">
        <v>20</v>
      </c>
      <c r="G4038" s="270">
        <v>100140783</v>
      </c>
    </row>
    <row r="4039" spans="1:7" x14ac:dyDescent="0.25">
      <c r="A4039" s="257">
        <v>4043</v>
      </c>
      <c r="B4039" s="267">
        <v>4038</v>
      </c>
      <c r="C4039" s="268" t="s">
        <v>1117</v>
      </c>
      <c r="D4039" s="269">
        <v>42902</v>
      </c>
      <c r="E4039" s="270" t="s">
        <v>1796</v>
      </c>
      <c r="F4039" s="384">
        <v>51.6</v>
      </c>
      <c r="G4039" s="270">
        <v>100872922</v>
      </c>
    </row>
    <row r="4040" spans="1:7" x14ac:dyDescent="0.25">
      <c r="A4040" s="257">
        <v>4044</v>
      </c>
      <c r="B4040" s="267">
        <v>4039</v>
      </c>
      <c r="C4040" s="268" t="s">
        <v>3311</v>
      </c>
      <c r="D4040" s="269">
        <v>42902</v>
      </c>
      <c r="E4040" s="270" t="s">
        <v>873</v>
      </c>
      <c r="F4040" s="384">
        <v>51.6</v>
      </c>
      <c r="G4040" s="270">
        <v>691523415</v>
      </c>
    </row>
    <row r="4041" spans="1:7" x14ac:dyDescent="0.25">
      <c r="A4041" s="257">
        <v>4045</v>
      </c>
      <c r="B4041" s="267">
        <v>4040</v>
      </c>
      <c r="C4041" s="268" t="s">
        <v>4150</v>
      </c>
      <c r="D4041" s="269">
        <v>42902</v>
      </c>
      <c r="E4041" s="270" t="s">
        <v>455</v>
      </c>
      <c r="F4041" s="384">
        <v>51.6</v>
      </c>
      <c r="G4041" s="270">
        <v>190638152</v>
      </c>
    </row>
    <row r="4042" spans="1:7" x14ac:dyDescent="0.25">
      <c r="A4042" s="257">
        <v>4046</v>
      </c>
      <c r="B4042" s="267">
        <v>4041</v>
      </c>
      <c r="C4042" s="268" t="s">
        <v>3836</v>
      </c>
      <c r="D4042" s="269">
        <v>42902</v>
      </c>
      <c r="E4042" s="270" t="s">
        <v>2970</v>
      </c>
      <c r="F4042" s="384">
        <v>23.5</v>
      </c>
      <c r="G4042" s="270">
        <v>691313083</v>
      </c>
    </row>
    <row r="4043" spans="1:7" x14ac:dyDescent="0.25">
      <c r="A4043" s="257">
        <v>4047</v>
      </c>
      <c r="B4043" s="267">
        <v>4042</v>
      </c>
      <c r="C4043" s="268" t="s">
        <v>2377</v>
      </c>
      <c r="D4043" s="269">
        <v>42902</v>
      </c>
      <c r="E4043" s="270" t="s">
        <v>41</v>
      </c>
      <c r="F4043" s="384">
        <v>7.4</v>
      </c>
      <c r="G4043" s="270">
        <v>101143325</v>
      </c>
    </row>
    <row r="4044" spans="1:7" x14ac:dyDescent="0.25">
      <c r="A4044" s="257">
        <v>4048</v>
      </c>
      <c r="B4044" s="267">
        <v>4043</v>
      </c>
      <c r="C4044" s="268" t="s">
        <v>11</v>
      </c>
      <c r="D4044" s="269">
        <v>42905</v>
      </c>
      <c r="E4044" s="270" t="s">
        <v>634</v>
      </c>
      <c r="F4044" s="384">
        <v>51.6</v>
      </c>
      <c r="G4044" s="270">
        <v>690293098</v>
      </c>
    </row>
    <row r="4045" spans="1:7" x14ac:dyDescent="0.25">
      <c r="A4045" s="257">
        <v>4049</v>
      </c>
      <c r="B4045" s="267">
        <v>4044</v>
      </c>
      <c r="C4045" s="268" t="s">
        <v>11</v>
      </c>
      <c r="D4045" s="269">
        <v>42905</v>
      </c>
      <c r="E4045" s="270" t="s">
        <v>634</v>
      </c>
      <c r="F4045" s="384">
        <v>19.100000000000001</v>
      </c>
      <c r="G4045" s="270">
        <v>690293098</v>
      </c>
    </row>
    <row r="4046" spans="1:7" x14ac:dyDescent="0.25">
      <c r="A4046" s="257">
        <v>4050</v>
      </c>
      <c r="B4046" s="267">
        <v>4045</v>
      </c>
      <c r="C4046" s="268" t="s">
        <v>3839</v>
      </c>
      <c r="D4046" s="269">
        <v>42906</v>
      </c>
      <c r="E4046" s="270" t="s">
        <v>821</v>
      </c>
      <c r="F4046" s="384">
        <v>19</v>
      </c>
      <c r="G4046" s="270">
        <v>191288011</v>
      </c>
    </row>
    <row r="4047" spans="1:7" x14ac:dyDescent="0.25">
      <c r="A4047" s="257">
        <v>4051</v>
      </c>
      <c r="B4047" s="267">
        <v>4046</v>
      </c>
      <c r="C4047" s="268" t="s">
        <v>4150</v>
      </c>
      <c r="D4047" s="269">
        <v>42906</v>
      </c>
      <c r="E4047" s="270" t="s">
        <v>455</v>
      </c>
      <c r="F4047" s="384">
        <v>3.7</v>
      </c>
      <c r="G4047" s="270">
        <v>190638152</v>
      </c>
    </row>
    <row r="4048" spans="1:7" x14ac:dyDescent="0.25">
      <c r="A4048" s="257">
        <v>4052</v>
      </c>
      <c r="B4048" s="267">
        <v>4047</v>
      </c>
      <c r="C4048" s="268" t="s">
        <v>3223</v>
      </c>
      <c r="D4048" s="269">
        <v>42906</v>
      </c>
      <c r="E4048" s="270" t="s">
        <v>640</v>
      </c>
      <c r="F4048" s="384">
        <v>23.5</v>
      </c>
      <c r="G4048" s="270">
        <v>690564411</v>
      </c>
    </row>
    <row r="4049" spans="1:7" x14ac:dyDescent="0.25">
      <c r="A4049" s="257">
        <v>4053</v>
      </c>
      <c r="B4049" s="267">
        <v>4048</v>
      </c>
      <c r="C4049" s="268" t="s">
        <v>252</v>
      </c>
      <c r="D4049" s="269">
        <v>42906</v>
      </c>
      <c r="E4049" s="270" t="s">
        <v>326</v>
      </c>
      <c r="F4049" s="384">
        <v>33.200000000000003</v>
      </c>
      <c r="G4049" s="270">
        <v>200216443</v>
      </c>
    </row>
    <row r="4050" spans="1:7" x14ac:dyDescent="0.25">
      <c r="A4050" s="257">
        <v>4054</v>
      </c>
      <c r="B4050" s="267">
        <v>4049</v>
      </c>
      <c r="C4050" s="268" t="s">
        <v>3509</v>
      </c>
      <c r="D4050" s="269">
        <v>42906</v>
      </c>
      <c r="E4050" s="270" t="s">
        <v>340</v>
      </c>
      <c r="F4050" s="384">
        <v>206.4</v>
      </c>
      <c r="G4050" s="270">
        <v>190444477</v>
      </c>
    </row>
    <row r="4051" spans="1:7" x14ac:dyDescent="0.25">
      <c r="A4051" s="257">
        <v>4055</v>
      </c>
      <c r="B4051" s="267">
        <v>4050</v>
      </c>
      <c r="C4051" s="268" t="s">
        <v>3256</v>
      </c>
      <c r="D4051" s="269">
        <v>42906</v>
      </c>
      <c r="E4051" s="270" t="s">
        <v>293</v>
      </c>
      <c r="F4051" s="384">
        <v>51.6</v>
      </c>
      <c r="G4051" s="270">
        <v>691533075</v>
      </c>
    </row>
    <row r="4052" spans="1:7" x14ac:dyDescent="0.25">
      <c r="A4052" s="257">
        <v>4056</v>
      </c>
      <c r="B4052" s="267">
        <v>4051</v>
      </c>
      <c r="C4052" s="268" t="s">
        <v>1366</v>
      </c>
      <c r="D4052" s="269">
        <v>42906</v>
      </c>
      <c r="E4052" s="270" t="s">
        <v>3877</v>
      </c>
      <c r="F4052" s="384">
        <v>19</v>
      </c>
      <c r="G4052" s="270">
        <v>191756738</v>
      </c>
    </row>
    <row r="4053" spans="1:7" x14ac:dyDescent="0.25">
      <c r="A4053" s="257">
        <v>4057</v>
      </c>
      <c r="B4053" s="267">
        <v>4052</v>
      </c>
      <c r="C4053" s="268" t="s">
        <v>241</v>
      </c>
      <c r="D4053" s="269">
        <v>42906</v>
      </c>
      <c r="E4053" s="270" t="s">
        <v>188</v>
      </c>
      <c r="F4053" s="384">
        <v>33.200000000000003</v>
      </c>
      <c r="G4053" s="270">
        <v>190270596</v>
      </c>
    </row>
    <row r="4054" spans="1:7" x14ac:dyDescent="0.25">
      <c r="A4054" s="257">
        <v>4058</v>
      </c>
      <c r="B4054" s="267">
        <v>4053</v>
      </c>
      <c r="C4054" s="268" t="s">
        <v>960</v>
      </c>
      <c r="D4054" s="269">
        <v>42909</v>
      </c>
      <c r="E4054" s="270" t="s">
        <v>3913</v>
      </c>
      <c r="F4054" s="384">
        <v>33.200000000000003</v>
      </c>
      <c r="G4054" s="270">
        <v>690661673</v>
      </c>
    </row>
    <row r="4055" spans="1:7" x14ac:dyDescent="0.25">
      <c r="A4055" s="257">
        <v>4059</v>
      </c>
      <c r="B4055" s="267">
        <v>4054</v>
      </c>
      <c r="C4055" s="268" t="s">
        <v>3860</v>
      </c>
      <c r="D4055" s="269">
        <v>42909</v>
      </c>
      <c r="E4055" s="270" t="s">
        <v>4217</v>
      </c>
      <c r="F4055" s="384">
        <v>23.5</v>
      </c>
      <c r="G4055" s="270">
        <v>101090386</v>
      </c>
    </row>
    <row r="4056" spans="1:7" x14ac:dyDescent="0.25">
      <c r="A4056" s="257">
        <v>4060</v>
      </c>
      <c r="B4056" s="267">
        <v>4055</v>
      </c>
      <c r="C4056" s="268" t="s">
        <v>3509</v>
      </c>
      <c r="D4056" s="269">
        <v>42909</v>
      </c>
      <c r="E4056" s="270" t="s">
        <v>340</v>
      </c>
      <c r="F4056" s="384">
        <v>14.8</v>
      </c>
      <c r="G4056" s="270">
        <v>190444477</v>
      </c>
    </row>
    <row r="4057" spans="1:7" x14ac:dyDescent="0.25">
      <c r="A4057" s="257">
        <v>4061</v>
      </c>
      <c r="B4057" s="267">
        <v>4056</v>
      </c>
      <c r="C4057" s="268" t="s">
        <v>3509</v>
      </c>
      <c r="D4057" s="269">
        <v>42909</v>
      </c>
      <c r="E4057" s="270" t="s">
        <v>340</v>
      </c>
      <c r="F4057" s="384">
        <v>14.8</v>
      </c>
      <c r="G4057" s="270">
        <v>190444477</v>
      </c>
    </row>
    <row r="4058" spans="1:7" x14ac:dyDescent="0.25">
      <c r="A4058" s="257">
        <v>4062</v>
      </c>
      <c r="B4058" s="267">
        <v>4057</v>
      </c>
      <c r="C4058" s="268" t="s">
        <v>462</v>
      </c>
      <c r="D4058" s="269">
        <v>42910</v>
      </c>
      <c r="E4058" s="270" t="s">
        <v>239</v>
      </c>
      <c r="F4058" s="384">
        <v>103.2</v>
      </c>
      <c r="G4058" s="270">
        <v>101139097</v>
      </c>
    </row>
    <row r="4059" spans="1:7" x14ac:dyDescent="0.25">
      <c r="A4059" s="257">
        <v>4063</v>
      </c>
      <c r="B4059" s="267">
        <v>4058</v>
      </c>
      <c r="C4059" s="268" t="s">
        <v>3111</v>
      </c>
      <c r="D4059" s="269">
        <v>42913</v>
      </c>
      <c r="E4059" s="270" t="s">
        <v>3667</v>
      </c>
      <c r="F4059" s="384">
        <v>51.6</v>
      </c>
      <c r="G4059" s="270">
        <v>691433174</v>
      </c>
    </row>
    <row r="4060" spans="1:7" x14ac:dyDescent="0.25">
      <c r="A4060" s="257">
        <v>4064</v>
      </c>
      <c r="B4060" s="267">
        <v>4059</v>
      </c>
      <c r="C4060" s="268" t="s">
        <v>2735</v>
      </c>
      <c r="D4060" s="269">
        <v>42913</v>
      </c>
      <c r="E4060" s="270" t="s">
        <v>1058</v>
      </c>
      <c r="F4060" s="384">
        <v>99.600000000000009</v>
      </c>
      <c r="G4060" s="270">
        <v>102384873</v>
      </c>
    </row>
    <row r="4061" spans="1:7" x14ac:dyDescent="0.25">
      <c r="A4061" s="257">
        <v>4065</v>
      </c>
      <c r="B4061" s="267">
        <v>4060</v>
      </c>
      <c r="C4061" s="268" t="s">
        <v>2857</v>
      </c>
      <c r="D4061" s="269">
        <v>42913</v>
      </c>
      <c r="E4061" s="270" t="s">
        <v>1677</v>
      </c>
      <c r="F4061" s="384">
        <v>23.5</v>
      </c>
      <c r="G4061" s="270">
        <v>190950641</v>
      </c>
    </row>
    <row r="4062" spans="1:7" x14ac:dyDescent="0.25">
      <c r="A4062" s="257">
        <v>4066</v>
      </c>
      <c r="B4062" s="267">
        <v>4061</v>
      </c>
      <c r="C4062" s="268" t="s">
        <v>3130</v>
      </c>
      <c r="D4062" s="269">
        <v>42913</v>
      </c>
      <c r="E4062" s="270" t="s">
        <v>3923</v>
      </c>
      <c r="F4062" s="384">
        <v>28.4</v>
      </c>
      <c r="G4062" s="270">
        <v>690849258</v>
      </c>
    </row>
    <row r="4063" spans="1:7" x14ac:dyDescent="0.25">
      <c r="A4063" s="257">
        <v>4067</v>
      </c>
      <c r="B4063" s="267">
        <v>4062</v>
      </c>
      <c r="C4063" s="268" t="s">
        <v>365</v>
      </c>
      <c r="D4063" s="269">
        <v>42913</v>
      </c>
      <c r="E4063" s="270" t="s">
        <v>1744</v>
      </c>
      <c r="F4063" s="384">
        <v>47</v>
      </c>
      <c r="G4063" s="270">
        <v>191306367</v>
      </c>
    </row>
    <row r="4064" spans="1:7" x14ac:dyDescent="0.25">
      <c r="A4064" s="257">
        <v>4068</v>
      </c>
      <c r="B4064" s="267">
        <v>4063</v>
      </c>
      <c r="C4064" s="268" t="s">
        <v>1120</v>
      </c>
      <c r="D4064" s="269">
        <v>42913</v>
      </c>
      <c r="E4064" s="270" t="s">
        <v>3259</v>
      </c>
      <c r="F4064" s="384">
        <v>51.6</v>
      </c>
      <c r="G4064" s="270">
        <v>190904186</v>
      </c>
    </row>
    <row r="4065" spans="1:7" x14ac:dyDescent="0.25">
      <c r="A4065" s="257">
        <v>4069</v>
      </c>
      <c r="B4065" s="267">
        <v>4064</v>
      </c>
      <c r="C4065" s="268" t="s">
        <v>1117</v>
      </c>
      <c r="D4065" s="269">
        <v>42913</v>
      </c>
      <c r="E4065" s="270" t="s">
        <v>1796</v>
      </c>
      <c r="F4065" s="384">
        <v>33.200000000000003</v>
      </c>
      <c r="G4065" s="270">
        <v>100872922</v>
      </c>
    </row>
    <row r="4066" spans="1:7" x14ac:dyDescent="0.25">
      <c r="A4066" s="257">
        <v>4070</v>
      </c>
      <c r="B4066" s="267">
        <v>4065</v>
      </c>
      <c r="C4066" s="268" t="s">
        <v>3752</v>
      </c>
      <c r="D4066" s="269">
        <v>42914</v>
      </c>
      <c r="E4066" s="270" t="s">
        <v>50</v>
      </c>
      <c r="F4066" s="384">
        <v>19</v>
      </c>
      <c r="G4066" s="270">
        <v>690325966</v>
      </c>
    </row>
    <row r="4067" spans="1:7" x14ac:dyDescent="0.25">
      <c r="A4067" s="257">
        <v>4071</v>
      </c>
      <c r="B4067" s="267">
        <v>4066</v>
      </c>
      <c r="C4067" s="268" t="s">
        <v>3312</v>
      </c>
      <c r="D4067" s="269">
        <v>42914</v>
      </c>
      <c r="E4067" s="270" t="s">
        <v>2925</v>
      </c>
      <c r="F4067" s="384">
        <v>7.4</v>
      </c>
      <c r="G4067" s="270">
        <v>100098867</v>
      </c>
    </row>
    <row r="4068" spans="1:7" x14ac:dyDescent="0.25">
      <c r="A4068" s="257">
        <v>4072</v>
      </c>
      <c r="B4068" s="267">
        <v>4067</v>
      </c>
      <c r="C4068" s="268" t="s">
        <v>915</v>
      </c>
      <c r="D4068" s="269">
        <v>42914</v>
      </c>
      <c r="E4068" s="270" t="s">
        <v>2619</v>
      </c>
      <c r="F4068" s="384">
        <v>28.4</v>
      </c>
      <c r="G4068" s="270">
        <v>190321121</v>
      </c>
    </row>
    <row r="4069" spans="1:7" x14ac:dyDescent="0.25">
      <c r="A4069" s="257">
        <v>4073</v>
      </c>
      <c r="B4069" s="267">
        <v>4068</v>
      </c>
      <c r="C4069" s="268" t="s">
        <v>984</v>
      </c>
      <c r="D4069" s="269">
        <v>42914</v>
      </c>
      <c r="E4069" s="270" t="s">
        <v>3751</v>
      </c>
      <c r="F4069" s="384">
        <v>33.200000000000003</v>
      </c>
      <c r="G4069" s="270">
        <v>590322284</v>
      </c>
    </row>
    <row r="4070" spans="1:7" x14ac:dyDescent="0.25">
      <c r="A4070" s="257">
        <v>4074</v>
      </c>
      <c r="B4070" s="267">
        <v>4069</v>
      </c>
      <c r="C4070" s="268" t="s">
        <v>2895</v>
      </c>
      <c r="D4070" s="269">
        <v>42914</v>
      </c>
      <c r="E4070" s="270" t="s">
        <v>3952</v>
      </c>
      <c r="F4070" s="384">
        <v>33.200000000000003</v>
      </c>
      <c r="G4070" s="270">
        <v>101347929</v>
      </c>
    </row>
    <row r="4071" spans="1:7" x14ac:dyDescent="0.25">
      <c r="A4071" s="257">
        <v>4075</v>
      </c>
      <c r="B4071" s="267">
        <v>4070</v>
      </c>
      <c r="C4071" s="268" t="s">
        <v>1653</v>
      </c>
      <c r="D4071" s="269">
        <v>42914</v>
      </c>
      <c r="E4071" s="270" t="s">
        <v>3958</v>
      </c>
      <c r="F4071" s="384">
        <v>18.399999999999999</v>
      </c>
      <c r="G4071" s="270">
        <v>190804721</v>
      </c>
    </row>
    <row r="4072" spans="1:7" x14ac:dyDescent="0.25">
      <c r="A4072" s="257">
        <v>4076</v>
      </c>
      <c r="B4072" s="267">
        <v>4071</v>
      </c>
      <c r="C4072" s="268" t="s">
        <v>3034</v>
      </c>
      <c r="D4072" s="269">
        <v>42914</v>
      </c>
      <c r="E4072" s="270" t="s">
        <v>3575</v>
      </c>
      <c r="F4072" s="384">
        <v>23.5</v>
      </c>
      <c r="G4072" s="270">
        <v>190345927</v>
      </c>
    </row>
    <row r="4073" spans="1:7" x14ac:dyDescent="0.25">
      <c r="A4073" s="257">
        <v>4077</v>
      </c>
      <c r="B4073" s="267">
        <v>4072</v>
      </c>
      <c r="C4073" s="268" t="s">
        <v>3846</v>
      </c>
      <c r="D4073" s="269">
        <v>42914</v>
      </c>
      <c r="E4073" s="270" t="s">
        <v>450</v>
      </c>
      <c r="F4073" s="384">
        <v>51.6</v>
      </c>
      <c r="G4073" s="270">
        <v>100468996</v>
      </c>
    </row>
    <row r="4074" spans="1:7" x14ac:dyDescent="0.25">
      <c r="A4074" s="257">
        <v>4078</v>
      </c>
      <c r="B4074" s="267">
        <v>4073</v>
      </c>
      <c r="C4074" s="268" t="s">
        <v>137</v>
      </c>
      <c r="D4074" s="269">
        <v>42914</v>
      </c>
      <c r="E4074" s="270" t="s">
        <v>3964</v>
      </c>
      <c r="F4074" s="384">
        <v>33.200000000000003</v>
      </c>
      <c r="G4074" s="270">
        <v>691573932</v>
      </c>
    </row>
    <row r="4075" spans="1:7" x14ac:dyDescent="0.25">
      <c r="A4075" s="257">
        <v>4079</v>
      </c>
      <c r="B4075" s="267">
        <v>4074</v>
      </c>
      <c r="C4075" s="268" t="s">
        <v>314</v>
      </c>
      <c r="D4075" s="269">
        <v>42917</v>
      </c>
      <c r="E4075" s="270" t="s">
        <v>2657</v>
      </c>
      <c r="F4075" s="384">
        <v>51.6</v>
      </c>
      <c r="G4075" s="270">
        <v>691468740</v>
      </c>
    </row>
    <row r="4076" spans="1:7" x14ac:dyDescent="0.25">
      <c r="A4076" s="257">
        <v>4080</v>
      </c>
      <c r="B4076" s="267">
        <v>4075</v>
      </c>
      <c r="C4076" s="268" t="s">
        <v>137</v>
      </c>
      <c r="D4076" s="269">
        <v>42918</v>
      </c>
      <c r="E4076" s="270" t="s">
        <v>3964</v>
      </c>
      <c r="F4076" s="384">
        <v>18.899999999999999</v>
      </c>
      <c r="G4076" s="270">
        <v>691573932</v>
      </c>
    </row>
    <row r="4077" spans="1:7" x14ac:dyDescent="0.25">
      <c r="A4077" s="257">
        <v>4081</v>
      </c>
      <c r="B4077" s="267">
        <v>4076</v>
      </c>
      <c r="C4077" s="268" t="s">
        <v>3634</v>
      </c>
      <c r="D4077" s="269">
        <v>42921</v>
      </c>
      <c r="E4077" s="270" t="s">
        <v>370</v>
      </c>
      <c r="F4077" s="384">
        <v>18.399999999999999</v>
      </c>
      <c r="G4077" s="270">
        <v>101293399</v>
      </c>
    </row>
    <row r="4078" spans="1:7" x14ac:dyDescent="0.25">
      <c r="A4078" s="257">
        <v>4082</v>
      </c>
      <c r="B4078" s="267">
        <v>4077</v>
      </c>
      <c r="C4078" s="268" t="s">
        <v>1826</v>
      </c>
      <c r="D4078" s="269">
        <v>42922</v>
      </c>
      <c r="E4078" s="270" t="s">
        <v>3129</v>
      </c>
      <c r="F4078" s="384">
        <v>19.5</v>
      </c>
      <c r="G4078" s="270">
        <v>690656275</v>
      </c>
    </row>
    <row r="4079" spans="1:7" x14ac:dyDescent="0.25">
      <c r="A4079" s="257">
        <v>4083</v>
      </c>
      <c r="B4079" s="267">
        <v>4078</v>
      </c>
      <c r="C4079" s="268" t="s">
        <v>2165</v>
      </c>
      <c r="D4079" s="269">
        <v>42922</v>
      </c>
      <c r="E4079" s="270" t="s">
        <v>2161</v>
      </c>
      <c r="F4079" s="384">
        <v>19.5</v>
      </c>
      <c r="G4079" s="270">
        <v>190775753</v>
      </c>
    </row>
    <row r="4080" spans="1:7" x14ac:dyDescent="0.25">
      <c r="A4080" s="257">
        <v>4084</v>
      </c>
      <c r="B4080" s="267">
        <v>4079</v>
      </c>
      <c r="C4080" s="268" t="s">
        <v>1131</v>
      </c>
      <c r="D4080" s="269">
        <v>42922</v>
      </c>
      <c r="E4080" s="270" t="s">
        <v>840</v>
      </c>
      <c r="F4080" s="384">
        <v>51.6</v>
      </c>
      <c r="G4080" s="270">
        <v>191648960</v>
      </c>
    </row>
    <row r="4081" spans="1:7" x14ac:dyDescent="0.25">
      <c r="A4081" s="257">
        <v>4085</v>
      </c>
      <c r="B4081" s="267">
        <v>4080</v>
      </c>
      <c r="C4081" s="268" t="s">
        <v>957</v>
      </c>
      <c r="D4081" s="269">
        <v>42922</v>
      </c>
      <c r="E4081" s="270" t="s">
        <v>2703</v>
      </c>
      <c r="F4081" s="384">
        <v>51.6</v>
      </c>
      <c r="G4081" s="270">
        <v>190473476</v>
      </c>
    </row>
    <row r="4082" spans="1:7" x14ac:dyDescent="0.25">
      <c r="A4082" s="257">
        <v>4086</v>
      </c>
      <c r="B4082" s="267">
        <v>4081</v>
      </c>
      <c r="C4082" s="268" t="s">
        <v>1117</v>
      </c>
      <c r="D4082" s="269">
        <v>42922</v>
      </c>
      <c r="E4082" s="270" t="s">
        <v>1796</v>
      </c>
      <c r="F4082" s="384">
        <v>18.399999999999999</v>
      </c>
      <c r="G4082" s="270">
        <v>100872922</v>
      </c>
    </row>
    <row r="4083" spans="1:7" x14ac:dyDescent="0.25">
      <c r="A4083" s="257">
        <v>4087</v>
      </c>
      <c r="B4083" s="267">
        <v>4082</v>
      </c>
      <c r="C4083" s="268" t="s">
        <v>1772</v>
      </c>
      <c r="D4083" s="269">
        <v>42922</v>
      </c>
      <c r="E4083" s="270" t="s">
        <v>4046</v>
      </c>
      <c r="F4083" s="384">
        <v>23.5</v>
      </c>
      <c r="G4083" s="270">
        <v>100138463</v>
      </c>
    </row>
    <row r="4084" spans="1:7" x14ac:dyDescent="0.25">
      <c r="A4084" s="257">
        <v>4088</v>
      </c>
      <c r="B4084" s="267">
        <v>4083</v>
      </c>
      <c r="C4084" s="268" t="s">
        <v>3143</v>
      </c>
      <c r="D4084" s="269">
        <v>42922</v>
      </c>
      <c r="E4084" s="270" t="s">
        <v>3842</v>
      </c>
      <c r="F4084" s="384">
        <v>84.800000000000011</v>
      </c>
      <c r="G4084" s="270">
        <v>600124705</v>
      </c>
    </row>
    <row r="4085" spans="1:7" x14ac:dyDescent="0.25">
      <c r="A4085" s="257">
        <v>4089</v>
      </c>
      <c r="B4085" s="267">
        <v>4084</v>
      </c>
      <c r="C4085" s="268" t="s">
        <v>4221</v>
      </c>
      <c r="D4085" s="269">
        <v>42922</v>
      </c>
      <c r="E4085" s="270" t="s">
        <v>245</v>
      </c>
      <c r="F4085" s="384">
        <v>164.5</v>
      </c>
      <c r="G4085" s="270">
        <v>100886879</v>
      </c>
    </row>
    <row r="4086" spans="1:7" x14ac:dyDescent="0.25">
      <c r="A4086" s="257">
        <v>4090</v>
      </c>
      <c r="B4086" s="267">
        <v>4085</v>
      </c>
      <c r="C4086" s="268" t="s">
        <v>2637</v>
      </c>
      <c r="D4086" s="269">
        <v>42923</v>
      </c>
      <c r="E4086" s="270" t="s">
        <v>2760</v>
      </c>
      <c r="F4086" s="384">
        <v>51.6</v>
      </c>
      <c r="G4086" s="270">
        <v>100801936</v>
      </c>
    </row>
    <row r="4087" spans="1:7" x14ac:dyDescent="0.25">
      <c r="A4087" s="257">
        <v>4091</v>
      </c>
      <c r="B4087" s="267">
        <v>4086</v>
      </c>
      <c r="C4087" s="268" t="s">
        <v>2765</v>
      </c>
      <c r="D4087" s="269">
        <v>42923</v>
      </c>
      <c r="E4087" s="270" t="s">
        <v>1927</v>
      </c>
      <c r="F4087" s="384">
        <v>9.1</v>
      </c>
      <c r="G4087" s="270">
        <v>190032958</v>
      </c>
    </row>
    <row r="4088" spans="1:7" x14ac:dyDescent="0.25">
      <c r="A4088" s="257">
        <v>4092</v>
      </c>
      <c r="B4088" s="267">
        <v>4087</v>
      </c>
      <c r="C4088" s="268" t="s">
        <v>978</v>
      </c>
      <c r="D4088" s="269">
        <v>42923</v>
      </c>
      <c r="E4088" s="270" t="s">
        <v>115</v>
      </c>
      <c r="F4088" s="384">
        <v>166</v>
      </c>
      <c r="G4088" s="270">
        <v>100135211</v>
      </c>
    </row>
    <row r="4089" spans="1:7" x14ac:dyDescent="0.25">
      <c r="A4089" s="257">
        <v>4093</v>
      </c>
      <c r="B4089" s="267">
        <v>4088</v>
      </c>
      <c r="C4089" s="268" t="s">
        <v>735</v>
      </c>
      <c r="D4089" s="269">
        <v>42923</v>
      </c>
      <c r="E4089" s="270" t="s">
        <v>2772</v>
      </c>
      <c r="F4089" s="384">
        <v>51.6</v>
      </c>
      <c r="G4089" s="270">
        <v>691149841</v>
      </c>
    </row>
    <row r="4090" spans="1:7" x14ac:dyDescent="0.25">
      <c r="A4090" s="257">
        <v>4094</v>
      </c>
      <c r="B4090" s="267">
        <v>4089</v>
      </c>
      <c r="C4090" s="268" t="s">
        <v>3509</v>
      </c>
      <c r="D4090" s="269">
        <v>42923</v>
      </c>
      <c r="E4090" s="270" t="s">
        <v>340</v>
      </c>
      <c r="F4090" s="384">
        <v>22.8</v>
      </c>
      <c r="G4090" s="270">
        <v>190444477</v>
      </c>
    </row>
    <row r="4091" spans="1:7" x14ac:dyDescent="0.25">
      <c r="A4091" s="257">
        <v>4095</v>
      </c>
      <c r="B4091" s="267">
        <v>4090</v>
      </c>
      <c r="C4091" s="268" t="s">
        <v>462</v>
      </c>
      <c r="D4091" s="269">
        <v>42923</v>
      </c>
      <c r="E4091" s="270" t="s">
        <v>239</v>
      </c>
      <c r="F4091" s="384">
        <v>206.4</v>
      </c>
      <c r="G4091" s="270">
        <v>101139097</v>
      </c>
    </row>
    <row r="4092" spans="1:7" x14ac:dyDescent="0.25">
      <c r="A4092" s="257">
        <v>4096</v>
      </c>
      <c r="B4092" s="267">
        <v>4091</v>
      </c>
      <c r="C4092" s="268" t="s">
        <v>3126</v>
      </c>
      <c r="D4092" s="269">
        <v>42923</v>
      </c>
      <c r="E4092" s="270" t="s">
        <v>4058</v>
      </c>
      <c r="F4092" s="384">
        <v>33.200000000000003</v>
      </c>
      <c r="G4092" s="270">
        <v>192567985</v>
      </c>
    </row>
    <row r="4093" spans="1:7" x14ac:dyDescent="0.25">
      <c r="A4093" s="257">
        <v>4097</v>
      </c>
      <c r="B4093" s="267">
        <v>4092</v>
      </c>
      <c r="C4093" s="268" t="s">
        <v>3612</v>
      </c>
      <c r="D4093" s="269">
        <v>42923</v>
      </c>
      <c r="E4093" s="270" t="s">
        <v>4063</v>
      </c>
      <c r="F4093" s="384">
        <v>25.2</v>
      </c>
      <c r="G4093" s="270">
        <v>190321772</v>
      </c>
    </row>
    <row r="4094" spans="1:7" x14ac:dyDescent="0.25">
      <c r="A4094" s="257">
        <v>4098</v>
      </c>
      <c r="B4094" s="267">
        <v>4093</v>
      </c>
      <c r="C4094" s="268" t="s">
        <v>2687</v>
      </c>
      <c r="D4094" s="269">
        <v>42923</v>
      </c>
      <c r="E4094" s="270" t="s">
        <v>3282</v>
      </c>
      <c r="F4094" s="384">
        <v>33.200000000000003</v>
      </c>
      <c r="G4094" s="270">
        <v>191421443</v>
      </c>
    </row>
    <row r="4095" spans="1:7" x14ac:dyDescent="0.25">
      <c r="A4095" s="257">
        <v>4099</v>
      </c>
      <c r="B4095" s="267">
        <v>4094</v>
      </c>
      <c r="C4095" s="268" t="s">
        <v>3634</v>
      </c>
      <c r="D4095" s="269">
        <v>42923</v>
      </c>
      <c r="E4095" s="270" t="s">
        <v>370</v>
      </c>
      <c r="F4095" s="384">
        <v>8</v>
      </c>
      <c r="G4095" s="270">
        <v>101293399</v>
      </c>
    </row>
    <row r="4096" spans="1:7" x14ac:dyDescent="0.25">
      <c r="A4096" s="257">
        <v>4100</v>
      </c>
      <c r="B4096" s="267">
        <v>4095</v>
      </c>
      <c r="C4096" s="268" t="s">
        <v>2962</v>
      </c>
      <c r="D4096" s="269">
        <v>42927</v>
      </c>
      <c r="E4096" s="270" t="s">
        <v>1005</v>
      </c>
      <c r="F4096" s="384">
        <v>33.200000000000003</v>
      </c>
      <c r="G4096" s="270">
        <v>101116081</v>
      </c>
    </row>
    <row r="4097" spans="1:7" x14ac:dyDescent="0.25">
      <c r="A4097" s="257">
        <v>4101</v>
      </c>
      <c r="B4097" s="267">
        <v>4096</v>
      </c>
      <c r="C4097" s="268" t="s">
        <v>2416</v>
      </c>
      <c r="D4097" s="269">
        <v>42927</v>
      </c>
      <c r="E4097" s="270" t="s">
        <v>1703</v>
      </c>
      <c r="F4097" s="384">
        <v>19</v>
      </c>
      <c r="G4097" s="270">
        <v>100826028</v>
      </c>
    </row>
    <row r="4098" spans="1:7" x14ac:dyDescent="0.25">
      <c r="A4098" s="257">
        <v>4102</v>
      </c>
      <c r="B4098" s="267">
        <v>4097</v>
      </c>
      <c r="C4098" s="268" t="s">
        <v>1932</v>
      </c>
      <c r="D4098" s="269">
        <v>42927</v>
      </c>
      <c r="E4098" s="270" t="s">
        <v>3064</v>
      </c>
      <c r="F4098" s="384">
        <v>19</v>
      </c>
      <c r="G4098" s="270">
        <v>191695519</v>
      </c>
    </row>
    <row r="4099" spans="1:7" x14ac:dyDescent="0.25">
      <c r="A4099" s="257">
        <v>4103</v>
      </c>
      <c r="B4099" s="267">
        <v>4098</v>
      </c>
      <c r="C4099" s="268" t="s">
        <v>2687</v>
      </c>
      <c r="D4099" s="269">
        <v>42927</v>
      </c>
      <c r="E4099" s="270" t="s">
        <v>3282</v>
      </c>
      <c r="F4099" s="384">
        <v>3.7</v>
      </c>
      <c r="G4099" s="270">
        <v>191421443</v>
      </c>
    </row>
    <row r="4100" spans="1:7" x14ac:dyDescent="0.25">
      <c r="A4100" s="257">
        <v>4104</v>
      </c>
      <c r="B4100" s="267">
        <v>4099</v>
      </c>
      <c r="C4100" s="268" t="s">
        <v>1606</v>
      </c>
      <c r="D4100" s="269">
        <v>42930</v>
      </c>
      <c r="E4100" s="270" t="s">
        <v>847</v>
      </c>
      <c r="F4100" s="384">
        <v>33.200000000000003</v>
      </c>
      <c r="G4100" s="270">
        <v>190853326</v>
      </c>
    </row>
    <row r="4101" spans="1:7" x14ac:dyDescent="0.25">
      <c r="A4101" s="257">
        <v>4105</v>
      </c>
      <c r="B4101" s="267">
        <v>4100</v>
      </c>
      <c r="C4101" s="268" t="s">
        <v>3100</v>
      </c>
      <c r="D4101" s="269">
        <v>42930</v>
      </c>
      <c r="E4101" s="270" t="s">
        <v>956</v>
      </c>
      <c r="F4101" s="384">
        <v>19</v>
      </c>
      <c r="G4101" s="270">
        <v>190341033</v>
      </c>
    </row>
    <row r="4102" spans="1:7" x14ac:dyDescent="0.25">
      <c r="A4102" s="257">
        <v>4106</v>
      </c>
      <c r="B4102" s="267">
        <v>4101</v>
      </c>
      <c r="C4102" s="268" t="s">
        <v>2709</v>
      </c>
      <c r="D4102" s="269">
        <v>42930</v>
      </c>
      <c r="E4102" s="270" t="s">
        <v>4143</v>
      </c>
      <c r="F4102" s="384">
        <v>51.6</v>
      </c>
      <c r="G4102" s="270">
        <v>191069636</v>
      </c>
    </row>
    <row r="4103" spans="1:7" x14ac:dyDescent="0.25">
      <c r="A4103" s="257">
        <v>4107</v>
      </c>
      <c r="B4103" s="267">
        <v>4102</v>
      </c>
      <c r="C4103" s="268" t="s">
        <v>3764</v>
      </c>
      <c r="D4103" s="269">
        <v>42930</v>
      </c>
      <c r="E4103" s="270" t="s">
        <v>1095</v>
      </c>
      <c r="F4103" s="384">
        <v>154.80000000000001</v>
      </c>
      <c r="G4103" s="270">
        <v>190927518</v>
      </c>
    </row>
    <row r="4104" spans="1:7" x14ac:dyDescent="0.25">
      <c r="A4104" s="257">
        <v>4108</v>
      </c>
      <c r="B4104" s="267">
        <v>4103</v>
      </c>
      <c r="C4104" s="268" t="s">
        <v>438</v>
      </c>
      <c r="D4104" s="269">
        <v>42930</v>
      </c>
      <c r="E4104" s="270" t="s">
        <v>1096</v>
      </c>
      <c r="F4104" s="384">
        <v>21</v>
      </c>
      <c r="G4104" s="270">
        <v>812005555</v>
      </c>
    </row>
    <row r="4105" spans="1:7" x14ac:dyDescent="0.25">
      <c r="A4105" s="257">
        <v>4109</v>
      </c>
      <c r="B4105" s="267">
        <v>4104</v>
      </c>
      <c r="C4105" s="268" t="s">
        <v>2714</v>
      </c>
      <c r="D4105" s="269">
        <v>42930</v>
      </c>
      <c r="E4105" s="270" t="s">
        <v>2717</v>
      </c>
      <c r="F4105" s="384">
        <v>154.80000000000001</v>
      </c>
      <c r="G4105" s="270">
        <v>101538513</v>
      </c>
    </row>
    <row r="4106" spans="1:7" x14ac:dyDescent="0.25">
      <c r="A4106" s="257">
        <v>4110</v>
      </c>
      <c r="B4106" s="267">
        <v>4105</v>
      </c>
      <c r="C4106" s="268" t="s">
        <v>408</v>
      </c>
      <c r="D4106" s="269">
        <v>42930</v>
      </c>
      <c r="E4106" s="270" t="s">
        <v>320</v>
      </c>
      <c r="F4106" s="384">
        <v>51.6</v>
      </c>
      <c r="G4106" s="270">
        <v>690831296</v>
      </c>
    </row>
    <row r="4107" spans="1:7" x14ac:dyDescent="0.25">
      <c r="A4107" s="257">
        <v>4111</v>
      </c>
      <c r="B4107" s="267">
        <v>4106</v>
      </c>
      <c r="C4107" s="268" t="s">
        <v>462</v>
      </c>
      <c r="D4107" s="269">
        <v>42930</v>
      </c>
      <c r="E4107" s="270" t="s">
        <v>239</v>
      </c>
      <c r="F4107" s="384">
        <v>4.3</v>
      </c>
      <c r="G4107" s="270">
        <v>101139097</v>
      </c>
    </row>
    <row r="4108" spans="1:7" x14ac:dyDescent="0.25">
      <c r="A4108" s="257">
        <v>4112</v>
      </c>
      <c r="B4108" s="267">
        <v>4107</v>
      </c>
      <c r="C4108" s="268" t="s">
        <v>3764</v>
      </c>
      <c r="D4108" s="269">
        <v>42931</v>
      </c>
      <c r="E4108" s="270" t="s">
        <v>1095</v>
      </c>
      <c r="F4108" s="384">
        <v>3.7</v>
      </c>
      <c r="G4108" s="270">
        <v>190927518</v>
      </c>
    </row>
  </sheetData>
  <autoFilter ref="B1:G1190"/>
  <customSheetViews>
    <customSheetView guid="{6F966CD8-707E-4C39-BF19-FBF54F1918BD}" showAutoFilter="1" showRuler="0">
      <pane ySplit="1" topLeftCell="A2" activePane="bottomLeft" state="frozenSplit"/>
      <selection pane="bottomLeft" activeCell="E36" sqref="E36"/>
      <pageMargins left="0.75" right="0.75" top="1" bottom="1" header="0.5" footer="0.5"/>
      <pageSetup paperSize="9" orientation="portrait" verticalDpi="0" r:id="rId1"/>
      <headerFooter alignWithMargins="0"/>
      <autoFilter ref="B1:G1"/>
    </customSheetView>
    <customSheetView guid="{E0E17C6E-C811-4170-82D5-EDD54F6164FB}" showAutoFilter="1" showRuler="0">
      <pane ySplit="1" topLeftCell="A1174" activePane="bottomLeft" state="frozenSplit"/>
      <selection pane="bottomLeft" activeCell="E1193" sqref="E1193"/>
      <pageMargins left="0.75" right="0.75" top="1" bottom="1" header="0.5" footer="0.5"/>
      <pageSetup paperSize="9" orientation="portrait" verticalDpi="0" r:id="rId2"/>
      <headerFooter alignWithMargins="0"/>
      <autoFilter ref="B1:G1"/>
    </customSheetView>
    <customSheetView guid="{21C840CC-AE35-4950-B5BD-32A7DE9BAC52}" showAutoFilter="1" showRuler="0">
      <pane ySplit="1" topLeftCell="A83" activePane="bottomLeft" state="frozenSplit"/>
      <selection pane="bottomLeft" activeCell="E121" sqref="E121"/>
      <pageMargins left="0.75" right="0.75" top="1" bottom="1" header="0.5" footer="0.5"/>
      <pageSetup paperSize="9" orientation="portrait" verticalDpi="0" r:id="rId3"/>
      <headerFooter alignWithMargins="0"/>
      <autoFilter ref="B1:G1"/>
    </customSheetView>
    <customSheetView guid="{17CF6293-B179-4C29-9312-7FBDD485BBFD}" showAutoFilter="1" showRuler="0">
      <pane ySplit="1" topLeftCell="A2300" activePane="bottomLeft" state="frozenSplit"/>
      <selection pane="bottomLeft" activeCell="E1193" sqref="E1193"/>
      <pageMargins left="0.75" right="0.75" top="1" bottom="1" header="0.5" footer="0.5"/>
      <pageSetup paperSize="9" orientation="portrait" verticalDpi="0" r:id="rId4"/>
      <headerFooter alignWithMargins="0"/>
      <autoFilter ref="B1:G1"/>
    </customSheetView>
    <customSheetView guid="{B6FD7490-794E-482C-8B29-FB2AB6EB258C}" showAutoFilter="1" showRuler="0">
      <pane ySplit="1" topLeftCell="A2583" activePane="bottomLeft" state="frozenSplit"/>
      <selection pane="bottomLeft" activeCell="D2615" sqref="D2615"/>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legacyDrawing r:id="rId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21"/>
    <pageSetUpPr fitToPage="1"/>
  </sheetPr>
  <dimension ref="A1:L51"/>
  <sheetViews>
    <sheetView topLeftCell="A4" zoomScaleNormal="100" workbookViewId="0">
      <selection activeCell="D17" sqref="D17"/>
    </sheetView>
  </sheetViews>
  <sheetFormatPr defaultRowHeight="13.2" x14ac:dyDescent="0.25"/>
  <cols>
    <col min="1" max="1" width="5" customWidth="1"/>
    <col min="2" max="2" width="47.33203125" bestFit="1" customWidth="1"/>
    <col min="3" max="3" width="13.6640625" customWidth="1"/>
    <col min="4" max="4" width="12.88671875" customWidth="1"/>
    <col min="5" max="5" width="9.44140625" bestFit="1" customWidth="1"/>
  </cols>
  <sheetData>
    <row r="1" spans="2:12" ht="13.8" thickBot="1" x14ac:dyDescent="0.3">
      <c r="B1" s="71"/>
      <c r="C1" s="71"/>
      <c r="D1" s="71"/>
      <c r="E1" s="72"/>
      <c r="F1" s="73"/>
      <c r="G1" s="73"/>
    </row>
    <row r="2" spans="2:12" ht="6" customHeight="1" x14ac:dyDescent="0.25">
      <c r="B2" s="74"/>
      <c r="C2" s="74"/>
      <c r="D2" s="74"/>
      <c r="E2" s="74"/>
      <c r="F2" s="73"/>
      <c r="G2" s="73"/>
    </row>
    <row r="3" spans="2:12" ht="27" thickBot="1" x14ac:dyDescent="0.3">
      <c r="B3" s="75" t="s">
        <v>4184</v>
      </c>
      <c r="C3" s="75" t="s">
        <v>4185</v>
      </c>
      <c r="D3" s="75" t="s">
        <v>1946</v>
      </c>
      <c r="E3" s="75" t="s">
        <v>3514</v>
      </c>
      <c r="F3" s="73"/>
      <c r="G3" s="73"/>
    </row>
    <row r="4" spans="2:12" ht="12.75" customHeight="1" thickBot="1" x14ac:dyDescent="0.3">
      <c r="B4" s="76"/>
      <c r="C4" s="76"/>
      <c r="D4" s="76"/>
      <c r="E4" s="76"/>
      <c r="F4" s="73"/>
      <c r="G4" s="73"/>
    </row>
    <row r="5" spans="2:12" ht="28.2" thickBot="1" x14ac:dyDescent="0.3">
      <c r="B5" s="77" t="s">
        <v>2758</v>
      </c>
      <c r="C5" s="361">
        <v>15.83</v>
      </c>
      <c r="D5" s="361">
        <v>3.17</v>
      </c>
      <c r="E5" s="361">
        <v>19</v>
      </c>
      <c r="J5" s="308"/>
      <c r="K5" s="308"/>
      <c r="L5" s="308"/>
    </row>
    <row r="6" spans="2:12" ht="28.2" thickBot="1" x14ac:dyDescent="0.3">
      <c r="B6" s="78" t="s">
        <v>2664</v>
      </c>
      <c r="C6" s="362">
        <v>16.25</v>
      </c>
      <c r="D6" s="362">
        <v>3.25</v>
      </c>
      <c r="E6" s="362">
        <v>19.5</v>
      </c>
    </row>
    <row r="7" spans="2:12" ht="28.2" thickBot="1" x14ac:dyDescent="0.3">
      <c r="B7" s="78" t="s">
        <v>436</v>
      </c>
      <c r="C7" s="362">
        <v>21</v>
      </c>
      <c r="D7" s="362">
        <v>4.2</v>
      </c>
      <c r="E7" s="362">
        <v>25.2</v>
      </c>
    </row>
    <row r="8" spans="2:12" ht="28.2" thickBot="1" x14ac:dyDescent="0.3">
      <c r="B8" s="78" t="s">
        <v>2670</v>
      </c>
      <c r="C8" s="362">
        <v>29.67</v>
      </c>
      <c r="D8" s="362">
        <v>5.93</v>
      </c>
      <c r="E8" s="362">
        <v>35.6</v>
      </c>
    </row>
    <row r="9" spans="2:12" ht="28.2" thickBot="1" x14ac:dyDescent="0.3">
      <c r="B9" s="78" t="s">
        <v>1105</v>
      </c>
      <c r="C9" s="362">
        <v>19.579999999999998</v>
      </c>
      <c r="D9" s="362">
        <v>3.92</v>
      </c>
      <c r="E9" s="362">
        <v>23.5</v>
      </c>
    </row>
    <row r="10" spans="2:12" ht="55.8" thickBot="1" x14ac:dyDescent="0.3">
      <c r="B10" s="78" t="s">
        <v>2097</v>
      </c>
      <c r="C10" s="362"/>
      <c r="D10" s="362"/>
      <c r="E10" s="362"/>
    </row>
    <row r="11" spans="2:12" ht="42" thickBot="1" x14ac:dyDescent="0.3">
      <c r="B11" s="78" t="s">
        <v>2705</v>
      </c>
      <c r="C11" s="362">
        <v>23.67</v>
      </c>
      <c r="D11" s="362">
        <v>4.7300000000000004</v>
      </c>
      <c r="E11" s="362">
        <v>28.4</v>
      </c>
    </row>
    <row r="12" spans="2:12" ht="55.8" thickBot="1" x14ac:dyDescent="0.3">
      <c r="B12" s="78" t="s">
        <v>461</v>
      </c>
      <c r="C12" s="362"/>
      <c r="D12" s="362"/>
      <c r="E12" s="362"/>
    </row>
    <row r="13" spans="2:12" ht="42" thickBot="1" x14ac:dyDescent="0.3">
      <c r="B13" s="78" t="s">
        <v>1789</v>
      </c>
      <c r="C13" s="362">
        <v>27.67</v>
      </c>
      <c r="D13" s="362">
        <v>5.53</v>
      </c>
      <c r="E13" s="362">
        <v>33.200000000000003</v>
      </c>
    </row>
    <row r="14" spans="2:12" ht="55.8" thickBot="1" x14ac:dyDescent="0.3">
      <c r="B14" s="78" t="s">
        <v>388</v>
      </c>
      <c r="C14" s="79"/>
      <c r="D14" s="79"/>
      <c r="E14" s="79"/>
    </row>
    <row r="15" spans="2:12" ht="28.2" thickBot="1" x14ac:dyDescent="0.3">
      <c r="B15" s="78" t="s">
        <v>2640</v>
      </c>
      <c r="C15" s="362">
        <v>5.83</v>
      </c>
      <c r="D15" s="362">
        <v>1.17</v>
      </c>
      <c r="E15" s="362">
        <v>7</v>
      </c>
    </row>
    <row r="16" spans="2:12" ht="28.2" thickBot="1" x14ac:dyDescent="0.3">
      <c r="B16" s="78" t="s">
        <v>1543</v>
      </c>
      <c r="C16" s="362">
        <v>7.58</v>
      </c>
      <c r="D16" s="362">
        <v>1.52</v>
      </c>
      <c r="E16" s="362">
        <v>9.1</v>
      </c>
    </row>
    <row r="17" spans="1:6" ht="28.2" thickBot="1" x14ac:dyDescent="0.3">
      <c r="A17" s="80"/>
      <c r="B17" s="78" t="s">
        <v>3214</v>
      </c>
      <c r="C17" s="362">
        <v>16.670000000000002</v>
      </c>
      <c r="D17" s="362">
        <v>3.33</v>
      </c>
      <c r="E17" s="362">
        <v>20</v>
      </c>
      <c r="F17" s="80"/>
    </row>
    <row r="18" spans="1:6" ht="28.2" thickBot="1" x14ac:dyDescent="0.3">
      <c r="A18" s="80"/>
      <c r="B18" s="78" t="s">
        <v>1924</v>
      </c>
      <c r="C18" s="362">
        <v>11.58</v>
      </c>
      <c r="D18" s="362">
        <v>2.3199999999999998</v>
      </c>
      <c r="E18" s="362">
        <v>13.9</v>
      </c>
      <c r="F18" s="80"/>
    </row>
    <row r="19" spans="1:6" ht="42" thickBot="1" x14ac:dyDescent="0.3">
      <c r="B19" s="78" t="s">
        <v>255</v>
      </c>
      <c r="C19" s="362">
        <v>17.5</v>
      </c>
      <c r="D19" s="362">
        <v>3.5</v>
      </c>
      <c r="E19" s="362">
        <v>21</v>
      </c>
    </row>
    <row r="20" spans="1:6" ht="28.2" thickBot="1" x14ac:dyDescent="0.3">
      <c r="B20" s="78" t="s">
        <v>4224</v>
      </c>
      <c r="C20" s="362">
        <v>15.33</v>
      </c>
      <c r="D20" s="362">
        <v>3.07</v>
      </c>
      <c r="E20" s="362">
        <v>18.399999999999999</v>
      </c>
    </row>
    <row r="21" spans="1:6" ht="14.4" thickBot="1" x14ac:dyDescent="0.3">
      <c r="B21" s="78"/>
      <c r="C21" s="362"/>
      <c r="D21" s="362"/>
      <c r="E21" s="362"/>
    </row>
    <row r="22" spans="1:6" ht="14.4" thickBot="1" x14ac:dyDescent="0.3">
      <c r="A22" s="80"/>
      <c r="B22" s="78" t="s">
        <v>473</v>
      </c>
      <c r="C22" s="362">
        <v>8.17</v>
      </c>
      <c r="D22" s="362">
        <v>1.63</v>
      </c>
      <c r="E22" s="362">
        <v>9.8000000000000007</v>
      </c>
      <c r="F22" s="80"/>
    </row>
    <row r="23" spans="1:6" ht="14.4" thickBot="1" x14ac:dyDescent="0.3">
      <c r="B23" s="80"/>
      <c r="C23" s="363"/>
      <c r="D23" s="363"/>
      <c r="E23" s="364"/>
    </row>
    <row r="24" spans="1:6" ht="14.4" thickBot="1" x14ac:dyDescent="0.3">
      <c r="B24" s="77" t="s">
        <v>909</v>
      </c>
      <c r="C24" s="361">
        <v>6.17</v>
      </c>
      <c r="D24" s="361">
        <v>1.23</v>
      </c>
      <c r="E24" s="361">
        <v>7.4</v>
      </c>
    </row>
    <row r="25" spans="1:6" ht="14.4" thickBot="1" x14ac:dyDescent="0.3">
      <c r="B25" s="78" t="s">
        <v>930</v>
      </c>
      <c r="C25" s="362">
        <v>4.92</v>
      </c>
      <c r="D25" s="362">
        <v>0.98</v>
      </c>
      <c r="E25" s="362">
        <v>5.9</v>
      </c>
    </row>
    <row r="26" spans="1:6" ht="14.4" thickBot="1" x14ac:dyDescent="0.3">
      <c r="B26" s="78" t="s">
        <v>2783</v>
      </c>
      <c r="C26" s="362">
        <v>4.33</v>
      </c>
      <c r="D26" s="362">
        <v>0.87</v>
      </c>
      <c r="E26" s="362">
        <v>5.2</v>
      </c>
    </row>
    <row r="27" spans="1:6" ht="14.4" thickBot="1" x14ac:dyDescent="0.3">
      <c r="B27" s="78" t="s">
        <v>2410</v>
      </c>
      <c r="C27" s="362">
        <v>2.92</v>
      </c>
      <c r="D27" s="362">
        <v>0.57999999999999996</v>
      </c>
      <c r="E27" s="362">
        <v>3.5</v>
      </c>
    </row>
    <row r="28" spans="1:6" ht="28.2" thickBot="1" x14ac:dyDescent="0.3">
      <c r="B28" s="78" t="s">
        <v>2365</v>
      </c>
      <c r="C28" s="362">
        <v>3.08</v>
      </c>
      <c r="D28" s="362">
        <v>0.62</v>
      </c>
      <c r="E28" s="362">
        <v>3.7</v>
      </c>
    </row>
    <row r="29" spans="1:6" ht="14.4" thickBot="1" x14ac:dyDescent="0.3">
      <c r="B29" s="78" t="s">
        <v>2039</v>
      </c>
      <c r="C29" s="362">
        <v>3.58</v>
      </c>
      <c r="D29" s="362">
        <v>0.72</v>
      </c>
      <c r="E29" s="362">
        <v>4.3</v>
      </c>
    </row>
    <row r="30" spans="1:6" ht="14.4" thickBot="1" x14ac:dyDescent="0.3">
      <c r="B30" s="78" t="s">
        <v>3115</v>
      </c>
      <c r="C30" s="362">
        <v>3.08</v>
      </c>
      <c r="D30" s="362">
        <v>0.62</v>
      </c>
      <c r="E30" s="362">
        <v>3.7</v>
      </c>
    </row>
    <row r="31" spans="1:6" ht="14.4" thickBot="1" x14ac:dyDescent="0.3">
      <c r="B31" s="78" t="s">
        <v>3754</v>
      </c>
      <c r="C31" s="362">
        <v>2.92</v>
      </c>
      <c r="D31" s="362">
        <v>0.57999999999999996</v>
      </c>
      <c r="E31" s="362">
        <v>3.5</v>
      </c>
    </row>
    <row r="32" spans="1:6" ht="14.4" thickBot="1" x14ac:dyDescent="0.3">
      <c r="B32" s="77" t="s">
        <v>2815</v>
      </c>
      <c r="C32" s="361">
        <v>3.08</v>
      </c>
      <c r="D32" s="361">
        <v>0.62</v>
      </c>
      <c r="E32" s="361">
        <v>3.7</v>
      </c>
      <c r="F32" s="317"/>
    </row>
    <row r="33" spans="2:5" ht="25.8" thickBot="1" x14ac:dyDescent="0.3">
      <c r="B33" s="81" t="s">
        <v>849</v>
      </c>
      <c r="C33" s="82"/>
      <c r="D33" s="82"/>
      <c r="E33" s="82"/>
    </row>
    <row r="34" spans="2:5" ht="13.8" x14ac:dyDescent="0.25">
      <c r="B34" s="83" t="s">
        <v>3531</v>
      </c>
      <c r="C34" s="369">
        <v>225000</v>
      </c>
      <c r="D34" s="369">
        <v>45000</v>
      </c>
      <c r="E34" s="370">
        <v>270000</v>
      </c>
    </row>
    <row r="35" spans="2:5" ht="13.8" x14ac:dyDescent="0.25">
      <c r="B35" s="84" t="s">
        <v>459</v>
      </c>
      <c r="C35" s="371">
        <v>241667</v>
      </c>
      <c r="D35" s="371">
        <v>48333</v>
      </c>
      <c r="E35" s="372">
        <v>290000</v>
      </c>
    </row>
    <row r="36" spans="2:5" ht="13.8" x14ac:dyDescent="0.25">
      <c r="B36" s="84" t="s">
        <v>144</v>
      </c>
      <c r="C36" s="371">
        <v>225000</v>
      </c>
      <c r="D36" s="371">
        <v>45000</v>
      </c>
      <c r="E36" s="372">
        <v>270000</v>
      </c>
    </row>
    <row r="37" spans="2:5" ht="13.8" x14ac:dyDescent="0.25">
      <c r="B37" s="84" t="s">
        <v>55</v>
      </c>
      <c r="C37" s="371">
        <v>241667</v>
      </c>
      <c r="D37" s="371">
        <v>48333</v>
      </c>
      <c r="E37" s="372">
        <v>290000</v>
      </c>
    </row>
    <row r="38" spans="2:5" ht="13.8" x14ac:dyDescent="0.25">
      <c r="B38" s="84" t="s">
        <v>2381</v>
      </c>
      <c r="C38" s="371">
        <v>91667</v>
      </c>
      <c r="D38" s="371">
        <v>18333</v>
      </c>
      <c r="E38" s="372">
        <v>110000</v>
      </c>
    </row>
    <row r="39" spans="2:5" ht="14.4" thickBot="1" x14ac:dyDescent="0.3">
      <c r="B39" s="85" t="s">
        <v>878</v>
      </c>
      <c r="C39" s="373">
        <v>104167</v>
      </c>
      <c r="D39" s="373">
        <v>20833</v>
      </c>
      <c r="E39" s="374">
        <v>125000</v>
      </c>
    </row>
    <row r="40" spans="2:5" x14ac:dyDescent="0.25">
      <c r="C40" s="375"/>
      <c r="D40" s="375"/>
      <c r="E40" s="375"/>
    </row>
    <row r="41" spans="2:5" ht="51" thickBot="1" x14ac:dyDescent="0.3">
      <c r="B41" s="81" t="s">
        <v>932</v>
      </c>
      <c r="C41" s="375"/>
      <c r="D41" s="375"/>
      <c r="E41" s="375"/>
    </row>
    <row r="42" spans="2:5" ht="13.8" x14ac:dyDescent="0.25">
      <c r="B42" s="300" t="s">
        <v>4182</v>
      </c>
      <c r="C42" s="376">
        <v>17500</v>
      </c>
      <c r="D42" s="376">
        <v>3500</v>
      </c>
      <c r="E42" s="377">
        <v>21000</v>
      </c>
    </row>
    <row r="43" spans="2:5" ht="13.8" x14ac:dyDescent="0.25">
      <c r="B43" s="301"/>
      <c r="C43" s="378"/>
      <c r="D43" s="378"/>
      <c r="E43" s="379"/>
    </row>
    <row r="44" spans="2:5" ht="13.8" x14ac:dyDescent="0.25">
      <c r="B44" s="301"/>
      <c r="C44" s="378"/>
      <c r="D44" s="378"/>
      <c r="E44" s="379"/>
    </row>
    <row r="45" spans="2:5" ht="13.8" x14ac:dyDescent="0.25">
      <c r="B45" s="301"/>
      <c r="C45" s="378"/>
      <c r="D45" s="378"/>
      <c r="E45" s="379"/>
    </row>
    <row r="46" spans="2:5" ht="13.8" x14ac:dyDescent="0.25">
      <c r="B46" s="301"/>
      <c r="C46" s="378"/>
      <c r="D46" s="378"/>
      <c r="E46" s="379"/>
    </row>
    <row r="47" spans="2:5" ht="13.8" x14ac:dyDescent="0.25">
      <c r="B47" s="301"/>
      <c r="C47" s="378"/>
      <c r="D47" s="378"/>
      <c r="E47" s="379"/>
    </row>
    <row r="48" spans="2:5" ht="13.8" x14ac:dyDescent="0.25">
      <c r="B48" s="301"/>
      <c r="C48" s="378"/>
      <c r="D48" s="378"/>
      <c r="E48" s="379"/>
    </row>
    <row r="49" spans="2:5" ht="13.8" x14ac:dyDescent="0.25">
      <c r="B49" s="301"/>
      <c r="C49" s="378"/>
      <c r="D49" s="378"/>
      <c r="E49" s="379"/>
    </row>
    <row r="50" spans="2:5" ht="13.8" x14ac:dyDescent="0.25">
      <c r="B50" s="301"/>
      <c r="C50" s="378"/>
      <c r="D50" s="378"/>
      <c r="E50" s="379"/>
    </row>
    <row r="51" spans="2:5" ht="14.4" thickBot="1" x14ac:dyDescent="0.3">
      <c r="B51" s="302"/>
      <c r="C51" s="380"/>
      <c r="D51" s="380"/>
      <c r="E51" s="381"/>
    </row>
  </sheetData>
  <customSheetViews>
    <customSheetView guid="{6F966CD8-707E-4C39-BF19-FBF54F1918BD}" showPageBreaks="1" fitToPage="1" printArea="1" showRuler="0" topLeftCell="B22">
      <selection activeCell="E20" sqref="E20"/>
      <pageMargins left="0.78740157480314965" right="0.39370078740157483" top="0.39370078740157483" bottom="0.39370078740157483" header="0.51181102362204722" footer="0.51181102362204722"/>
      <pageSetup paperSize="9" scale="90" orientation="portrait" r:id="rId1"/>
      <headerFooter alignWithMargins="0"/>
    </customSheetView>
    <customSheetView guid="{E0E17C6E-C811-4170-82D5-EDD54F6164FB}" fitToPage="1" showRuler="0" topLeftCell="B13">
      <selection activeCell="E7" sqref="E7"/>
      <pageMargins left="0.78740157480314965" right="0.39370078740157483" top="0.39370078740157483" bottom="0.39370078740157483" header="0.51181102362204722" footer="0.51181102362204722"/>
      <pageSetup paperSize="9" scale="91" orientation="portrait" verticalDpi="0" r:id="rId2"/>
      <headerFooter alignWithMargins="0"/>
    </customSheetView>
    <customSheetView guid="{21C840CC-AE35-4950-B5BD-32A7DE9BAC52}" showPageBreaks="1" fitToPage="1" printArea="1" showRuler="0" topLeftCell="B19">
      <selection activeCell="E20" sqref="E20"/>
      <pageMargins left="0.78740157480314965" right="0.39370078740157483" top="0.39370078740157483" bottom="0.39370078740157483" header="0.51181102362204722" footer="0.51181102362204722"/>
      <pageSetup paperSize="9" scale="90" orientation="portrait" r:id="rId3"/>
      <headerFooter alignWithMargins="0"/>
    </customSheetView>
    <customSheetView guid="{17CF6293-B179-4C29-9312-7FBDD485BBFD}" showPageBreaks="1" fitToPage="1" printArea="1" showRuler="0" topLeftCell="B13">
      <selection activeCell="I18" sqref="I18"/>
      <pageMargins left="0.78740157480314965" right="0.39370078740157483" top="0.39370078740157483" bottom="0.39370078740157483" header="0.51181102362204722" footer="0.51181102362204722"/>
      <pageSetup paperSize="9" scale="90" orientation="portrait" r:id="rId4"/>
      <headerFooter alignWithMargins="0"/>
    </customSheetView>
    <customSheetView guid="{B6FD7490-794E-482C-8B29-FB2AB6EB258C}" showPageBreaks="1" fitToPage="1" printArea="1" showRuler="0" topLeftCell="B7">
      <selection activeCell="L11" sqref="L11"/>
      <pageMargins left="0.78740157480314965" right="0.39370078740157483" top="0.39370078740157483" bottom="0.39370078740157483" header="0.51181102362204722" footer="0.51181102362204722"/>
      <pageSetup paperSize="9" scale="90" orientation="portrait" r:id="rId5"/>
      <headerFooter alignWithMargins="0"/>
    </customSheetView>
  </customSheetViews>
  <phoneticPr fontId="8" type="noConversion"/>
  <pageMargins left="0.78740157480314965" right="0.39370078740157483" top="0.39370078740157483" bottom="0.39370078740157483" header="0.51181102362204722" footer="0.51181102362204722"/>
  <pageSetup paperSize="9" scale="90" orientation="portrait" r:id="rId6"/>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6</vt:i4>
      </vt:variant>
    </vt:vector>
  </HeadingPairs>
  <TitlesOfParts>
    <vt:vector size="15" baseType="lpstr">
      <vt:lpstr>Контрагенты</vt:lpstr>
      <vt:lpstr>Договор</vt:lpstr>
      <vt:lpstr>Реестр договоров</vt:lpstr>
      <vt:lpstr>Акт</vt:lpstr>
      <vt:lpstr>Выбор</vt:lpstr>
      <vt:lpstr>СчФ</vt:lpstr>
      <vt:lpstr>СчФ ЕВРО</vt:lpstr>
      <vt:lpstr>Реестр СчФ</vt:lpstr>
      <vt:lpstr>Тарифы</vt:lpstr>
      <vt:lpstr>Акт!Область_печати</vt:lpstr>
      <vt:lpstr>Договор!Область_печати</vt:lpstr>
      <vt:lpstr>СчФ!Область_печати</vt:lpstr>
      <vt:lpstr>'СчФ ЕВРО'!Область_печати</vt:lpstr>
      <vt:lpstr>Тарифы!Область_печати</vt:lpstr>
      <vt:lpstr>ПослСтрКАг</vt:lpstr>
    </vt:vector>
  </TitlesOfParts>
  <Company>УП Белтехосмотр</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2011-04-14T11:59:17Z</dcterms:created>
  <dc:creator>User</dc:creator>
  <cp:lastModifiedBy>Пользователь Windows</cp:lastModifiedBy>
  <cp:lastPrinted>2017-07-16T08:09:49Z</cp:lastPrinted>
  <dcterms:modified xsi:type="dcterms:W3CDTF">2017-07-18T08:10:31Z</dcterms:modified>
</cp:coreProperties>
</file>